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ockmeyer\Desktop\"/>
    </mc:Choice>
  </mc:AlternateContent>
  <xr:revisionPtr revIDLastSave="0" documentId="13_ncr:1_{761298ED-1FAA-4326-9764-0C722D8D5CE1}" xr6:coauthVersionLast="47" xr6:coauthVersionMax="47" xr10:uidLastSave="{00000000-0000-0000-0000-000000000000}"/>
  <bookViews>
    <workbookView xWindow="-120" yWindow="-120" windowWidth="25440" windowHeight="15390" activeTab="23" xr2:uid="{4292CDB5-F516-4F95-B9E9-D229DF56D44C}"/>
  </bookViews>
  <sheets>
    <sheet name="Assumptions" sheetId="6" r:id="rId1"/>
    <sheet name="Parts List and Volumes" sheetId="4" r:id="rId2"/>
    <sheet name="Master Sheet" sheetId="1" r:id="rId3"/>
    <sheet name="Customer and Platform List" sheetId="5" state="hidden" r:id="rId4"/>
    <sheet name="CAD-026" sheetId="30" r:id="rId5"/>
    <sheet name="CAD-027" sheetId="21" r:id="rId6"/>
    <sheet name="CAD-037" sheetId="22" r:id="rId7"/>
    <sheet name="CAD-043" sheetId="23" r:id="rId8"/>
    <sheet name="CAD-046" sheetId="29" r:id="rId9"/>
    <sheet name="CAD-048" sheetId="27" r:id="rId10"/>
    <sheet name="CAD-049" sheetId="25" r:id="rId11"/>
    <sheet name="CAD-051" sheetId="28" r:id="rId12"/>
    <sheet name="CAD-054" sheetId="26" r:id="rId13"/>
    <sheet name="CAD-056" sheetId="24" r:id="rId14"/>
    <sheet name="CAD-059 (4HD)" sheetId="11" r:id="rId15"/>
    <sheet name="CAD-063 (4HD)" sheetId="12" r:id="rId16"/>
    <sheet name="CAD-067 (SEM)" sheetId="16" r:id="rId17"/>
    <sheet name="CAD-068 (4HD)" sheetId="13" r:id="rId18"/>
    <sheet name="CAD-069 (4HD)" sheetId="14" r:id="rId19"/>
    <sheet name="CAD-070 (4HW)" sheetId="19" r:id="rId20"/>
    <sheet name="CAD-071 (4HW)" sheetId="20" r:id="rId21"/>
    <sheet name="CAD-073 (SEW)" sheetId="15" r:id="rId22"/>
    <sheet name="CAD-074 (4HD)" sheetId="17" r:id="rId23"/>
    <sheet name="CAD-075 (2HD)" sheetId="18" r:id="rId24"/>
  </sheets>
  <definedNames>
    <definedName name="_BR167">'Parts List and Volumes'!$C$70:$C$105</definedName>
    <definedName name="_R1S">'Parts List and Volumes'!$C$144:$C$147</definedName>
    <definedName name="_R1S_T">'Parts List and Volumes'!$C$136:$C$139</definedName>
    <definedName name="_R1T">'Parts List and Volumes'!$C$140:$C$143</definedName>
    <definedName name="_VN127">'Parts List and Volumes'!$C$2:$C$28</definedName>
    <definedName name="EVAII">'Parts List and Volumes'!$C$54:$C$69</definedName>
    <definedName name="ExternalData_1" localSheetId="1" hidden="1">'Parts List and Volumes'!$A$1:$X$267</definedName>
    <definedName name="F5X">'Parts List and Volumes'!$C$29:$C$53</definedName>
    <definedName name="FourHeadAssumption">Assumptions!$A$19</definedName>
    <definedName name="G01_G02">'Parts List and Volumes'!$C$114:$C$123</definedName>
    <definedName name="G05_G06">'Parts List and Volumes'!$C$132:$C$133</definedName>
    <definedName name="G05_G06_G07">'Parts List and Volumes'!$C$124:$C$131</definedName>
    <definedName name="G05_G06_G07_G09">'Parts List and Volumes'!$C$106:$C$113</definedName>
    <definedName name="G07_G09">'Parts List and Volumes'!$C$134:$C$135</definedName>
    <definedName name="RPV_500">'Parts List and Volumes'!$C$161:$C$176</definedName>
    <definedName name="RPV_500_700_900">'Parts List and Volumes'!$C$153:$C$160</definedName>
    <definedName name="RPV_700">'Parts List and Volumes'!$C$171:$C$172</definedName>
    <definedName name="RPV_700_900">'Parts List and Volumes'!$C$148:$C$152</definedName>
    <definedName name="SingleEndAssumption">Assumptions!$G$19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50" i="30" l="1"/>
  <c r="AX50" i="30" s="1"/>
  <c r="AU50" i="30"/>
  <c r="AW50" i="30" s="1"/>
  <c r="AR50" i="30"/>
  <c r="AT50" i="30" s="1"/>
  <c r="AQ50" i="30"/>
  <c r="AS50" i="30" s="1"/>
  <c r="AN50" i="30"/>
  <c r="AP50" i="30" s="1"/>
  <c r="AM50" i="30"/>
  <c r="AO50" i="30" s="1"/>
  <c r="AJ50" i="30"/>
  <c r="AL50" i="30" s="1"/>
  <c r="AI50" i="30"/>
  <c r="AK50" i="30" s="1"/>
  <c r="AF50" i="30"/>
  <c r="AH50" i="30" s="1"/>
  <c r="AE50" i="30"/>
  <c r="AG50" i="30" s="1"/>
  <c r="AB50" i="30"/>
  <c r="AD50" i="30" s="1"/>
  <c r="AA50" i="30"/>
  <c r="AC50" i="30" s="1"/>
  <c r="X50" i="30"/>
  <c r="Z50" i="30" s="1"/>
  <c r="W50" i="30"/>
  <c r="Y50" i="30" s="1"/>
  <c r="T50" i="30"/>
  <c r="V50" i="30" s="1"/>
  <c r="S50" i="30"/>
  <c r="U50" i="30" s="1"/>
  <c r="P50" i="30"/>
  <c r="R50" i="30" s="1"/>
  <c r="O50" i="30"/>
  <c r="Q50" i="30" s="1"/>
  <c r="L50" i="30"/>
  <c r="N50" i="30" s="1"/>
  <c r="K50" i="30"/>
  <c r="M50" i="30" s="1"/>
  <c r="H50" i="30"/>
  <c r="J50" i="30" s="1"/>
  <c r="G50" i="30"/>
  <c r="I50" i="30" s="1"/>
  <c r="E50" i="30"/>
  <c r="D50" i="30"/>
  <c r="C50" i="30"/>
  <c r="AV49" i="30"/>
  <c r="AX49" i="30" s="1"/>
  <c r="AU49" i="30"/>
  <c r="AW49" i="30" s="1"/>
  <c r="AR49" i="30"/>
  <c r="AT49" i="30" s="1"/>
  <c r="AQ49" i="30"/>
  <c r="AS49" i="30" s="1"/>
  <c r="AN49" i="30"/>
  <c r="AP49" i="30" s="1"/>
  <c r="AM49" i="30"/>
  <c r="AO49" i="30" s="1"/>
  <c r="AK49" i="30"/>
  <c r="AJ49" i="30"/>
  <c r="AL49" i="30" s="1"/>
  <c r="AI49" i="30"/>
  <c r="AF49" i="30"/>
  <c r="AH49" i="30" s="1"/>
  <c r="AE49" i="30"/>
  <c r="AG49" i="30" s="1"/>
  <c r="AB49" i="30"/>
  <c r="AD49" i="30" s="1"/>
  <c r="AA49" i="30"/>
  <c r="AC49" i="30" s="1"/>
  <c r="X49" i="30"/>
  <c r="Z49" i="30" s="1"/>
  <c r="W49" i="30"/>
  <c r="Y49" i="30" s="1"/>
  <c r="T49" i="30"/>
  <c r="V49" i="30" s="1"/>
  <c r="S49" i="30"/>
  <c r="U49" i="30" s="1"/>
  <c r="P49" i="30"/>
  <c r="R49" i="30" s="1"/>
  <c r="O49" i="30"/>
  <c r="Q49" i="30" s="1"/>
  <c r="L49" i="30"/>
  <c r="N49" i="30" s="1"/>
  <c r="K49" i="30"/>
  <c r="M49" i="30" s="1"/>
  <c r="H49" i="30"/>
  <c r="J49" i="30" s="1"/>
  <c r="G49" i="30"/>
  <c r="I49" i="30" s="1"/>
  <c r="E49" i="30"/>
  <c r="D49" i="30"/>
  <c r="C49" i="30"/>
  <c r="AV48" i="30"/>
  <c r="AX48" i="30" s="1"/>
  <c r="AU48" i="30"/>
  <c r="AW48" i="30" s="1"/>
  <c r="AR48" i="30"/>
  <c r="AT48" i="30" s="1"/>
  <c r="AQ48" i="30"/>
  <c r="AS48" i="30" s="1"/>
  <c r="AN48" i="30"/>
  <c r="AP48" i="30" s="1"/>
  <c r="AM48" i="30"/>
  <c r="AO48" i="30" s="1"/>
  <c r="AJ48" i="30"/>
  <c r="AL48" i="30" s="1"/>
  <c r="AI48" i="30"/>
  <c r="AK48" i="30" s="1"/>
  <c r="AF48" i="30"/>
  <c r="AH48" i="30" s="1"/>
  <c r="AE48" i="30"/>
  <c r="AG48" i="30" s="1"/>
  <c r="AB48" i="30"/>
  <c r="AD48" i="30" s="1"/>
  <c r="AA48" i="30"/>
  <c r="AC48" i="30" s="1"/>
  <c r="X48" i="30"/>
  <c r="Z48" i="30" s="1"/>
  <c r="W48" i="30"/>
  <c r="Y48" i="30" s="1"/>
  <c r="T48" i="30"/>
  <c r="V48" i="30" s="1"/>
  <c r="S48" i="30"/>
  <c r="U48" i="30" s="1"/>
  <c r="P48" i="30"/>
  <c r="R48" i="30" s="1"/>
  <c r="O48" i="30"/>
  <c r="Q48" i="30" s="1"/>
  <c r="L48" i="30"/>
  <c r="N48" i="30" s="1"/>
  <c r="K48" i="30"/>
  <c r="M48" i="30" s="1"/>
  <c r="H48" i="30"/>
  <c r="J48" i="30" s="1"/>
  <c r="G48" i="30"/>
  <c r="I48" i="30" s="1"/>
  <c r="E48" i="30"/>
  <c r="D48" i="30"/>
  <c r="C48" i="30"/>
  <c r="AV47" i="30"/>
  <c r="AX47" i="30" s="1"/>
  <c r="AU47" i="30"/>
  <c r="AW47" i="30" s="1"/>
  <c r="AR47" i="30"/>
  <c r="AT47" i="30" s="1"/>
  <c r="AQ47" i="30"/>
  <c r="AS47" i="30" s="1"/>
  <c r="AN47" i="30"/>
  <c r="AP47" i="30" s="1"/>
  <c r="AM47" i="30"/>
  <c r="AO47" i="30" s="1"/>
  <c r="AJ47" i="30"/>
  <c r="AL47" i="30" s="1"/>
  <c r="AI47" i="30"/>
  <c r="AK47" i="30" s="1"/>
  <c r="AF47" i="30"/>
  <c r="AH47" i="30" s="1"/>
  <c r="AE47" i="30"/>
  <c r="AG47" i="30" s="1"/>
  <c r="AB47" i="30"/>
  <c r="AD47" i="30" s="1"/>
  <c r="AA47" i="30"/>
  <c r="AC47" i="30" s="1"/>
  <c r="X47" i="30"/>
  <c r="Z47" i="30" s="1"/>
  <c r="W47" i="30"/>
  <c r="Y47" i="30" s="1"/>
  <c r="T47" i="30"/>
  <c r="V47" i="30" s="1"/>
  <c r="S47" i="30"/>
  <c r="U47" i="30" s="1"/>
  <c r="P47" i="30"/>
  <c r="R47" i="30" s="1"/>
  <c r="O47" i="30"/>
  <c r="Q47" i="30" s="1"/>
  <c r="L47" i="30"/>
  <c r="N47" i="30" s="1"/>
  <c r="K47" i="30"/>
  <c r="M47" i="30" s="1"/>
  <c r="H47" i="30"/>
  <c r="J47" i="30" s="1"/>
  <c r="G47" i="30"/>
  <c r="I47" i="30" s="1"/>
  <c r="E47" i="30"/>
  <c r="D47" i="30"/>
  <c r="C47" i="30"/>
  <c r="AV46" i="30"/>
  <c r="AX46" i="30" s="1"/>
  <c r="AU46" i="30"/>
  <c r="AW46" i="30" s="1"/>
  <c r="AR46" i="30"/>
  <c r="AT46" i="30" s="1"/>
  <c r="AQ46" i="30"/>
  <c r="AS46" i="30" s="1"/>
  <c r="AN46" i="30"/>
  <c r="AP46" i="30" s="1"/>
  <c r="AM46" i="30"/>
  <c r="AO46" i="30" s="1"/>
  <c r="AJ46" i="30"/>
  <c r="AL46" i="30" s="1"/>
  <c r="AI46" i="30"/>
  <c r="AK46" i="30" s="1"/>
  <c r="AF46" i="30"/>
  <c r="AH46" i="30" s="1"/>
  <c r="AE46" i="30"/>
  <c r="AG46" i="30" s="1"/>
  <c r="AB46" i="30"/>
  <c r="AD46" i="30" s="1"/>
  <c r="AA46" i="30"/>
  <c r="AC46" i="30" s="1"/>
  <c r="X46" i="30"/>
  <c r="Z46" i="30" s="1"/>
  <c r="W46" i="30"/>
  <c r="Y46" i="30" s="1"/>
  <c r="T46" i="30"/>
  <c r="V46" i="30" s="1"/>
  <c r="S46" i="30"/>
  <c r="U46" i="30" s="1"/>
  <c r="P46" i="30"/>
  <c r="R46" i="30" s="1"/>
  <c r="O46" i="30"/>
  <c r="Q46" i="30" s="1"/>
  <c r="L46" i="30"/>
  <c r="N46" i="30" s="1"/>
  <c r="K46" i="30"/>
  <c r="M46" i="30" s="1"/>
  <c r="H46" i="30"/>
  <c r="J46" i="30" s="1"/>
  <c r="G46" i="30"/>
  <c r="I46" i="30" s="1"/>
  <c r="E46" i="30"/>
  <c r="D46" i="30"/>
  <c r="C46" i="30"/>
  <c r="AV45" i="30"/>
  <c r="AX45" i="30" s="1"/>
  <c r="AU45" i="30"/>
  <c r="AW45" i="30" s="1"/>
  <c r="AR45" i="30"/>
  <c r="AT45" i="30" s="1"/>
  <c r="AQ45" i="30"/>
  <c r="AS45" i="30" s="1"/>
  <c r="AN45" i="30"/>
  <c r="AP45" i="30" s="1"/>
  <c r="AM45" i="30"/>
  <c r="AO45" i="30" s="1"/>
  <c r="AJ45" i="30"/>
  <c r="AL45" i="30" s="1"/>
  <c r="AI45" i="30"/>
  <c r="AK45" i="30" s="1"/>
  <c r="AF45" i="30"/>
  <c r="AH45" i="30" s="1"/>
  <c r="AE45" i="30"/>
  <c r="AG45" i="30" s="1"/>
  <c r="AB45" i="30"/>
  <c r="AD45" i="30" s="1"/>
  <c r="AA45" i="30"/>
  <c r="AC45" i="30" s="1"/>
  <c r="X45" i="30"/>
  <c r="Z45" i="30" s="1"/>
  <c r="W45" i="30"/>
  <c r="Y45" i="30" s="1"/>
  <c r="T45" i="30"/>
  <c r="V45" i="30" s="1"/>
  <c r="S45" i="30"/>
  <c r="U45" i="30" s="1"/>
  <c r="P45" i="30"/>
  <c r="R45" i="30" s="1"/>
  <c r="O45" i="30"/>
  <c r="Q45" i="30" s="1"/>
  <c r="L45" i="30"/>
  <c r="N45" i="30" s="1"/>
  <c r="K45" i="30"/>
  <c r="M45" i="30" s="1"/>
  <c r="H45" i="30"/>
  <c r="J45" i="30" s="1"/>
  <c r="G45" i="30"/>
  <c r="I45" i="30" s="1"/>
  <c r="E45" i="30"/>
  <c r="D45" i="30"/>
  <c r="C45" i="30"/>
  <c r="AV44" i="30"/>
  <c r="AX44" i="30" s="1"/>
  <c r="AU44" i="30"/>
  <c r="AW44" i="30" s="1"/>
  <c r="AR44" i="30"/>
  <c r="AT44" i="30" s="1"/>
  <c r="AQ44" i="30"/>
  <c r="AS44" i="30" s="1"/>
  <c r="AN44" i="30"/>
  <c r="AP44" i="30" s="1"/>
  <c r="AM44" i="30"/>
  <c r="AO44" i="30" s="1"/>
  <c r="AJ44" i="30"/>
  <c r="AL44" i="30" s="1"/>
  <c r="AI44" i="30"/>
  <c r="AK44" i="30" s="1"/>
  <c r="AF44" i="30"/>
  <c r="AH44" i="30" s="1"/>
  <c r="AE44" i="30"/>
  <c r="AG44" i="30" s="1"/>
  <c r="AB44" i="30"/>
  <c r="AD44" i="30" s="1"/>
  <c r="AA44" i="30"/>
  <c r="AC44" i="30" s="1"/>
  <c r="X44" i="30"/>
  <c r="Z44" i="30" s="1"/>
  <c r="W44" i="30"/>
  <c r="Y44" i="30" s="1"/>
  <c r="T44" i="30"/>
  <c r="V44" i="30" s="1"/>
  <c r="S44" i="30"/>
  <c r="U44" i="30" s="1"/>
  <c r="P44" i="30"/>
  <c r="R44" i="30" s="1"/>
  <c r="O44" i="30"/>
  <c r="Q44" i="30" s="1"/>
  <c r="L44" i="30"/>
  <c r="N44" i="30" s="1"/>
  <c r="K44" i="30"/>
  <c r="M44" i="30" s="1"/>
  <c r="H44" i="30"/>
  <c r="J44" i="30" s="1"/>
  <c r="G44" i="30"/>
  <c r="I44" i="30" s="1"/>
  <c r="E44" i="30"/>
  <c r="D44" i="30"/>
  <c r="C44" i="30"/>
  <c r="AV43" i="30"/>
  <c r="AX43" i="30" s="1"/>
  <c r="AU43" i="30"/>
  <c r="AW43" i="30" s="1"/>
  <c r="AR43" i="30"/>
  <c r="AT43" i="30" s="1"/>
  <c r="AQ43" i="30"/>
  <c r="AS43" i="30" s="1"/>
  <c r="AN43" i="30"/>
  <c r="AP43" i="30" s="1"/>
  <c r="AM43" i="30"/>
  <c r="AO43" i="30" s="1"/>
  <c r="AJ43" i="30"/>
  <c r="AL43" i="30" s="1"/>
  <c r="AI43" i="30"/>
  <c r="AK43" i="30" s="1"/>
  <c r="AF43" i="30"/>
  <c r="AH43" i="30" s="1"/>
  <c r="AE43" i="30"/>
  <c r="AG43" i="30" s="1"/>
  <c r="AB43" i="30"/>
  <c r="AD43" i="30" s="1"/>
  <c r="AA43" i="30"/>
  <c r="AC43" i="30" s="1"/>
  <c r="X43" i="30"/>
  <c r="Z43" i="30" s="1"/>
  <c r="W43" i="30"/>
  <c r="Y43" i="30" s="1"/>
  <c r="T43" i="30"/>
  <c r="V43" i="30" s="1"/>
  <c r="S43" i="30"/>
  <c r="U43" i="30" s="1"/>
  <c r="P43" i="30"/>
  <c r="R43" i="30" s="1"/>
  <c r="O43" i="30"/>
  <c r="Q43" i="30" s="1"/>
  <c r="L43" i="30"/>
  <c r="N43" i="30" s="1"/>
  <c r="K43" i="30"/>
  <c r="M43" i="30" s="1"/>
  <c r="H43" i="30"/>
  <c r="J43" i="30" s="1"/>
  <c r="G43" i="30"/>
  <c r="I43" i="30" s="1"/>
  <c r="E43" i="30"/>
  <c r="D43" i="30"/>
  <c r="C43" i="30"/>
  <c r="AV42" i="30"/>
  <c r="AX42" i="30" s="1"/>
  <c r="AU42" i="30"/>
  <c r="AW42" i="30" s="1"/>
  <c r="AR42" i="30"/>
  <c r="AT42" i="30" s="1"/>
  <c r="AQ42" i="30"/>
  <c r="AS42" i="30" s="1"/>
  <c r="AN42" i="30"/>
  <c r="AP42" i="30" s="1"/>
  <c r="AM42" i="30"/>
  <c r="AO42" i="30" s="1"/>
  <c r="AJ42" i="30"/>
  <c r="AL42" i="30" s="1"/>
  <c r="AI42" i="30"/>
  <c r="AK42" i="30" s="1"/>
  <c r="AF42" i="30"/>
  <c r="AH42" i="30" s="1"/>
  <c r="AE42" i="30"/>
  <c r="AG42" i="30" s="1"/>
  <c r="AB42" i="30"/>
  <c r="AD42" i="30" s="1"/>
  <c r="AA42" i="30"/>
  <c r="AC42" i="30" s="1"/>
  <c r="X42" i="30"/>
  <c r="Z42" i="30" s="1"/>
  <c r="W42" i="30"/>
  <c r="Y42" i="30" s="1"/>
  <c r="T42" i="30"/>
  <c r="V42" i="30" s="1"/>
  <c r="S42" i="30"/>
  <c r="U42" i="30" s="1"/>
  <c r="P42" i="30"/>
  <c r="R42" i="30" s="1"/>
  <c r="O42" i="30"/>
  <c r="Q42" i="30" s="1"/>
  <c r="L42" i="30"/>
  <c r="N42" i="30" s="1"/>
  <c r="K42" i="30"/>
  <c r="M42" i="30" s="1"/>
  <c r="H42" i="30"/>
  <c r="J42" i="30" s="1"/>
  <c r="G42" i="30"/>
  <c r="I42" i="30" s="1"/>
  <c r="E42" i="30"/>
  <c r="D42" i="30"/>
  <c r="C42" i="30"/>
  <c r="AV41" i="30"/>
  <c r="AX41" i="30" s="1"/>
  <c r="AU41" i="30"/>
  <c r="AW41" i="30" s="1"/>
  <c r="AR41" i="30"/>
  <c r="AT41" i="30" s="1"/>
  <c r="AQ41" i="30"/>
  <c r="AS41" i="30" s="1"/>
  <c r="AN41" i="30"/>
  <c r="AP41" i="30" s="1"/>
  <c r="AM41" i="30"/>
  <c r="AO41" i="30" s="1"/>
  <c r="AJ41" i="30"/>
  <c r="AL41" i="30" s="1"/>
  <c r="AI41" i="30"/>
  <c r="AK41" i="30" s="1"/>
  <c r="AF41" i="30"/>
  <c r="AH41" i="30" s="1"/>
  <c r="AE41" i="30"/>
  <c r="AG41" i="30" s="1"/>
  <c r="AB41" i="30"/>
  <c r="AD41" i="30" s="1"/>
  <c r="AA41" i="30"/>
  <c r="AC41" i="30" s="1"/>
  <c r="X41" i="30"/>
  <c r="Z41" i="30" s="1"/>
  <c r="W41" i="30"/>
  <c r="Y41" i="30" s="1"/>
  <c r="T41" i="30"/>
  <c r="V41" i="30" s="1"/>
  <c r="S41" i="30"/>
  <c r="U41" i="30" s="1"/>
  <c r="P41" i="30"/>
  <c r="R41" i="30" s="1"/>
  <c r="O41" i="30"/>
  <c r="Q41" i="30" s="1"/>
  <c r="L41" i="30"/>
  <c r="N41" i="30" s="1"/>
  <c r="K41" i="30"/>
  <c r="M41" i="30" s="1"/>
  <c r="H41" i="30"/>
  <c r="J41" i="30" s="1"/>
  <c r="G41" i="30"/>
  <c r="I41" i="30" s="1"/>
  <c r="E41" i="30"/>
  <c r="D41" i="30"/>
  <c r="C41" i="30"/>
  <c r="AV40" i="30"/>
  <c r="AX40" i="30" s="1"/>
  <c r="AU40" i="30"/>
  <c r="AW40" i="30" s="1"/>
  <c r="AR40" i="30"/>
  <c r="AT40" i="30" s="1"/>
  <c r="AQ40" i="30"/>
  <c r="AS40" i="30" s="1"/>
  <c r="AN40" i="30"/>
  <c r="AP40" i="30" s="1"/>
  <c r="AM40" i="30"/>
  <c r="AO40" i="30" s="1"/>
  <c r="AJ40" i="30"/>
  <c r="AL40" i="30" s="1"/>
  <c r="AI40" i="30"/>
  <c r="AK40" i="30" s="1"/>
  <c r="AF40" i="30"/>
  <c r="AH40" i="30" s="1"/>
  <c r="AE40" i="30"/>
  <c r="AG40" i="30" s="1"/>
  <c r="AB40" i="30"/>
  <c r="AD40" i="30" s="1"/>
  <c r="AA40" i="30"/>
  <c r="AC40" i="30" s="1"/>
  <c r="X40" i="30"/>
  <c r="Z40" i="30" s="1"/>
  <c r="W40" i="30"/>
  <c r="Y40" i="30" s="1"/>
  <c r="T40" i="30"/>
  <c r="V40" i="30" s="1"/>
  <c r="S40" i="30"/>
  <c r="U40" i="30" s="1"/>
  <c r="P40" i="30"/>
  <c r="R40" i="30" s="1"/>
  <c r="O40" i="30"/>
  <c r="Q40" i="30" s="1"/>
  <c r="L40" i="30"/>
  <c r="N40" i="30" s="1"/>
  <c r="K40" i="30"/>
  <c r="M40" i="30" s="1"/>
  <c r="H40" i="30"/>
  <c r="J40" i="30" s="1"/>
  <c r="G40" i="30"/>
  <c r="I40" i="30" s="1"/>
  <c r="E40" i="30"/>
  <c r="D40" i="30"/>
  <c r="C40" i="30"/>
  <c r="AV39" i="30"/>
  <c r="AX39" i="30" s="1"/>
  <c r="AU39" i="30"/>
  <c r="AW39" i="30" s="1"/>
  <c r="AR39" i="30"/>
  <c r="AT39" i="30" s="1"/>
  <c r="AQ39" i="30"/>
  <c r="AS39" i="30" s="1"/>
  <c r="AN39" i="30"/>
  <c r="AP39" i="30" s="1"/>
  <c r="AM39" i="30"/>
  <c r="AO39" i="30" s="1"/>
  <c r="AJ39" i="30"/>
  <c r="AL39" i="30" s="1"/>
  <c r="AI39" i="30"/>
  <c r="AK39" i="30" s="1"/>
  <c r="AF39" i="30"/>
  <c r="AH39" i="30" s="1"/>
  <c r="AE39" i="30"/>
  <c r="AG39" i="30" s="1"/>
  <c r="AB39" i="30"/>
  <c r="AD39" i="30" s="1"/>
  <c r="AA39" i="30"/>
  <c r="AC39" i="30" s="1"/>
  <c r="X39" i="30"/>
  <c r="Z39" i="30" s="1"/>
  <c r="W39" i="30"/>
  <c r="Y39" i="30" s="1"/>
  <c r="T39" i="30"/>
  <c r="V39" i="30" s="1"/>
  <c r="S39" i="30"/>
  <c r="U39" i="30" s="1"/>
  <c r="P39" i="30"/>
  <c r="R39" i="30" s="1"/>
  <c r="O39" i="30"/>
  <c r="Q39" i="30" s="1"/>
  <c r="L39" i="30"/>
  <c r="N39" i="30" s="1"/>
  <c r="K39" i="30"/>
  <c r="M39" i="30" s="1"/>
  <c r="H39" i="30"/>
  <c r="J39" i="30" s="1"/>
  <c r="G39" i="30"/>
  <c r="I39" i="30" s="1"/>
  <c r="E39" i="30"/>
  <c r="D39" i="30"/>
  <c r="C39" i="30"/>
  <c r="AV38" i="30"/>
  <c r="AX38" i="30" s="1"/>
  <c r="AU38" i="30"/>
  <c r="AW38" i="30" s="1"/>
  <c r="AR38" i="30"/>
  <c r="AT38" i="30" s="1"/>
  <c r="AQ38" i="30"/>
  <c r="AS38" i="30" s="1"/>
  <c r="AN38" i="30"/>
  <c r="AP38" i="30" s="1"/>
  <c r="AM38" i="30"/>
  <c r="AO38" i="30" s="1"/>
  <c r="AJ38" i="30"/>
  <c r="AL38" i="30" s="1"/>
  <c r="AI38" i="30"/>
  <c r="AK38" i="30" s="1"/>
  <c r="AF38" i="30"/>
  <c r="AH38" i="30" s="1"/>
  <c r="AE38" i="30"/>
  <c r="AG38" i="30" s="1"/>
  <c r="AB38" i="30"/>
  <c r="AD38" i="30" s="1"/>
  <c r="AA38" i="30"/>
  <c r="AC38" i="30" s="1"/>
  <c r="X38" i="30"/>
  <c r="Z38" i="30" s="1"/>
  <c r="W38" i="30"/>
  <c r="Y38" i="30" s="1"/>
  <c r="T38" i="30"/>
  <c r="V38" i="30" s="1"/>
  <c r="S38" i="30"/>
  <c r="U38" i="30" s="1"/>
  <c r="P38" i="30"/>
  <c r="R38" i="30" s="1"/>
  <c r="O38" i="30"/>
  <c r="Q38" i="30" s="1"/>
  <c r="L38" i="30"/>
  <c r="N38" i="30" s="1"/>
  <c r="K38" i="30"/>
  <c r="M38" i="30" s="1"/>
  <c r="H38" i="30"/>
  <c r="J38" i="30" s="1"/>
  <c r="G38" i="30"/>
  <c r="I38" i="30" s="1"/>
  <c r="E38" i="30"/>
  <c r="D38" i="30"/>
  <c r="C38" i="30"/>
  <c r="AV37" i="30"/>
  <c r="AX37" i="30" s="1"/>
  <c r="AU37" i="30"/>
  <c r="AW37" i="30" s="1"/>
  <c r="AR37" i="30"/>
  <c r="AT37" i="30" s="1"/>
  <c r="AQ37" i="30"/>
  <c r="AS37" i="30" s="1"/>
  <c r="AN37" i="30"/>
  <c r="AP37" i="30" s="1"/>
  <c r="AM37" i="30"/>
  <c r="AO37" i="30" s="1"/>
  <c r="AJ37" i="30"/>
  <c r="AL37" i="30" s="1"/>
  <c r="AI37" i="30"/>
  <c r="AK37" i="30" s="1"/>
  <c r="AF37" i="30"/>
  <c r="AH37" i="30" s="1"/>
  <c r="AE37" i="30"/>
  <c r="AG37" i="30" s="1"/>
  <c r="AB37" i="30"/>
  <c r="AD37" i="30" s="1"/>
  <c r="AA37" i="30"/>
  <c r="AC37" i="30" s="1"/>
  <c r="X37" i="30"/>
  <c r="Z37" i="30" s="1"/>
  <c r="W37" i="30"/>
  <c r="Y37" i="30" s="1"/>
  <c r="T37" i="30"/>
  <c r="V37" i="30" s="1"/>
  <c r="S37" i="30"/>
  <c r="U37" i="30" s="1"/>
  <c r="P37" i="30"/>
  <c r="R37" i="30" s="1"/>
  <c r="O37" i="30"/>
  <c r="Q37" i="30" s="1"/>
  <c r="L37" i="30"/>
  <c r="N37" i="30" s="1"/>
  <c r="K37" i="30"/>
  <c r="M37" i="30" s="1"/>
  <c r="H37" i="30"/>
  <c r="J37" i="30" s="1"/>
  <c r="G37" i="30"/>
  <c r="I37" i="30" s="1"/>
  <c r="E37" i="30"/>
  <c r="D37" i="30"/>
  <c r="C37" i="30"/>
  <c r="AV36" i="30"/>
  <c r="AX36" i="30" s="1"/>
  <c r="AU36" i="30"/>
  <c r="AW36" i="30" s="1"/>
  <c r="AR36" i="30"/>
  <c r="AT36" i="30" s="1"/>
  <c r="AQ36" i="30"/>
  <c r="AS36" i="30" s="1"/>
  <c r="AN36" i="30"/>
  <c r="AP36" i="30" s="1"/>
  <c r="AM36" i="30"/>
  <c r="AO36" i="30" s="1"/>
  <c r="AJ36" i="30"/>
  <c r="AL36" i="30" s="1"/>
  <c r="AI36" i="30"/>
  <c r="AK36" i="30" s="1"/>
  <c r="AF36" i="30"/>
  <c r="AH36" i="30" s="1"/>
  <c r="AE36" i="30"/>
  <c r="AG36" i="30" s="1"/>
  <c r="AB36" i="30"/>
  <c r="AD36" i="30" s="1"/>
  <c r="AA36" i="30"/>
  <c r="AC36" i="30" s="1"/>
  <c r="X36" i="30"/>
  <c r="Z36" i="30" s="1"/>
  <c r="W36" i="30"/>
  <c r="Y36" i="30" s="1"/>
  <c r="T36" i="30"/>
  <c r="V36" i="30" s="1"/>
  <c r="S36" i="30"/>
  <c r="U36" i="30" s="1"/>
  <c r="P36" i="30"/>
  <c r="R36" i="30" s="1"/>
  <c r="O36" i="30"/>
  <c r="Q36" i="30" s="1"/>
  <c r="L36" i="30"/>
  <c r="N36" i="30" s="1"/>
  <c r="K36" i="30"/>
  <c r="M36" i="30" s="1"/>
  <c r="H36" i="30"/>
  <c r="J36" i="30" s="1"/>
  <c r="G36" i="30"/>
  <c r="I36" i="30" s="1"/>
  <c r="E36" i="30"/>
  <c r="D36" i="30"/>
  <c r="C36" i="30"/>
  <c r="AV35" i="30"/>
  <c r="AX35" i="30" s="1"/>
  <c r="AU35" i="30"/>
  <c r="AW35" i="30" s="1"/>
  <c r="AR35" i="30"/>
  <c r="AT35" i="30" s="1"/>
  <c r="AQ35" i="30"/>
  <c r="AS35" i="30" s="1"/>
  <c r="AN35" i="30"/>
  <c r="AP35" i="30" s="1"/>
  <c r="AM35" i="30"/>
  <c r="AO35" i="30" s="1"/>
  <c r="AJ35" i="30"/>
  <c r="AL35" i="30" s="1"/>
  <c r="AI35" i="30"/>
  <c r="AK35" i="30" s="1"/>
  <c r="AF35" i="30"/>
  <c r="AH35" i="30" s="1"/>
  <c r="AE35" i="30"/>
  <c r="AG35" i="30" s="1"/>
  <c r="AB35" i="30"/>
  <c r="AD35" i="30" s="1"/>
  <c r="AA35" i="30"/>
  <c r="AC35" i="30" s="1"/>
  <c r="X35" i="30"/>
  <c r="Z35" i="30" s="1"/>
  <c r="W35" i="30"/>
  <c r="Y35" i="30" s="1"/>
  <c r="T35" i="30"/>
  <c r="V35" i="30" s="1"/>
  <c r="S35" i="30"/>
  <c r="U35" i="30" s="1"/>
  <c r="P35" i="30"/>
  <c r="R35" i="30" s="1"/>
  <c r="O35" i="30"/>
  <c r="Q35" i="30" s="1"/>
  <c r="L35" i="30"/>
  <c r="N35" i="30" s="1"/>
  <c r="K35" i="30"/>
  <c r="M35" i="30" s="1"/>
  <c r="H35" i="30"/>
  <c r="J35" i="30" s="1"/>
  <c r="G35" i="30"/>
  <c r="I35" i="30" s="1"/>
  <c r="E35" i="30"/>
  <c r="D35" i="30"/>
  <c r="C35" i="30"/>
  <c r="AV34" i="30"/>
  <c r="AX34" i="30" s="1"/>
  <c r="AU34" i="30"/>
  <c r="AW34" i="30" s="1"/>
  <c r="AR34" i="30"/>
  <c r="AT34" i="30" s="1"/>
  <c r="AQ34" i="30"/>
  <c r="AS34" i="30" s="1"/>
  <c r="AN34" i="30"/>
  <c r="AP34" i="30" s="1"/>
  <c r="AM34" i="30"/>
  <c r="AO34" i="30" s="1"/>
  <c r="AJ34" i="30"/>
  <c r="AL34" i="30" s="1"/>
  <c r="AI34" i="30"/>
  <c r="AK34" i="30" s="1"/>
  <c r="AF34" i="30"/>
  <c r="AH34" i="30" s="1"/>
  <c r="AE34" i="30"/>
  <c r="AG34" i="30" s="1"/>
  <c r="AB34" i="30"/>
  <c r="AD34" i="30" s="1"/>
  <c r="AA34" i="30"/>
  <c r="AC34" i="30" s="1"/>
  <c r="X34" i="30"/>
  <c r="Z34" i="30" s="1"/>
  <c r="W34" i="30"/>
  <c r="Y34" i="30" s="1"/>
  <c r="T34" i="30"/>
  <c r="V34" i="30" s="1"/>
  <c r="S34" i="30"/>
  <c r="U34" i="30" s="1"/>
  <c r="P34" i="30"/>
  <c r="R34" i="30" s="1"/>
  <c r="O34" i="30"/>
  <c r="Q34" i="30" s="1"/>
  <c r="L34" i="30"/>
  <c r="N34" i="30" s="1"/>
  <c r="K34" i="30"/>
  <c r="M34" i="30" s="1"/>
  <c r="H34" i="30"/>
  <c r="J34" i="30" s="1"/>
  <c r="G34" i="30"/>
  <c r="I34" i="30" s="1"/>
  <c r="E34" i="30"/>
  <c r="D34" i="30"/>
  <c r="C34" i="30"/>
  <c r="AV33" i="30"/>
  <c r="AX33" i="30" s="1"/>
  <c r="AU33" i="30"/>
  <c r="AW33" i="30" s="1"/>
  <c r="AR33" i="30"/>
  <c r="AT33" i="30" s="1"/>
  <c r="AQ33" i="30"/>
  <c r="AS33" i="30" s="1"/>
  <c r="AN33" i="30"/>
  <c r="AP33" i="30" s="1"/>
  <c r="AM33" i="30"/>
  <c r="AO33" i="30" s="1"/>
  <c r="AJ33" i="30"/>
  <c r="AL33" i="30" s="1"/>
  <c r="AI33" i="30"/>
  <c r="AK33" i="30" s="1"/>
  <c r="AF33" i="30"/>
  <c r="AH33" i="30" s="1"/>
  <c r="AE33" i="30"/>
  <c r="AG33" i="30" s="1"/>
  <c r="AB33" i="30"/>
  <c r="AD33" i="30" s="1"/>
  <c r="AA33" i="30"/>
  <c r="AC33" i="30" s="1"/>
  <c r="X33" i="30"/>
  <c r="Z33" i="30" s="1"/>
  <c r="W33" i="30"/>
  <c r="Y33" i="30" s="1"/>
  <c r="T33" i="30"/>
  <c r="V33" i="30" s="1"/>
  <c r="S33" i="30"/>
  <c r="U33" i="30" s="1"/>
  <c r="P33" i="30"/>
  <c r="R33" i="30" s="1"/>
  <c r="O33" i="30"/>
  <c r="Q33" i="30" s="1"/>
  <c r="L33" i="30"/>
  <c r="N33" i="30" s="1"/>
  <c r="K33" i="30"/>
  <c r="M33" i="30" s="1"/>
  <c r="H33" i="30"/>
  <c r="J33" i="30" s="1"/>
  <c r="G33" i="30"/>
  <c r="I33" i="30" s="1"/>
  <c r="E33" i="30"/>
  <c r="D33" i="30"/>
  <c r="C33" i="30"/>
  <c r="AV32" i="30"/>
  <c r="AX32" i="30" s="1"/>
  <c r="AU32" i="30"/>
  <c r="AW32" i="30" s="1"/>
  <c r="AR32" i="30"/>
  <c r="AT32" i="30" s="1"/>
  <c r="AQ32" i="30"/>
  <c r="AS32" i="30" s="1"/>
  <c r="AN32" i="30"/>
  <c r="AP32" i="30" s="1"/>
  <c r="AM32" i="30"/>
  <c r="AO32" i="30" s="1"/>
  <c r="AJ32" i="30"/>
  <c r="AL32" i="30" s="1"/>
  <c r="AI32" i="30"/>
  <c r="AK32" i="30" s="1"/>
  <c r="AF32" i="30"/>
  <c r="AH32" i="30" s="1"/>
  <c r="AE32" i="30"/>
  <c r="AG32" i="30" s="1"/>
  <c r="AB32" i="30"/>
  <c r="AD32" i="30" s="1"/>
  <c r="AA32" i="30"/>
  <c r="AC32" i="30" s="1"/>
  <c r="X32" i="30"/>
  <c r="Z32" i="30" s="1"/>
  <c r="W32" i="30"/>
  <c r="Y32" i="30" s="1"/>
  <c r="T32" i="30"/>
  <c r="V32" i="30" s="1"/>
  <c r="S32" i="30"/>
  <c r="U32" i="30" s="1"/>
  <c r="P32" i="30"/>
  <c r="R32" i="30" s="1"/>
  <c r="O32" i="30"/>
  <c r="Q32" i="30" s="1"/>
  <c r="L32" i="30"/>
  <c r="N32" i="30" s="1"/>
  <c r="K32" i="30"/>
  <c r="M32" i="30" s="1"/>
  <c r="H32" i="30"/>
  <c r="J32" i="30" s="1"/>
  <c r="G32" i="30"/>
  <c r="I32" i="30" s="1"/>
  <c r="E32" i="30"/>
  <c r="D32" i="30"/>
  <c r="C32" i="30"/>
  <c r="AV31" i="30"/>
  <c r="AX31" i="30" s="1"/>
  <c r="AU31" i="30"/>
  <c r="AW31" i="30" s="1"/>
  <c r="AR31" i="30"/>
  <c r="AT31" i="30" s="1"/>
  <c r="AQ31" i="30"/>
  <c r="AS31" i="30" s="1"/>
  <c r="AN31" i="30"/>
  <c r="AP31" i="30" s="1"/>
  <c r="AM31" i="30"/>
  <c r="AO31" i="30" s="1"/>
  <c r="AJ31" i="30"/>
  <c r="AL31" i="30" s="1"/>
  <c r="AI31" i="30"/>
  <c r="AK31" i="30" s="1"/>
  <c r="AF31" i="30"/>
  <c r="AH31" i="30" s="1"/>
  <c r="AE31" i="30"/>
  <c r="AG31" i="30" s="1"/>
  <c r="AB31" i="30"/>
  <c r="AD31" i="30" s="1"/>
  <c r="AA31" i="30"/>
  <c r="AC31" i="30" s="1"/>
  <c r="X31" i="30"/>
  <c r="Z31" i="30" s="1"/>
  <c r="W31" i="30"/>
  <c r="Y31" i="30" s="1"/>
  <c r="T31" i="30"/>
  <c r="V31" i="30" s="1"/>
  <c r="S31" i="30"/>
  <c r="U31" i="30" s="1"/>
  <c r="P31" i="30"/>
  <c r="R31" i="30" s="1"/>
  <c r="O31" i="30"/>
  <c r="Q31" i="30" s="1"/>
  <c r="L31" i="30"/>
  <c r="N31" i="30" s="1"/>
  <c r="K31" i="30"/>
  <c r="M31" i="30" s="1"/>
  <c r="H31" i="30"/>
  <c r="J31" i="30" s="1"/>
  <c r="G31" i="30"/>
  <c r="I31" i="30" s="1"/>
  <c r="E31" i="30"/>
  <c r="D31" i="30"/>
  <c r="C31" i="30"/>
  <c r="AV30" i="30"/>
  <c r="AX30" i="30" s="1"/>
  <c r="AU30" i="30"/>
  <c r="AW30" i="30" s="1"/>
  <c r="AR30" i="30"/>
  <c r="AT30" i="30" s="1"/>
  <c r="AQ30" i="30"/>
  <c r="AS30" i="30" s="1"/>
  <c r="AN30" i="30"/>
  <c r="AP30" i="30" s="1"/>
  <c r="AM30" i="30"/>
  <c r="AO30" i="30" s="1"/>
  <c r="AJ30" i="30"/>
  <c r="AL30" i="30" s="1"/>
  <c r="AI30" i="30"/>
  <c r="AK30" i="30" s="1"/>
  <c r="AF30" i="30"/>
  <c r="AH30" i="30" s="1"/>
  <c r="AE30" i="30"/>
  <c r="AG30" i="30" s="1"/>
  <c r="AB30" i="30"/>
  <c r="AD30" i="30" s="1"/>
  <c r="AA30" i="30"/>
  <c r="AC30" i="30" s="1"/>
  <c r="X30" i="30"/>
  <c r="Z30" i="30" s="1"/>
  <c r="W30" i="30"/>
  <c r="Y30" i="30" s="1"/>
  <c r="T30" i="30"/>
  <c r="V30" i="30" s="1"/>
  <c r="S30" i="30"/>
  <c r="U30" i="30" s="1"/>
  <c r="R30" i="30"/>
  <c r="P30" i="30"/>
  <c r="O30" i="30"/>
  <c r="Q30" i="30" s="1"/>
  <c r="L30" i="30"/>
  <c r="N30" i="30" s="1"/>
  <c r="K30" i="30"/>
  <c r="M30" i="30" s="1"/>
  <c r="H30" i="30"/>
  <c r="J30" i="30" s="1"/>
  <c r="G30" i="30"/>
  <c r="I30" i="30" s="1"/>
  <c r="E30" i="30"/>
  <c r="D30" i="30"/>
  <c r="C30" i="30"/>
  <c r="AV29" i="30"/>
  <c r="AX29" i="30" s="1"/>
  <c r="AU29" i="30"/>
  <c r="AW29" i="30" s="1"/>
  <c r="AR29" i="30"/>
  <c r="AT29" i="30" s="1"/>
  <c r="AQ29" i="30"/>
  <c r="AS29" i="30" s="1"/>
  <c r="AN29" i="30"/>
  <c r="AP29" i="30" s="1"/>
  <c r="AM29" i="30"/>
  <c r="AO29" i="30" s="1"/>
  <c r="AJ29" i="30"/>
  <c r="AL29" i="30" s="1"/>
  <c r="AI29" i="30"/>
  <c r="AK29" i="30" s="1"/>
  <c r="AF29" i="30"/>
  <c r="AH29" i="30" s="1"/>
  <c r="AE29" i="30"/>
  <c r="AG29" i="30" s="1"/>
  <c r="AB29" i="30"/>
  <c r="AD29" i="30" s="1"/>
  <c r="AA29" i="30"/>
  <c r="AC29" i="30" s="1"/>
  <c r="X29" i="30"/>
  <c r="Z29" i="30" s="1"/>
  <c r="W29" i="30"/>
  <c r="Y29" i="30" s="1"/>
  <c r="T29" i="30"/>
  <c r="V29" i="30" s="1"/>
  <c r="S29" i="30"/>
  <c r="U29" i="30" s="1"/>
  <c r="P29" i="30"/>
  <c r="R29" i="30" s="1"/>
  <c r="O29" i="30"/>
  <c r="Q29" i="30" s="1"/>
  <c r="L29" i="30"/>
  <c r="N29" i="30" s="1"/>
  <c r="K29" i="30"/>
  <c r="M29" i="30" s="1"/>
  <c r="H29" i="30"/>
  <c r="J29" i="30" s="1"/>
  <c r="G29" i="30"/>
  <c r="I29" i="30" s="1"/>
  <c r="E29" i="30"/>
  <c r="D29" i="30"/>
  <c r="C29" i="30"/>
  <c r="AV28" i="30"/>
  <c r="AX28" i="30" s="1"/>
  <c r="AU28" i="30"/>
  <c r="AW28" i="30" s="1"/>
  <c r="AR28" i="30"/>
  <c r="AT28" i="30" s="1"/>
  <c r="AQ28" i="30"/>
  <c r="AS28" i="30" s="1"/>
  <c r="AN28" i="30"/>
  <c r="AP28" i="30" s="1"/>
  <c r="AM28" i="30"/>
  <c r="AO28" i="30" s="1"/>
  <c r="AJ28" i="30"/>
  <c r="AL28" i="30" s="1"/>
  <c r="AI28" i="30"/>
  <c r="AK28" i="30" s="1"/>
  <c r="AF28" i="30"/>
  <c r="AH28" i="30" s="1"/>
  <c r="AE28" i="30"/>
  <c r="AG28" i="30" s="1"/>
  <c r="AB28" i="30"/>
  <c r="AD28" i="30" s="1"/>
  <c r="AA28" i="30"/>
  <c r="AC28" i="30" s="1"/>
  <c r="X28" i="30"/>
  <c r="Z28" i="30" s="1"/>
  <c r="W28" i="30"/>
  <c r="Y28" i="30" s="1"/>
  <c r="T28" i="30"/>
  <c r="V28" i="30" s="1"/>
  <c r="S28" i="30"/>
  <c r="U28" i="30" s="1"/>
  <c r="P28" i="30"/>
  <c r="R28" i="30" s="1"/>
  <c r="O28" i="30"/>
  <c r="Q28" i="30" s="1"/>
  <c r="L28" i="30"/>
  <c r="N28" i="30" s="1"/>
  <c r="K28" i="30"/>
  <c r="M28" i="30" s="1"/>
  <c r="H28" i="30"/>
  <c r="J28" i="30" s="1"/>
  <c r="G28" i="30"/>
  <c r="I28" i="30" s="1"/>
  <c r="E28" i="30"/>
  <c r="D28" i="30"/>
  <c r="C28" i="30"/>
  <c r="AV27" i="30"/>
  <c r="AX27" i="30" s="1"/>
  <c r="AU27" i="30"/>
  <c r="AW27" i="30" s="1"/>
  <c r="AR27" i="30"/>
  <c r="AT27" i="30" s="1"/>
  <c r="AQ27" i="30"/>
  <c r="AS27" i="30" s="1"/>
  <c r="AN27" i="30"/>
  <c r="AP27" i="30" s="1"/>
  <c r="AM27" i="30"/>
  <c r="AO27" i="30" s="1"/>
  <c r="AJ27" i="30"/>
  <c r="AL27" i="30" s="1"/>
  <c r="AI27" i="30"/>
  <c r="AK27" i="30" s="1"/>
  <c r="AF27" i="30"/>
  <c r="AH27" i="30" s="1"/>
  <c r="AE27" i="30"/>
  <c r="AG27" i="30" s="1"/>
  <c r="AB27" i="30"/>
  <c r="AD27" i="30" s="1"/>
  <c r="AA27" i="30"/>
  <c r="AC27" i="30" s="1"/>
  <c r="X27" i="30"/>
  <c r="Z27" i="30" s="1"/>
  <c r="W27" i="30"/>
  <c r="Y27" i="30" s="1"/>
  <c r="T27" i="30"/>
  <c r="V27" i="30" s="1"/>
  <c r="S27" i="30"/>
  <c r="U27" i="30" s="1"/>
  <c r="P27" i="30"/>
  <c r="R27" i="30" s="1"/>
  <c r="O27" i="30"/>
  <c r="Q27" i="30" s="1"/>
  <c r="L27" i="30"/>
  <c r="N27" i="30" s="1"/>
  <c r="K27" i="30"/>
  <c r="M27" i="30" s="1"/>
  <c r="H27" i="30"/>
  <c r="J27" i="30" s="1"/>
  <c r="G27" i="30"/>
  <c r="I27" i="30" s="1"/>
  <c r="E27" i="30"/>
  <c r="D27" i="30"/>
  <c r="C27" i="30"/>
  <c r="AV26" i="30"/>
  <c r="AX26" i="30" s="1"/>
  <c r="AU26" i="30"/>
  <c r="AW26" i="30" s="1"/>
  <c r="AR26" i="30"/>
  <c r="AT26" i="30" s="1"/>
  <c r="AQ26" i="30"/>
  <c r="AS26" i="30" s="1"/>
  <c r="AN26" i="30"/>
  <c r="AP26" i="30" s="1"/>
  <c r="AM26" i="30"/>
  <c r="AO26" i="30" s="1"/>
  <c r="AJ26" i="30"/>
  <c r="AL26" i="30" s="1"/>
  <c r="AI26" i="30"/>
  <c r="AK26" i="30" s="1"/>
  <c r="AF26" i="30"/>
  <c r="AH26" i="30" s="1"/>
  <c r="AE26" i="30"/>
  <c r="AG26" i="30" s="1"/>
  <c r="AB26" i="30"/>
  <c r="AD26" i="30" s="1"/>
  <c r="AA26" i="30"/>
  <c r="AC26" i="30" s="1"/>
  <c r="X26" i="30"/>
  <c r="Z26" i="30" s="1"/>
  <c r="W26" i="30"/>
  <c r="Y26" i="30" s="1"/>
  <c r="T26" i="30"/>
  <c r="V26" i="30" s="1"/>
  <c r="S26" i="30"/>
  <c r="U26" i="30" s="1"/>
  <c r="P26" i="30"/>
  <c r="R26" i="30" s="1"/>
  <c r="O26" i="30"/>
  <c r="Q26" i="30" s="1"/>
  <c r="L26" i="30"/>
  <c r="N26" i="30" s="1"/>
  <c r="K26" i="30"/>
  <c r="M26" i="30" s="1"/>
  <c r="H26" i="30"/>
  <c r="J26" i="30" s="1"/>
  <c r="G26" i="30"/>
  <c r="I26" i="30" s="1"/>
  <c r="E26" i="30"/>
  <c r="D26" i="30"/>
  <c r="C26" i="30"/>
  <c r="AV25" i="30"/>
  <c r="AX25" i="30" s="1"/>
  <c r="AU25" i="30"/>
  <c r="AW25" i="30" s="1"/>
  <c r="AR25" i="30"/>
  <c r="AT25" i="30" s="1"/>
  <c r="AQ25" i="30"/>
  <c r="AS25" i="30" s="1"/>
  <c r="AN25" i="30"/>
  <c r="AP25" i="30" s="1"/>
  <c r="AM25" i="30"/>
  <c r="AO25" i="30" s="1"/>
  <c r="AJ25" i="30"/>
  <c r="AL25" i="30" s="1"/>
  <c r="AI25" i="30"/>
  <c r="AK25" i="30" s="1"/>
  <c r="AF25" i="30"/>
  <c r="AH25" i="30" s="1"/>
  <c r="AE25" i="30"/>
  <c r="AG25" i="30" s="1"/>
  <c r="AB25" i="30"/>
  <c r="AD25" i="30" s="1"/>
  <c r="AA25" i="30"/>
  <c r="AC25" i="30" s="1"/>
  <c r="X25" i="30"/>
  <c r="Z25" i="30" s="1"/>
  <c r="W25" i="30"/>
  <c r="Y25" i="30" s="1"/>
  <c r="T25" i="30"/>
  <c r="V25" i="30" s="1"/>
  <c r="S25" i="30"/>
  <c r="U25" i="30" s="1"/>
  <c r="P25" i="30"/>
  <c r="R25" i="30" s="1"/>
  <c r="O25" i="30"/>
  <c r="Q25" i="30" s="1"/>
  <c r="L25" i="30"/>
  <c r="N25" i="30" s="1"/>
  <c r="K25" i="30"/>
  <c r="M25" i="30" s="1"/>
  <c r="H25" i="30"/>
  <c r="J25" i="30" s="1"/>
  <c r="G25" i="30"/>
  <c r="I25" i="30" s="1"/>
  <c r="E25" i="30"/>
  <c r="D25" i="30"/>
  <c r="C25" i="30"/>
  <c r="AV24" i="30"/>
  <c r="AX24" i="30" s="1"/>
  <c r="AU24" i="30"/>
  <c r="AW24" i="30" s="1"/>
  <c r="AR24" i="30"/>
  <c r="AT24" i="30" s="1"/>
  <c r="AQ24" i="30"/>
  <c r="AS24" i="30" s="1"/>
  <c r="AN24" i="30"/>
  <c r="AP24" i="30" s="1"/>
  <c r="AM24" i="30"/>
  <c r="AO24" i="30" s="1"/>
  <c r="AJ24" i="30"/>
  <c r="AL24" i="30" s="1"/>
  <c r="AI24" i="30"/>
  <c r="AK24" i="30" s="1"/>
  <c r="AF24" i="30"/>
  <c r="AH24" i="30" s="1"/>
  <c r="AE24" i="30"/>
  <c r="AG24" i="30" s="1"/>
  <c r="AB24" i="30"/>
  <c r="AD24" i="30" s="1"/>
  <c r="AA24" i="30"/>
  <c r="AC24" i="30" s="1"/>
  <c r="X24" i="30"/>
  <c r="Z24" i="30" s="1"/>
  <c r="W24" i="30"/>
  <c r="Y24" i="30" s="1"/>
  <c r="T24" i="30"/>
  <c r="V24" i="30" s="1"/>
  <c r="S24" i="30"/>
  <c r="U24" i="30" s="1"/>
  <c r="R24" i="30"/>
  <c r="P24" i="30"/>
  <c r="O24" i="30"/>
  <c r="Q24" i="30" s="1"/>
  <c r="L24" i="30"/>
  <c r="N24" i="30" s="1"/>
  <c r="K24" i="30"/>
  <c r="M24" i="30" s="1"/>
  <c r="H24" i="30"/>
  <c r="J24" i="30" s="1"/>
  <c r="G24" i="30"/>
  <c r="I24" i="30" s="1"/>
  <c r="E24" i="30"/>
  <c r="D24" i="30"/>
  <c r="C24" i="30"/>
  <c r="AV23" i="30"/>
  <c r="AX23" i="30" s="1"/>
  <c r="AU23" i="30"/>
  <c r="AW23" i="30" s="1"/>
  <c r="AR23" i="30"/>
  <c r="AT23" i="30" s="1"/>
  <c r="AQ23" i="30"/>
  <c r="AS23" i="30" s="1"/>
  <c r="AN23" i="30"/>
  <c r="AP23" i="30" s="1"/>
  <c r="AM23" i="30"/>
  <c r="AO23" i="30" s="1"/>
  <c r="AJ23" i="30"/>
  <c r="AL23" i="30" s="1"/>
  <c r="AI23" i="30"/>
  <c r="AK23" i="30" s="1"/>
  <c r="AF23" i="30"/>
  <c r="AH23" i="30" s="1"/>
  <c r="AE23" i="30"/>
  <c r="AG23" i="30" s="1"/>
  <c r="AB23" i="30"/>
  <c r="AD23" i="30" s="1"/>
  <c r="AA23" i="30"/>
  <c r="AC23" i="30" s="1"/>
  <c r="X23" i="30"/>
  <c r="Z23" i="30" s="1"/>
  <c r="W23" i="30"/>
  <c r="Y23" i="30" s="1"/>
  <c r="T23" i="30"/>
  <c r="V23" i="30" s="1"/>
  <c r="S23" i="30"/>
  <c r="U23" i="30" s="1"/>
  <c r="P23" i="30"/>
  <c r="R23" i="30" s="1"/>
  <c r="O23" i="30"/>
  <c r="Q23" i="30" s="1"/>
  <c r="L23" i="30"/>
  <c r="N23" i="30" s="1"/>
  <c r="K23" i="30"/>
  <c r="M23" i="30" s="1"/>
  <c r="H23" i="30"/>
  <c r="J23" i="30" s="1"/>
  <c r="G23" i="30"/>
  <c r="I23" i="30" s="1"/>
  <c r="E23" i="30"/>
  <c r="D23" i="30"/>
  <c r="C23" i="30"/>
  <c r="AV22" i="30"/>
  <c r="AX22" i="30" s="1"/>
  <c r="AU22" i="30"/>
  <c r="AW22" i="30" s="1"/>
  <c r="AR22" i="30"/>
  <c r="AT22" i="30" s="1"/>
  <c r="AQ22" i="30"/>
  <c r="AS22" i="30" s="1"/>
  <c r="AN22" i="30"/>
  <c r="AP22" i="30" s="1"/>
  <c r="AM22" i="30"/>
  <c r="AO22" i="30" s="1"/>
  <c r="AJ22" i="30"/>
  <c r="AL22" i="30" s="1"/>
  <c r="AI22" i="30"/>
  <c r="AK22" i="30" s="1"/>
  <c r="AF22" i="30"/>
  <c r="AH22" i="30" s="1"/>
  <c r="AE22" i="30"/>
  <c r="AG22" i="30" s="1"/>
  <c r="AB22" i="30"/>
  <c r="AD22" i="30" s="1"/>
  <c r="AA22" i="30"/>
  <c r="AC22" i="30" s="1"/>
  <c r="X22" i="30"/>
  <c r="Z22" i="30" s="1"/>
  <c r="W22" i="30"/>
  <c r="Y22" i="30" s="1"/>
  <c r="T22" i="30"/>
  <c r="V22" i="30" s="1"/>
  <c r="S22" i="30"/>
  <c r="U22" i="30" s="1"/>
  <c r="P22" i="30"/>
  <c r="R22" i="30" s="1"/>
  <c r="O22" i="30"/>
  <c r="Q22" i="30" s="1"/>
  <c r="L22" i="30"/>
  <c r="N22" i="30" s="1"/>
  <c r="K22" i="30"/>
  <c r="M22" i="30" s="1"/>
  <c r="H22" i="30"/>
  <c r="J22" i="30" s="1"/>
  <c r="G22" i="30"/>
  <c r="I22" i="30" s="1"/>
  <c r="E22" i="30"/>
  <c r="D22" i="30"/>
  <c r="C22" i="30"/>
  <c r="AV21" i="30"/>
  <c r="AX21" i="30" s="1"/>
  <c r="AU21" i="30"/>
  <c r="AW21" i="30" s="1"/>
  <c r="AR21" i="30"/>
  <c r="AT21" i="30" s="1"/>
  <c r="AQ21" i="30"/>
  <c r="AS21" i="30" s="1"/>
  <c r="AN21" i="30"/>
  <c r="AP21" i="30" s="1"/>
  <c r="AM21" i="30"/>
  <c r="AO21" i="30" s="1"/>
  <c r="AJ21" i="30"/>
  <c r="AL21" i="30" s="1"/>
  <c r="AI21" i="30"/>
  <c r="AK21" i="30" s="1"/>
  <c r="AF21" i="30"/>
  <c r="AH21" i="30" s="1"/>
  <c r="AE21" i="30"/>
  <c r="AG21" i="30" s="1"/>
  <c r="AB21" i="30"/>
  <c r="AD21" i="30" s="1"/>
  <c r="AA21" i="30"/>
  <c r="AC21" i="30" s="1"/>
  <c r="X21" i="30"/>
  <c r="Z21" i="30" s="1"/>
  <c r="W21" i="30"/>
  <c r="Y21" i="30" s="1"/>
  <c r="T21" i="30"/>
  <c r="V21" i="30" s="1"/>
  <c r="S21" i="30"/>
  <c r="U21" i="30" s="1"/>
  <c r="P21" i="30"/>
  <c r="R21" i="30" s="1"/>
  <c r="O21" i="30"/>
  <c r="Q21" i="30" s="1"/>
  <c r="L21" i="30"/>
  <c r="N21" i="30" s="1"/>
  <c r="K21" i="30"/>
  <c r="M21" i="30" s="1"/>
  <c r="H21" i="30"/>
  <c r="J21" i="30" s="1"/>
  <c r="G21" i="30"/>
  <c r="I21" i="30" s="1"/>
  <c r="E21" i="30"/>
  <c r="D21" i="30"/>
  <c r="C21" i="30"/>
  <c r="AV20" i="30"/>
  <c r="AX20" i="30" s="1"/>
  <c r="AU20" i="30"/>
  <c r="AW20" i="30" s="1"/>
  <c r="AR20" i="30"/>
  <c r="AT20" i="30" s="1"/>
  <c r="AQ20" i="30"/>
  <c r="AS20" i="30" s="1"/>
  <c r="AN20" i="30"/>
  <c r="AP20" i="30" s="1"/>
  <c r="AM20" i="30"/>
  <c r="AO20" i="30" s="1"/>
  <c r="AJ20" i="30"/>
  <c r="AL20" i="30" s="1"/>
  <c r="AI20" i="30"/>
  <c r="AK20" i="30" s="1"/>
  <c r="AF20" i="30"/>
  <c r="AH20" i="30" s="1"/>
  <c r="AE20" i="30"/>
  <c r="AG20" i="30" s="1"/>
  <c r="AB20" i="30"/>
  <c r="AD20" i="30" s="1"/>
  <c r="AA20" i="30"/>
  <c r="AC20" i="30" s="1"/>
  <c r="X20" i="30"/>
  <c r="Z20" i="30" s="1"/>
  <c r="W20" i="30"/>
  <c r="Y20" i="30" s="1"/>
  <c r="T20" i="30"/>
  <c r="V20" i="30" s="1"/>
  <c r="S20" i="30"/>
  <c r="U20" i="30" s="1"/>
  <c r="P20" i="30"/>
  <c r="R20" i="30" s="1"/>
  <c r="O20" i="30"/>
  <c r="Q20" i="30" s="1"/>
  <c r="L20" i="30"/>
  <c r="N20" i="30" s="1"/>
  <c r="K20" i="30"/>
  <c r="M20" i="30" s="1"/>
  <c r="H20" i="30"/>
  <c r="J20" i="30" s="1"/>
  <c r="G20" i="30"/>
  <c r="I20" i="30" s="1"/>
  <c r="E20" i="30"/>
  <c r="D20" i="30"/>
  <c r="C20" i="30"/>
  <c r="AV19" i="30"/>
  <c r="AX19" i="30" s="1"/>
  <c r="AU19" i="30"/>
  <c r="AW19" i="30" s="1"/>
  <c r="AR19" i="30"/>
  <c r="AT19" i="30" s="1"/>
  <c r="AQ19" i="30"/>
  <c r="AS19" i="30" s="1"/>
  <c r="AN19" i="30"/>
  <c r="AP19" i="30" s="1"/>
  <c r="AM19" i="30"/>
  <c r="AO19" i="30" s="1"/>
  <c r="AJ19" i="30"/>
  <c r="AL19" i="30" s="1"/>
  <c r="AI19" i="30"/>
  <c r="AK19" i="30" s="1"/>
  <c r="AF19" i="30"/>
  <c r="AH19" i="30" s="1"/>
  <c r="AE19" i="30"/>
  <c r="AG19" i="30" s="1"/>
  <c r="AB19" i="30"/>
  <c r="AD19" i="30" s="1"/>
  <c r="AA19" i="30"/>
  <c r="AC19" i="30" s="1"/>
  <c r="X19" i="30"/>
  <c r="Z19" i="30" s="1"/>
  <c r="W19" i="30"/>
  <c r="Y19" i="30" s="1"/>
  <c r="T19" i="30"/>
  <c r="V19" i="30" s="1"/>
  <c r="S19" i="30"/>
  <c r="U19" i="30" s="1"/>
  <c r="P19" i="30"/>
  <c r="R19" i="30" s="1"/>
  <c r="O19" i="30"/>
  <c r="Q19" i="30" s="1"/>
  <c r="L19" i="30"/>
  <c r="N19" i="30" s="1"/>
  <c r="K19" i="30"/>
  <c r="M19" i="30" s="1"/>
  <c r="H19" i="30"/>
  <c r="J19" i="30" s="1"/>
  <c r="G19" i="30"/>
  <c r="I19" i="30" s="1"/>
  <c r="E19" i="30"/>
  <c r="D19" i="30"/>
  <c r="C19" i="30"/>
  <c r="AV18" i="30"/>
  <c r="AX18" i="30" s="1"/>
  <c r="AU18" i="30"/>
  <c r="AW18" i="30" s="1"/>
  <c r="AR18" i="30"/>
  <c r="AT18" i="30" s="1"/>
  <c r="AQ18" i="30"/>
  <c r="AS18" i="30" s="1"/>
  <c r="AN18" i="30"/>
  <c r="AP18" i="30" s="1"/>
  <c r="AM18" i="30"/>
  <c r="AO18" i="30" s="1"/>
  <c r="AJ18" i="30"/>
  <c r="AL18" i="30" s="1"/>
  <c r="AI18" i="30"/>
  <c r="AK18" i="30" s="1"/>
  <c r="AF18" i="30"/>
  <c r="AH18" i="30" s="1"/>
  <c r="AE18" i="30"/>
  <c r="AG18" i="30" s="1"/>
  <c r="AB18" i="30"/>
  <c r="AD18" i="30" s="1"/>
  <c r="AA18" i="30"/>
  <c r="AC18" i="30" s="1"/>
  <c r="X18" i="30"/>
  <c r="Z18" i="30" s="1"/>
  <c r="W18" i="30"/>
  <c r="Y18" i="30" s="1"/>
  <c r="T18" i="30"/>
  <c r="V18" i="30" s="1"/>
  <c r="S18" i="30"/>
  <c r="U18" i="30" s="1"/>
  <c r="P18" i="30"/>
  <c r="R18" i="30" s="1"/>
  <c r="O18" i="30"/>
  <c r="Q18" i="30" s="1"/>
  <c r="L18" i="30"/>
  <c r="N18" i="30" s="1"/>
  <c r="K18" i="30"/>
  <c r="M18" i="30" s="1"/>
  <c r="H18" i="30"/>
  <c r="J18" i="30" s="1"/>
  <c r="G18" i="30"/>
  <c r="I18" i="30" s="1"/>
  <c r="E18" i="30"/>
  <c r="D18" i="30"/>
  <c r="C18" i="30"/>
  <c r="AV17" i="30"/>
  <c r="AX17" i="30" s="1"/>
  <c r="AU17" i="30"/>
  <c r="AW17" i="30" s="1"/>
  <c r="AR17" i="30"/>
  <c r="AT17" i="30" s="1"/>
  <c r="AQ17" i="30"/>
  <c r="AS17" i="30" s="1"/>
  <c r="AN17" i="30"/>
  <c r="AP17" i="30" s="1"/>
  <c r="AM17" i="30"/>
  <c r="AO17" i="30" s="1"/>
  <c r="AL17" i="30"/>
  <c r="AJ17" i="30"/>
  <c r="AI17" i="30"/>
  <c r="AK17" i="30" s="1"/>
  <c r="AF17" i="30"/>
  <c r="AH17" i="30" s="1"/>
  <c r="AE17" i="30"/>
  <c r="AG17" i="30" s="1"/>
  <c r="AB17" i="30"/>
  <c r="AD17" i="30" s="1"/>
  <c r="AA17" i="30"/>
  <c r="AC17" i="30" s="1"/>
  <c r="X17" i="30"/>
  <c r="Z17" i="30" s="1"/>
  <c r="W17" i="30"/>
  <c r="Y17" i="30" s="1"/>
  <c r="T17" i="30"/>
  <c r="V17" i="30" s="1"/>
  <c r="S17" i="30"/>
  <c r="U17" i="30" s="1"/>
  <c r="P17" i="30"/>
  <c r="R17" i="30" s="1"/>
  <c r="O17" i="30"/>
  <c r="Q17" i="30" s="1"/>
  <c r="L17" i="30"/>
  <c r="N17" i="30" s="1"/>
  <c r="K17" i="30"/>
  <c r="M17" i="30" s="1"/>
  <c r="H17" i="30"/>
  <c r="J17" i="30" s="1"/>
  <c r="G17" i="30"/>
  <c r="I17" i="30" s="1"/>
  <c r="E17" i="30"/>
  <c r="D17" i="30"/>
  <c r="C17" i="30"/>
  <c r="AV16" i="30"/>
  <c r="AX16" i="30" s="1"/>
  <c r="AU16" i="30"/>
  <c r="AW16" i="30" s="1"/>
  <c r="AR16" i="30"/>
  <c r="AT16" i="30" s="1"/>
  <c r="AQ16" i="30"/>
  <c r="AS16" i="30" s="1"/>
  <c r="AN16" i="30"/>
  <c r="AP16" i="30" s="1"/>
  <c r="AM16" i="30"/>
  <c r="AO16" i="30" s="1"/>
  <c r="AJ16" i="30"/>
  <c r="AL16" i="30" s="1"/>
  <c r="AI16" i="30"/>
  <c r="AK16" i="30" s="1"/>
  <c r="AF16" i="30"/>
  <c r="AH16" i="30" s="1"/>
  <c r="AE16" i="30"/>
  <c r="AG16" i="30" s="1"/>
  <c r="AB16" i="30"/>
  <c r="AD16" i="30" s="1"/>
  <c r="AA16" i="30"/>
  <c r="AC16" i="30" s="1"/>
  <c r="X16" i="30"/>
  <c r="Z16" i="30" s="1"/>
  <c r="W16" i="30"/>
  <c r="Y16" i="30" s="1"/>
  <c r="T16" i="30"/>
  <c r="V16" i="30" s="1"/>
  <c r="S16" i="30"/>
  <c r="U16" i="30" s="1"/>
  <c r="P16" i="30"/>
  <c r="R16" i="30" s="1"/>
  <c r="O16" i="30"/>
  <c r="Q16" i="30" s="1"/>
  <c r="L16" i="30"/>
  <c r="N16" i="30" s="1"/>
  <c r="K16" i="30"/>
  <c r="M16" i="30" s="1"/>
  <c r="H16" i="30"/>
  <c r="J16" i="30" s="1"/>
  <c r="G16" i="30"/>
  <c r="I16" i="30" s="1"/>
  <c r="E16" i="30"/>
  <c r="D16" i="30"/>
  <c r="C16" i="30"/>
  <c r="AV15" i="30"/>
  <c r="AX15" i="30" s="1"/>
  <c r="AU15" i="30"/>
  <c r="AW15" i="30" s="1"/>
  <c r="AR15" i="30"/>
  <c r="AT15" i="30" s="1"/>
  <c r="AQ15" i="30"/>
  <c r="AS15" i="30" s="1"/>
  <c r="AN15" i="30"/>
  <c r="AP15" i="30" s="1"/>
  <c r="AM15" i="30"/>
  <c r="AO15" i="30" s="1"/>
  <c r="AJ15" i="30"/>
  <c r="AL15" i="30" s="1"/>
  <c r="AI15" i="30"/>
  <c r="AK15" i="30" s="1"/>
  <c r="AF15" i="30"/>
  <c r="AH15" i="30" s="1"/>
  <c r="AE15" i="30"/>
  <c r="AG15" i="30" s="1"/>
  <c r="AB15" i="30"/>
  <c r="AD15" i="30" s="1"/>
  <c r="AA15" i="30"/>
  <c r="AC15" i="30" s="1"/>
  <c r="X15" i="30"/>
  <c r="Z15" i="30" s="1"/>
  <c r="W15" i="30"/>
  <c r="Y15" i="30" s="1"/>
  <c r="T15" i="30"/>
  <c r="V15" i="30" s="1"/>
  <c r="S15" i="30"/>
  <c r="U15" i="30" s="1"/>
  <c r="P15" i="30"/>
  <c r="R15" i="30" s="1"/>
  <c r="O15" i="30"/>
  <c r="Q15" i="30" s="1"/>
  <c r="L15" i="30"/>
  <c r="N15" i="30" s="1"/>
  <c r="K15" i="30"/>
  <c r="M15" i="30" s="1"/>
  <c r="H15" i="30"/>
  <c r="J15" i="30" s="1"/>
  <c r="G15" i="30"/>
  <c r="I15" i="30" s="1"/>
  <c r="E15" i="30"/>
  <c r="D15" i="30"/>
  <c r="C15" i="30"/>
  <c r="AV14" i="30"/>
  <c r="AX14" i="30" s="1"/>
  <c r="AU14" i="30"/>
  <c r="AW14" i="30" s="1"/>
  <c r="AR14" i="30"/>
  <c r="AT14" i="30" s="1"/>
  <c r="AQ14" i="30"/>
  <c r="AS14" i="30" s="1"/>
  <c r="AN14" i="30"/>
  <c r="AP14" i="30" s="1"/>
  <c r="AM14" i="30"/>
  <c r="AO14" i="30" s="1"/>
  <c r="AJ14" i="30"/>
  <c r="AL14" i="30" s="1"/>
  <c r="AI14" i="30"/>
  <c r="AK14" i="30" s="1"/>
  <c r="AF14" i="30"/>
  <c r="AH14" i="30" s="1"/>
  <c r="AE14" i="30"/>
  <c r="AG14" i="30" s="1"/>
  <c r="AB14" i="30"/>
  <c r="AD14" i="30" s="1"/>
  <c r="AA14" i="30"/>
  <c r="AC14" i="30" s="1"/>
  <c r="X14" i="30"/>
  <c r="Z14" i="30" s="1"/>
  <c r="W14" i="30"/>
  <c r="Y14" i="30" s="1"/>
  <c r="T14" i="30"/>
  <c r="V14" i="30" s="1"/>
  <c r="S14" i="30"/>
  <c r="U14" i="30" s="1"/>
  <c r="P14" i="30"/>
  <c r="R14" i="30" s="1"/>
  <c r="O14" i="30"/>
  <c r="Q14" i="30" s="1"/>
  <c r="L14" i="30"/>
  <c r="N14" i="30" s="1"/>
  <c r="K14" i="30"/>
  <c r="M14" i="30" s="1"/>
  <c r="H14" i="30"/>
  <c r="J14" i="30" s="1"/>
  <c r="G14" i="30"/>
  <c r="I14" i="30" s="1"/>
  <c r="E14" i="30"/>
  <c r="D14" i="30"/>
  <c r="C14" i="30"/>
  <c r="AV13" i="30"/>
  <c r="AX13" i="30" s="1"/>
  <c r="AU13" i="30"/>
  <c r="AW13" i="30" s="1"/>
  <c r="AR13" i="30"/>
  <c r="AT13" i="30" s="1"/>
  <c r="AQ13" i="30"/>
  <c r="AS13" i="30" s="1"/>
  <c r="AN13" i="30"/>
  <c r="AP13" i="30" s="1"/>
  <c r="AM13" i="30"/>
  <c r="AO13" i="30" s="1"/>
  <c r="AJ13" i="30"/>
  <c r="AL13" i="30" s="1"/>
  <c r="AI13" i="30"/>
  <c r="AK13" i="30" s="1"/>
  <c r="AF13" i="30"/>
  <c r="AH13" i="30" s="1"/>
  <c r="AE13" i="30"/>
  <c r="AG13" i="30" s="1"/>
  <c r="AB13" i="30"/>
  <c r="AD13" i="30" s="1"/>
  <c r="AA13" i="30"/>
  <c r="AC13" i="30" s="1"/>
  <c r="X13" i="30"/>
  <c r="Z13" i="30" s="1"/>
  <c r="W13" i="30"/>
  <c r="Y13" i="30" s="1"/>
  <c r="T13" i="30"/>
  <c r="V13" i="30" s="1"/>
  <c r="S13" i="30"/>
  <c r="U13" i="30" s="1"/>
  <c r="P13" i="30"/>
  <c r="R13" i="30" s="1"/>
  <c r="O13" i="30"/>
  <c r="Q13" i="30" s="1"/>
  <c r="L13" i="30"/>
  <c r="N13" i="30" s="1"/>
  <c r="K13" i="30"/>
  <c r="M13" i="30" s="1"/>
  <c r="H13" i="30"/>
  <c r="J13" i="30" s="1"/>
  <c r="G13" i="30"/>
  <c r="I13" i="30" s="1"/>
  <c r="E13" i="30"/>
  <c r="D13" i="30"/>
  <c r="C13" i="30"/>
  <c r="AV12" i="30"/>
  <c r="AX12" i="30" s="1"/>
  <c r="AU12" i="30"/>
  <c r="AW12" i="30" s="1"/>
  <c r="AR12" i="30"/>
  <c r="AT12" i="30" s="1"/>
  <c r="AQ12" i="30"/>
  <c r="AS12" i="30" s="1"/>
  <c r="AN12" i="30"/>
  <c r="AP12" i="30" s="1"/>
  <c r="AM12" i="30"/>
  <c r="AO12" i="30" s="1"/>
  <c r="AJ12" i="30"/>
  <c r="AL12" i="30" s="1"/>
  <c r="AI12" i="30"/>
  <c r="AK12" i="30" s="1"/>
  <c r="AF12" i="30"/>
  <c r="AH12" i="30" s="1"/>
  <c r="AE12" i="30"/>
  <c r="AG12" i="30" s="1"/>
  <c r="AB12" i="30"/>
  <c r="AD12" i="30" s="1"/>
  <c r="AA12" i="30"/>
  <c r="AC12" i="30" s="1"/>
  <c r="X12" i="30"/>
  <c r="Z12" i="30" s="1"/>
  <c r="W12" i="30"/>
  <c r="Y12" i="30" s="1"/>
  <c r="T12" i="30"/>
  <c r="V12" i="30" s="1"/>
  <c r="S12" i="30"/>
  <c r="U12" i="30" s="1"/>
  <c r="P12" i="30"/>
  <c r="R12" i="30" s="1"/>
  <c r="O12" i="30"/>
  <c r="Q12" i="30" s="1"/>
  <c r="L12" i="30"/>
  <c r="N12" i="30" s="1"/>
  <c r="K12" i="30"/>
  <c r="M12" i="30" s="1"/>
  <c r="H12" i="30"/>
  <c r="J12" i="30" s="1"/>
  <c r="G12" i="30"/>
  <c r="I12" i="30" s="1"/>
  <c r="E12" i="30"/>
  <c r="D12" i="30"/>
  <c r="C12" i="30"/>
  <c r="AV11" i="30"/>
  <c r="AX11" i="30" s="1"/>
  <c r="AU11" i="30"/>
  <c r="AW11" i="30" s="1"/>
  <c r="AR11" i="30"/>
  <c r="AT11" i="30" s="1"/>
  <c r="AQ11" i="30"/>
  <c r="AS11" i="30" s="1"/>
  <c r="AN11" i="30"/>
  <c r="AP11" i="30" s="1"/>
  <c r="AM11" i="30"/>
  <c r="AO11" i="30" s="1"/>
  <c r="AJ11" i="30"/>
  <c r="AL11" i="30" s="1"/>
  <c r="AI11" i="30"/>
  <c r="AK11" i="30" s="1"/>
  <c r="AF11" i="30"/>
  <c r="AH11" i="30" s="1"/>
  <c r="AE11" i="30"/>
  <c r="AG11" i="30" s="1"/>
  <c r="AB11" i="30"/>
  <c r="AD11" i="30" s="1"/>
  <c r="AA11" i="30"/>
  <c r="AC11" i="30" s="1"/>
  <c r="X11" i="30"/>
  <c r="Z11" i="30" s="1"/>
  <c r="W11" i="30"/>
  <c r="Y11" i="30" s="1"/>
  <c r="T11" i="30"/>
  <c r="V11" i="30" s="1"/>
  <c r="S11" i="30"/>
  <c r="U11" i="30" s="1"/>
  <c r="P11" i="30"/>
  <c r="R11" i="30" s="1"/>
  <c r="O11" i="30"/>
  <c r="Q11" i="30" s="1"/>
  <c r="L11" i="30"/>
  <c r="N11" i="30" s="1"/>
  <c r="K11" i="30"/>
  <c r="M11" i="30" s="1"/>
  <c r="H11" i="30"/>
  <c r="J11" i="30" s="1"/>
  <c r="G11" i="30"/>
  <c r="I11" i="30" s="1"/>
  <c r="E11" i="30"/>
  <c r="D11" i="30"/>
  <c r="C11" i="30"/>
  <c r="AV10" i="30"/>
  <c r="AX10" i="30" s="1"/>
  <c r="AU10" i="30"/>
  <c r="AW10" i="30" s="1"/>
  <c r="AR10" i="30"/>
  <c r="AT10" i="30" s="1"/>
  <c r="AQ10" i="30"/>
  <c r="AS10" i="30" s="1"/>
  <c r="AN10" i="30"/>
  <c r="AP10" i="30" s="1"/>
  <c r="AM10" i="30"/>
  <c r="AO10" i="30" s="1"/>
  <c r="AJ10" i="30"/>
  <c r="AL10" i="30" s="1"/>
  <c r="AI10" i="30"/>
  <c r="AK10" i="30" s="1"/>
  <c r="AF10" i="30"/>
  <c r="AH10" i="30" s="1"/>
  <c r="AE10" i="30"/>
  <c r="AG10" i="30" s="1"/>
  <c r="AB10" i="30"/>
  <c r="AD10" i="30" s="1"/>
  <c r="AA10" i="30"/>
  <c r="AC10" i="30" s="1"/>
  <c r="X10" i="30"/>
  <c r="Z10" i="30" s="1"/>
  <c r="W10" i="30"/>
  <c r="Y10" i="30" s="1"/>
  <c r="T10" i="30"/>
  <c r="V10" i="30" s="1"/>
  <c r="S10" i="30"/>
  <c r="U10" i="30" s="1"/>
  <c r="P10" i="30"/>
  <c r="R10" i="30" s="1"/>
  <c r="O10" i="30"/>
  <c r="Q10" i="30" s="1"/>
  <c r="L10" i="30"/>
  <c r="N10" i="30" s="1"/>
  <c r="K10" i="30"/>
  <c r="M10" i="30" s="1"/>
  <c r="H10" i="30"/>
  <c r="J10" i="30" s="1"/>
  <c r="G10" i="30"/>
  <c r="I10" i="30" s="1"/>
  <c r="E10" i="30"/>
  <c r="D10" i="30"/>
  <c r="C10" i="30"/>
  <c r="AV9" i="30"/>
  <c r="AX9" i="30" s="1"/>
  <c r="AU9" i="30"/>
  <c r="AW9" i="30" s="1"/>
  <c r="AR9" i="30"/>
  <c r="AT9" i="30" s="1"/>
  <c r="AQ9" i="30"/>
  <c r="AS9" i="30" s="1"/>
  <c r="AN9" i="30"/>
  <c r="AP9" i="30" s="1"/>
  <c r="AM9" i="30"/>
  <c r="AO9" i="30" s="1"/>
  <c r="AJ9" i="30"/>
  <c r="AL9" i="30" s="1"/>
  <c r="AI9" i="30"/>
  <c r="AK9" i="30" s="1"/>
  <c r="AF9" i="30"/>
  <c r="AH9" i="30" s="1"/>
  <c r="AE9" i="30"/>
  <c r="AG9" i="30" s="1"/>
  <c r="AB9" i="30"/>
  <c r="AD9" i="30" s="1"/>
  <c r="AA9" i="30"/>
  <c r="AC9" i="30" s="1"/>
  <c r="X9" i="30"/>
  <c r="Z9" i="30" s="1"/>
  <c r="W9" i="30"/>
  <c r="Y9" i="30" s="1"/>
  <c r="T9" i="30"/>
  <c r="V9" i="30" s="1"/>
  <c r="S9" i="30"/>
  <c r="U9" i="30" s="1"/>
  <c r="P9" i="30"/>
  <c r="R9" i="30" s="1"/>
  <c r="O9" i="30"/>
  <c r="Q9" i="30" s="1"/>
  <c r="L9" i="30"/>
  <c r="N9" i="30" s="1"/>
  <c r="K9" i="30"/>
  <c r="M9" i="30" s="1"/>
  <c r="H9" i="30"/>
  <c r="J9" i="30" s="1"/>
  <c r="G9" i="30"/>
  <c r="I9" i="30" s="1"/>
  <c r="E9" i="30"/>
  <c r="D9" i="30"/>
  <c r="C9" i="30"/>
  <c r="AV8" i="30"/>
  <c r="AX8" i="30" s="1"/>
  <c r="AU8" i="30"/>
  <c r="AW8" i="30" s="1"/>
  <c r="AR8" i="30"/>
  <c r="AT8" i="30" s="1"/>
  <c r="AQ8" i="30"/>
  <c r="AS8" i="30" s="1"/>
  <c r="AN8" i="30"/>
  <c r="AP8" i="30" s="1"/>
  <c r="AM8" i="30"/>
  <c r="AO8" i="30" s="1"/>
  <c r="AJ8" i="30"/>
  <c r="AL8" i="30" s="1"/>
  <c r="AI8" i="30"/>
  <c r="AK8" i="30" s="1"/>
  <c r="AF8" i="30"/>
  <c r="AH8" i="30" s="1"/>
  <c r="AE8" i="30"/>
  <c r="AG8" i="30" s="1"/>
  <c r="AB8" i="30"/>
  <c r="AD8" i="30" s="1"/>
  <c r="AA8" i="30"/>
  <c r="AC8" i="30" s="1"/>
  <c r="X8" i="30"/>
  <c r="Z8" i="30" s="1"/>
  <c r="W8" i="30"/>
  <c r="Y8" i="30" s="1"/>
  <c r="T8" i="30"/>
  <c r="V8" i="30" s="1"/>
  <c r="S8" i="30"/>
  <c r="U8" i="30" s="1"/>
  <c r="P8" i="30"/>
  <c r="R8" i="30" s="1"/>
  <c r="O8" i="30"/>
  <c r="Q8" i="30" s="1"/>
  <c r="L8" i="30"/>
  <c r="N8" i="30" s="1"/>
  <c r="K8" i="30"/>
  <c r="M8" i="30" s="1"/>
  <c r="H8" i="30"/>
  <c r="J8" i="30" s="1"/>
  <c r="G8" i="30"/>
  <c r="I8" i="30" s="1"/>
  <c r="E8" i="30"/>
  <c r="D8" i="30"/>
  <c r="C8" i="30"/>
  <c r="AV7" i="30"/>
  <c r="AX7" i="30" s="1"/>
  <c r="AU7" i="30"/>
  <c r="AW7" i="30" s="1"/>
  <c r="AR7" i="30"/>
  <c r="AT7" i="30" s="1"/>
  <c r="AQ7" i="30"/>
  <c r="AS7" i="30" s="1"/>
  <c r="AN7" i="30"/>
  <c r="AP7" i="30" s="1"/>
  <c r="AM7" i="30"/>
  <c r="AO7" i="30" s="1"/>
  <c r="AJ7" i="30"/>
  <c r="AL7" i="30" s="1"/>
  <c r="AI7" i="30"/>
  <c r="AK7" i="30" s="1"/>
  <c r="AF7" i="30"/>
  <c r="AH7" i="30" s="1"/>
  <c r="AE7" i="30"/>
  <c r="AG7" i="30" s="1"/>
  <c r="AB7" i="30"/>
  <c r="AD7" i="30" s="1"/>
  <c r="AA7" i="30"/>
  <c r="AC7" i="30" s="1"/>
  <c r="X7" i="30"/>
  <c r="Z7" i="30" s="1"/>
  <c r="W7" i="30"/>
  <c r="Y7" i="30" s="1"/>
  <c r="T7" i="30"/>
  <c r="V7" i="30" s="1"/>
  <c r="S7" i="30"/>
  <c r="U7" i="30" s="1"/>
  <c r="P7" i="30"/>
  <c r="R7" i="30" s="1"/>
  <c r="O7" i="30"/>
  <c r="Q7" i="30" s="1"/>
  <c r="L7" i="30"/>
  <c r="N7" i="30" s="1"/>
  <c r="K7" i="30"/>
  <c r="M7" i="30" s="1"/>
  <c r="H7" i="30"/>
  <c r="J7" i="30" s="1"/>
  <c r="G7" i="30"/>
  <c r="I7" i="30" s="1"/>
  <c r="E7" i="30"/>
  <c r="D7" i="30"/>
  <c r="C7" i="30"/>
  <c r="AV6" i="30"/>
  <c r="AX6" i="30" s="1"/>
  <c r="AU6" i="30"/>
  <c r="AW6" i="30" s="1"/>
  <c r="AR6" i="30"/>
  <c r="AT6" i="30" s="1"/>
  <c r="AQ6" i="30"/>
  <c r="AS6" i="30" s="1"/>
  <c r="AN6" i="30"/>
  <c r="AP6" i="30" s="1"/>
  <c r="AM6" i="30"/>
  <c r="AO6" i="30" s="1"/>
  <c r="AJ6" i="30"/>
  <c r="AL6" i="30" s="1"/>
  <c r="AI6" i="30"/>
  <c r="AK6" i="30" s="1"/>
  <c r="AF6" i="30"/>
  <c r="AH6" i="30" s="1"/>
  <c r="AE6" i="30"/>
  <c r="AG6" i="30" s="1"/>
  <c r="AB6" i="30"/>
  <c r="AD6" i="30" s="1"/>
  <c r="AA6" i="30"/>
  <c r="AC6" i="30" s="1"/>
  <c r="X6" i="30"/>
  <c r="Z6" i="30" s="1"/>
  <c r="W6" i="30"/>
  <c r="Y6" i="30" s="1"/>
  <c r="T6" i="30"/>
  <c r="V6" i="30" s="1"/>
  <c r="S6" i="30"/>
  <c r="U6" i="30" s="1"/>
  <c r="P6" i="30"/>
  <c r="R6" i="30" s="1"/>
  <c r="O6" i="30"/>
  <c r="Q6" i="30" s="1"/>
  <c r="L6" i="30"/>
  <c r="N6" i="30" s="1"/>
  <c r="K6" i="30"/>
  <c r="M6" i="30" s="1"/>
  <c r="H6" i="30"/>
  <c r="J6" i="30" s="1"/>
  <c r="G6" i="30"/>
  <c r="I6" i="30" s="1"/>
  <c r="E6" i="30"/>
  <c r="D6" i="30"/>
  <c r="C6" i="30"/>
  <c r="AV5" i="30"/>
  <c r="AX5" i="30" s="1"/>
  <c r="AU5" i="30"/>
  <c r="AW5" i="30" s="1"/>
  <c r="AR5" i="30"/>
  <c r="AT5" i="30" s="1"/>
  <c r="AQ5" i="30"/>
  <c r="AS5" i="30" s="1"/>
  <c r="AN5" i="30"/>
  <c r="AP5" i="30" s="1"/>
  <c r="AM5" i="30"/>
  <c r="AO5" i="30" s="1"/>
  <c r="AJ5" i="30"/>
  <c r="AL5" i="30" s="1"/>
  <c r="AI5" i="30"/>
  <c r="AK5" i="30" s="1"/>
  <c r="AF5" i="30"/>
  <c r="AH5" i="30" s="1"/>
  <c r="AE5" i="30"/>
  <c r="AG5" i="30" s="1"/>
  <c r="AB5" i="30"/>
  <c r="AD5" i="30" s="1"/>
  <c r="AA5" i="30"/>
  <c r="AC5" i="30" s="1"/>
  <c r="X5" i="30"/>
  <c r="Z5" i="30" s="1"/>
  <c r="W5" i="30"/>
  <c r="Y5" i="30" s="1"/>
  <c r="T5" i="30"/>
  <c r="V5" i="30" s="1"/>
  <c r="S5" i="30"/>
  <c r="U5" i="30" s="1"/>
  <c r="P5" i="30"/>
  <c r="R5" i="30" s="1"/>
  <c r="O5" i="30"/>
  <c r="Q5" i="30" s="1"/>
  <c r="L5" i="30"/>
  <c r="N5" i="30" s="1"/>
  <c r="K5" i="30"/>
  <c r="M5" i="30" s="1"/>
  <c r="H5" i="30"/>
  <c r="J5" i="30" s="1"/>
  <c r="G5" i="30"/>
  <c r="I5" i="30" s="1"/>
  <c r="E5" i="30"/>
  <c r="D5" i="30"/>
  <c r="C5" i="30"/>
  <c r="AV4" i="30"/>
  <c r="AX4" i="30" s="1"/>
  <c r="AU4" i="30"/>
  <c r="AW4" i="30" s="1"/>
  <c r="AR4" i="30"/>
  <c r="AT4" i="30" s="1"/>
  <c r="AQ4" i="30"/>
  <c r="AS4" i="30" s="1"/>
  <c r="AN4" i="30"/>
  <c r="AP4" i="30" s="1"/>
  <c r="AM4" i="30"/>
  <c r="AO4" i="30" s="1"/>
  <c r="AJ4" i="30"/>
  <c r="AL4" i="30" s="1"/>
  <c r="AI4" i="30"/>
  <c r="AK4" i="30" s="1"/>
  <c r="AF4" i="30"/>
  <c r="AH4" i="30" s="1"/>
  <c r="AE4" i="30"/>
  <c r="AG4" i="30" s="1"/>
  <c r="AB4" i="30"/>
  <c r="AD4" i="30" s="1"/>
  <c r="AA4" i="30"/>
  <c r="AC4" i="30" s="1"/>
  <c r="X4" i="30"/>
  <c r="Z4" i="30" s="1"/>
  <c r="W4" i="30"/>
  <c r="Y4" i="30" s="1"/>
  <c r="T4" i="30"/>
  <c r="V4" i="30" s="1"/>
  <c r="S4" i="30"/>
  <c r="U4" i="30" s="1"/>
  <c r="P4" i="30"/>
  <c r="R4" i="30" s="1"/>
  <c r="O4" i="30"/>
  <c r="Q4" i="30" s="1"/>
  <c r="L4" i="30"/>
  <c r="N4" i="30" s="1"/>
  <c r="K4" i="30"/>
  <c r="M4" i="30" s="1"/>
  <c r="H4" i="30"/>
  <c r="J4" i="30" s="1"/>
  <c r="G4" i="30"/>
  <c r="I4" i="30" s="1"/>
  <c r="E4" i="30"/>
  <c r="D4" i="30"/>
  <c r="C4" i="30"/>
  <c r="AV3" i="30"/>
  <c r="AX3" i="30" s="1"/>
  <c r="AU3" i="30"/>
  <c r="AW3" i="30" s="1"/>
  <c r="AR3" i="30"/>
  <c r="AT3" i="30" s="1"/>
  <c r="AQ3" i="30"/>
  <c r="AS3" i="30" s="1"/>
  <c r="AN3" i="30"/>
  <c r="AP3" i="30" s="1"/>
  <c r="AM3" i="30"/>
  <c r="AO3" i="30" s="1"/>
  <c r="AJ3" i="30"/>
  <c r="AL3" i="30" s="1"/>
  <c r="AI3" i="30"/>
  <c r="AK3" i="30" s="1"/>
  <c r="AF3" i="30"/>
  <c r="AH3" i="30" s="1"/>
  <c r="AE3" i="30"/>
  <c r="AG3" i="30" s="1"/>
  <c r="AB3" i="30"/>
  <c r="AD3" i="30" s="1"/>
  <c r="AA3" i="30"/>
  <c r="AC3" i="30" s="1"/>
  <c r="X3" i="30"/>
  <c r="Z3" i="30" s="1"/>
  <c r="W3" i="30"/>
  <c r="Y3" i="30" s="1"/>
  <c r="T3" i="30"/>
  <c r="V3" i="30" s="1"/>
  <c r="S3" i="30"/>
  <c r="U3" i="30" s="1"/>
  <c r="P3" i="30"/>
  <c r="R3" i="30" s="1"/>
  <c r="O3" i="30"/>
  <c r="Q3" i="30" s="1"/>
  <c r="L3" i="30"/>
  <c r="N3" i="30" s="1"/>
  <c r="K3" i="30"/>
  <c r="M3" i="30" s="1"/>
  <c r="H3" i="30"/>
  <c r="J3" i="30" s="1"/>
  <c r="G3" i="30"/>
  <c r="I3" i="30" s="1"/>
  <c r="E3" i="30"/>
  <c r="D3" i="30"/>
  <c r="C3" i="30"/>
  <c r="AV50" i="29"/>
  <c r="AX50" i="29" s="1"/>
  <c r="AU50" i="29"/>
  <c r="AW50" i="29" s="1"/>
  <c r="AR50" i="29"/>
  <c r="AT50" i="29" s="1"/>
  <c r="AQ50" i="29"/>
  <c r="AS50" i="29" s="1"/>
  <c r="AN50" i="29"/>
  <c r="AP50" i="29" s="1"/>
  <c r="AM50" i="29"/>
  <c r="AO50" i="29" s="1"/>
  <c r="AJ50" i="29"/>
  <c r="AL50" i="29" s="1"/>
  <c r="AI50" i="29"/>
  <c r="AK50" i="29" s="1"/>
  <c r="AF50" i="29"/>
  <c r="AH50" i="29" s="1"/>
  <c r="AE50" i="29"/>
  <c r="AG50" i="29" s="1"/>
  <c r="AB50" i="29"/>
  <c r="AD50" i="29" s="1"/>
  <c r="AA50" i="29"/>
  <c r="AC50" i="29" s="1"/>
  <c r="X50" i="29"/>
  <c r="Z50" i="29" s="1"/>
  <c r="W50" i="29"/>
  <c r="Y50" i="29" s="1"/>
  <c r="T50" i="29"/>
  <c r="V50" i="29" s="1"/>
  <c r="S50" i="29"/>
  <c r="U50" i="29" s="1"/>
  <c r="P50" i="29"/>
  <c r="R50" i="29" s="1"/>
  <c r="O50" i="29"/>
  <c r="Q50" i="29" s="1"/>
  <c r="L50" i="29"/>
  <c r="N50" i="29" s="1"/>
  <c r="K50" i="29"/>
  <c r="M50" i="29" s="1"/>
  <c r="H50" i="29"/>
  <c r="J50" i="29" s="1"/>
  <c r="G50" i="29"/>
  <c r="I50" i="29" s="1"/>
  <c r="E50" i="29"/>
  <c r="D50" i="29"/>
  <c r="C50" i="29"/>
  <c r="AV49" i="29"/>
  <c r="AX49" i="29" s="1"/>
  <c r="AU49" i="29"/>
  <c r="AW49" i="29" s="1"/>
  <c r="AR49" i="29"/>
  <c r="AT49" i="29" s="1"/>
  <c r="AQ49" i="29"/>
  <c r="AS49" i="29" s="1"/>
  <c r="AN49" i="29"/>
  <c r="AP49" i="29" s="1"/>
  <c r="AM49" i="29"/>
  <c r="AO49" i="29" s="1"/>
  <c r="AJ49" i="29"/>
  <c r="AL49" i="29" s="1"/>
  <c r="AI49" i="29"/>
  <c r="AK49" i="29" s="1"/>
  <c r="AH49" i="29"/>
  <c r="AF49" i="29"/>
  <c r="AE49" i="29"/>
  <c r="AG49" i="29" s="1"/>
  <c r="AB49" i="29"/>
  <c r="AD49" i="29" s="1"/>
  <c r="AA49" i="29"/>
  <c r="AC49" i="29" s="1"/>
  <c r="X49" i="29"/>
  <c r="Z49" i="29" s="1"/>
  <c r="W49" i="29"/>
  <c r="Y49" i="29" s="1"/>
  <c r="T49" i="29"/>
  <c r="V49" i="29" s="1"/>
  <c r="S49" i="29"/>
  <c r="U49" i="29" s="1"/>
  <c r="P49" i="29"/>
  <c r="R49" i="29" s="1"/>
  <c r="O49" i="29"/>
  <c r="Q49" i="29" s="1"/>
  <c r="L49" i="29"/>
  <c r="N49" i="29" s="1"/>
  <c r="K49" i="29"/>
  <c r="M49" i="29" s="1"/>
  <c r="H49" i="29"/>
  <c r="J49" i="29" s="1"/>
  <c r="G49" i="29"/>
  <c r="I49" i="29" s="1"/>
  <c r="E49" i="29"/>
  <c r="D49" i="29"/>
  <c r="C49" i="29"/>
  <c r="AV48" i="29"/>
  <c r="AX48" i="29" s="1"/>
  <c r="AU48" i="29"/>
  <c r="AW48" i="29" s="1"/>
  <c r="AR48" i="29"/>
  <c r="AT48" i="29" s="1"/>
  <c r="AQ48" i="29"/>
  <c r="AS48" i="29" s="1"/>
  <c r="AN48" i="29"/>
  <c r="AP48" i="29" s="1"/>
  <c r="AM48" i="29"/>
  <c r="AO48" i="29" s="1"/>
  <c r="AJ48" i="29"/>
  <c r="AL48" i="29" s="1"/>
  <c r="AI48" i="29"/>
  <c r="AK48" i="29" s="1"/>
  <c r="AF48" i="29"/>
  <c r="AH48" i="29" s="1"/>
  <c r="AE48" i="29"/>
  <c r="AG48" i="29" s="1"/>
  <c r="AB48" i="29"/>
  <c r="AD48" i="29" s="1"/>
  <c r="AA48" i="29"/>
  <c r="AC48" i="29" s="1"/>
  <c r="X48" i="29"/>
  <c r="Z48" i="29" s="1"/>
  <c r="W48" i="29"/>
  <c r="Y48" i="29" s="1"/>
  <c r="T48" i="29"/>
  <c r="V48" i="29" s="1"/>
  <c r="S48" i="29"/>
  <c r="U48" i="29" s="1"/>
  <c r="P48" i="29"/>
  <c r="R48" i="29" s="1"/>
  <c r="O48" i="29"/>
  <c r="Q48" i="29" s="1"/>
  <c r="L48" i="29"/>
  <c r="N48" i="29" s="1"/>
  <c r="K48" i="29"/>
  <c r="M48" i="29" s="1"/>
  <c r="H48" i="29"/>
  <c r="J48" i="29" s="1"/>
  <c r="G48" i="29"/>
  <c r="I48" i="29" s="1"/>
  <c r="E48" i="29"/>
  <c r="D48" i="29"/>
  <c r="C48" i="29"/>
  <c r="AV47" i="29"/>
  <c r="AX47" i="29" s="1"/>
  <c r="AU47" i="29"/>
  <c r="AW47" i="29" s="1"/>
  <c r="AR47" i="29"/>
  <c r="AT47" i="29" s="1"/>
  <c r="AQ47" i="29"/>
  <c r="AS47" i="29" s="1"/>
  <c r="AN47" i="29"/>
  <c r="AP47" i="29" s="1"/>
  <c r="AM47" i="29"/>
  <c r="AO47" i="29" s="1"/>
  <c r="AJ47" i="29"/>
  <c r="AL47" i="29" s="1"/>
  <c r="AI47" i="29"/>
  <c r="AK47" i="29" s="1"/>
  <c r="AF47" i="29"/>
  <c r="AH47" i="29" s="1"/>
  <c r="AE47" i="29"/>
  <c r="AG47" i="29" s="1"/>
  <c r="AB47" i="29"/>
  <c r="AD47" i="29" s="1"/>
  <c r="AA47" i="29"/>
  <c r="AC47" i="29" s="1"/>
  <c r="X47" i="29"/>
  <c r="Z47" i="29" s="1"/>
  <c r="W47" i="29"/>
  <c r="Y47" i="29" s="1"/>
  <c r="T47" i="29"/>
  <c r="V47" i="29" s="1"/>
  <c r="S47" i="29"/>
  <c r="U47" i="29" s="1"/>
  <c r="P47" i="29"/>
  <c r="R47" i="29" s="1"/>
  <c r="O47" i="29"/>
  <c r="Q47" i="29" s="1"/>
  <c r="L47" i="29"/>
  <c r="N47" i="29" s="1"/>
  <c r="K47" i="29"/>
  <c r="M47" i="29" s="1"/>
  <c r="H47" i="29"/>
  <c r="J47" i="29" s="1"/>
  <c r="G47" i="29"/>
  <c r="I47" i="29" s="1"/>
  <c r="E47" i="29"/>
  <c r="D47" i="29"/>
  <c r="C47" i="29"/>
  <c r="AV46" i="29"/>
  <c r="AX46" i="29" s="1"/>
  <c r="AU46" i="29"/>
  <c r="AW46" i="29" s="1"/>
  <c r="AR46" i="29"/>
  <c r="AT46" i="29" s="1"/>
  <c r="AQ46" i="29"/>
  <c r="AS46" i="29" s="1"/>
  <c r="AN46" i="29"/>
  <c r="AP46" i="29" s="1"/>
  <c r="AM46" i="29"/>
  <c r="AO46" i="29" s="1"/>
  <c r="AJ46" i="29"/>
  <c r="AL46" i="29" s="1"/>
  <c r="AI46" i="29"/>
  <c r="AK46" i="29" s="1"/>
  <c r="AF46" i="29"/>
  <c r="AH46" i="29" s="1"/>
  <c r="AE46" i="29"/>
  <c r="AG46" i="29" s="1"/>
  <c r="AB46" i="29"/>
  <c r="AD46" i="29" s="1"/>
  <c r="AA46" i="29"/>
  <c r="AC46" i="29" s="1"/>
  <c r="X46" i="29"/>
  <c r="Z46" i="29" s="1"/>
  <c r="W46" i="29"/>
  <c r="Y46" i="29" s="1"/>
  <c r="T46" i="29"/>
  <c r="V46" i="29" s="1"/>
  <c r="S46" i="29"/>
  <c r="U46" i="29" s="1"/>
  <c r="P46" i="29"/>
  <c r="R46" i="29" s="1"/>
  <c r="O46" i="29"/>
  <c r="Q46" i="29" s="1"/>
  <c r="L46" i="29"/>
  <c r="N46" i="29" s="1"/>
  <c r="K46" i="29"/>
  <c r="M46" i="29" s="1"/>
  <c r="H46" i="29"/>
  <c r="J46" i="29" s="1"/>
  <c r="G46" i="29"/>
  <c r="I46" i="29" s="1"/>
  <c r="E46" i="29"/>
  <c r="D46" i="29"/>
  <c r="C46" i="29"/>
  <c r="AV45" i="29"/>
  <c r="AX45" i="29" s="1"/>
  <c r="AU45" i="29"/>
  <c r="AW45" i="29" s="1"/>
  <c r="AR45" i="29"/>
  <c r="AT45" i="29" s="1"/>
  <c r="AQ45" i="29"/>
  <c r="AS45" i="29" s="1"/>
  <c r="AN45" i="29"/>
  <c r="AP45" i="29" s="1"/>
  <c r="AM45" i="29"/>
  <c r="AO45" i="29" s="1"/>
  <c r="AJ45" i="29"/>
  <c r="AL45" i="29" s="1"/>
  <c r="AI45" i="29"/>
  <c r="AK45" i="29" s="1"/>
  <c r="AF45" i="29"/>
  <c r="AH45" i="29" s="1"/>
  <c r="AE45" i="29"/>
  <c r="AG45" i="29" s="1"/>
  <c r="AB45" i="29"/>
  <c r="AD45" i="29" s="1"/>
  <c r="AA45" i="29"/>
  <c r="AC45" i="29" s="1"/>
  <c r="X45" i="29"/>
  <c r="Z45" i="29" s="1"/>
  <c r="W45" i="29"/>
  <c r="Y45" i="29" s="1"/>
  <c r="T45" i="29"/>
  <c r="V45" i="29" s="1"/>
  <c r="S45" i="29"/>
  <c r="U45" i="29" s="1"/>
  <c r="P45" i="29"/>
  <c r="R45" i="29" s="1"/>
  <c r="O45" i="29"/>
  <c r="Q45" i="29" s="1"/>
  <c r="L45" i="29"/>
  <c r="N45" i="29" s="1"/>
  <c r="K45" i="29"/>
  <c r="M45" i="29" s="1"/>
  <c r="H45" i="29"/>
  <c r="J45" i="29" s="1"/>
  <c r="G45" i="29"/>
  <c r="I45" i="29" s="1"/>
  <c r="E45" i="29"/>
  <c r="D45" i="29"/>
  <c r="C45" i="29"/>
  <c r="AV44" i="29"/>
  <c r="AX44" i="29" s="1"/>
  <c r="AU44" i="29"/>
  <c r="AW44" i="29" s="1"/>
  <c r="AR44" i="29"/>
  <c r="AT44" i="29" s="1"/>
  <c r="AQ44" i="29"/>
  <c r="AS44" i="29" s="1"/>
  <c r="AN44" i="29"/>
  <c r="AP44" i="29" s="1"/>
  <c r="AM44" i="29"/>
  <c r="AO44" i="29" s="1"/>
  <c r="AJ44" i="29"/>
  <c r="AL44" i="29" s="1"/>
  <c r="AI44" i="29"/>
  <c r="AK44" i="29" s="1"/>
  <c r="AF44" i="29"/>
  <c r="AH44" i="29" s="1"/>
  <c r="AE44" i="29"/>
  <c r="AG44" i="29" s="1"/>
  <c r="AB44" i="29"/>
  <c r="AD44" i="29" s="1"/>
  <c r="AA44" i="29"/>
  <c r="AC44" i="29" s="1"/>
  <c r="X44" i="29"/>
  <c r="Z44" i="29" s="1"/>
  <c r="W44" i="29"/>
  <c r="Y44" i="29" s="1"/>
  <c r="T44" i="29"/>
  <c r="V44" i="29" s="1"/>
  <c r="S44" i="29"/>
  <c r="U44" i="29" s="1"/>
  <c r="P44" i="29"/>
  <c r="R44" i="29" s="1"/>
  <c r="O44" i="29"/>
  <c r="Q44" i="29" s="1"/>
  <c r="L44" i="29"/>
  <c r="N44" i="29" s="1"/>
  <c r="K44" i="29"/>
  <c r="M44" i="29" s="1"/>
  <c r="H44" i="29"/>
  <c r="J44" i="29" s="1"/>
  <c r="G44" i="29"/>
  <c r="I44" i="29" s="1"/>
  <c r="E44" i="29"/>
  <c r="D44" i="29"/>
  <c r="C44" i="29"/>
  <c r="AV43" i="29"/>
  <c r="AX43" i="29" s="1"/>
  <c r="AU43" i="29"/>
  <c r="AW43" i="29" s="1"/>
  <c r="AR43" i="29"/>
  <c r="AT43" i="29" s="1"/>
  <c r="AQ43" i="29"/>
  <c r="AS43" i="29" s="1"/>
  <c r="AN43" i="29"/>
  <c r="AP43" i="29" s="1"/>
  <c r="AM43" i="29"/>
  <c r="AO43" i="29" s="1"/>
  <c r="AJ43" i="29"/>
  <c r="AL43" i="29" s="1"/>
  <c r="AI43" i="29"/>
  <c r="AK43" i="29" s="1"/>
  <c r="AF43" i="29"/>
  <c r="AH43" i="29" s="1"/>
  <c r="AE43" i="29"/>
  <c r="AG43" i="29" s="1"/>
  <c r="AB43" i="29"/>
  <c r="AD43" i="29" s="1"/>
  <c r="AA43" i="29"/>
  <c r="AC43" i="29" s="1"/>
  <c r="X43" i="29"/>
  <c r="Z43" i="29" s="1"/>
  <c r="W43" i="29"/>
  <c r="Y43" i="29" s="1"/>
  <c r="T43" i="29"/>
  <c r="V43" i="29" s="1"/>
  <c r="S43" i="29"/>
  <c r="U43" i="29" s="1"/>
  <c r="P43" i="29"/>
  <c r="R43" i="29" s="1"/>
  <c r="O43" i="29"/>
  <c r="Q43" i="29" s="1"/>
  <c r="L43" i="29"/>
  <c r="N43" i="29" s="1"/>
  <c r="K43" i="29"/>
  <c r="M43" i="29" s="1"/>
  <c r="H43" i="29"/>
  <c r="J43" i="29" s="1"/>
  <c r="G43" i="29"/>
  <c r="I43" i="29" s="1"/>
  <c r="E43" i="29"/>
  <c r="D43" i="29"/>
  <c r="C43" i="29"/>
  <c r="AV42" i="29"/>
  <c r="AX42" i="29" s="1"/>
  <c r="AU42" i="29"/>
  <c r="AW42" i="29" s="1"/>
  <c r="AR42" i="29"/>
  <c r="AT42" i="29" s="1"/>
  <c r="AQ42" i="29"/>
  <c r="AS42" i="29" s="1"/>
  <c r="AN42" i="29"/>
  <c r="AP42" i="29" s="1"/>
  <c r="AM42" i="29"/>
  <c r="AO42" i="29" s="1"/>
  <c r="AJ42" i="29"/>
  <c r="AL42" i="29" s="1"/>
  <c r="AI42" i="29"/>
  <c r="AK42" i="29" s="1"/>
  <c r="AF42" i="29"/>
  <c r="AH42" i="29" s="1"/>
  <c r="AE42" i="29"/>
  <c r="AG42" i="29" s="1"/>
  <c r="AB42" i="29"/>
  <c r="AD42" i="29" s="1"/>
  <c r="AA42" i="29"/>
  <c r="AC42" i="29" s="1"/>
  <c r="X42" i="29"/>
  <c r="Z42" i="29" s="1"/>
  <c r="W42" i="29"/>
  <c r="Y42" i="29" s="1"/>
  <c r="T42" i="29"/>
  <c r="V42" i="29" s="1"/>
  <c r="S42" i="29"/>
  <c r="U42" i="29" s="1"/>
  <c r="P42" i="29"/>
  <c r="R42" i="29" s="1"/>
  <c r="O42" i="29"/>
  <c r="Q42" i="29" s="1"/>
  <c r="L42" i="29"/>
  <c r="N42" i="29" s="1"/>
  <c r="K42" i="29"/>
  <c r="M42" i="29" s="1"/>
  <c r="H42" i="29"/>
  <c r="J42" i="29" s="1"/>
  <c r="G42" i="29"/>
  <c r="I42" i="29" s="1"/>
  <c r="E42" i="29"/>
  <c r="D42" i="29"/>
  <c r="C42" i="29"/>
  <c r="AV41" i="29"/>
  <c r="AX41" i="29" s="1"/>
  <c r="AU41" i="29"/>
  <c r="AW41" i="29" s="1"/>
  <c r="AR41" i="29"/>
  <c r="AT41" i="29" s="1"/>
  <c r="AQ41" i="29"/>
  <c r="AS41" i="29" s="1"/>
  <c r="AN41" i="29"/>
  <c r="AP41" i="29" s="1"/>
  <c r="AM41" i="29"/>
  <c r="AO41" i="29" s="1"/>
  <c r="AJ41" i="29"/>
  <c r="AL41" i="29" s="1"/>
  <c r="AI41" i="29"/>
  <c r="AK41" i="29" s="1"/>
  <c r="AF41" i="29"/>
  <c r="AH41" i="29" s="1"/>
  <c r="AE41" i="29"/>
  <c r="AG41" i="29" s="1"/>
  <c r="AB41" i="29"/>
  <c r="AD41" i="29" s="1"/>
  <c r="AA41" i="29"/>
  <c r="AC41" i="29" s="1"/>
  <c r="X41" i="29"/>
  <c r="Z41" i="29" s="1"/>
  <c r="W41" i="29"/>
  <c r="Y41" i="29" s="1"/>
  <c r="T41" i="29"/>
  <c r="V41" i="29" s="1"/>
  <c r="S41" i="29"/>
  <c r="U41" i="29" s="1"/>
  <c r="P41" i="29"/>
  <c r="R41" i="29" s="1"/>
  <c r="O41" i="29"/>
  <c r="Q41" i="29" s="1"/>
  <c r="L41" i="29"/>
  <c r="N41" i="29" s="1"/>
  <c r="K41" i="29"/>
  <c r="M41" i="29" s="1"/>
  <c r="H41" i="29"/>
  <c r="J41" i="29" s="1"/>
  <c r="G41" i="29"/>
  <c r="I41" i="29" s="1"/>
  <c r="E41" i="29"/>
  <c r="D41" i="29"/>
  <c r="C41" i="29"/>
  <c r="AV40" i="29"/>
  <c r="AX40" i="29" s="1"/>
  <c r="AU40" i="29"/>
  <c r="AW40" i="29" s="1"/>
  <c r="AR40" i="29"/>
  <c r="AT40" i="29" s="1"/>
  <c r="AQ40" i="29"/>
  <c r="AS40" i="29" s="1"/>
  <c r="AN40" i="29"/>
  <c r="AP40" i="29" s="1"/>
  <c r="AM40" i="29"/>
  <c r="AO40" i="29" s="1"/>
  <c r="AJ40" i="29"/>
  <c r="AL40" i="29" s="1"/>
  <c r="AI40" i="29"/>
  <c r="AK40" i="29" s="1"/>
  <c r="AF40" i="29"/>
  <c r="AH40" i="29" s="1"/>
  <c r="AE40" i="29"/>
  <c r="AG40" i="29" s="1"/>
  <c r="AB40" i="29"/>
  <c r="AD40" i="29" s="1"/>
  <c r="AA40" i="29"/>
  <c r="AC40" i="29" s="1"/>
  <c r="X40" i="29"/>
  <c r="Z40" i="29" s="1"/>
  <c r="W40" i="29"/>
  <c r="Y40" i="29" s="1"/>
  <c r="T40" i="29"/>
  <c r="V40" i="29" s="1"/>
  <c r="S40" i="29"/>
  <c r="U40" i="29" s="1"/>
  <c r="P40" i="29"/>
  <c r="R40" i="29" s="1"/>
  <c r="O40" i="29"/>
  <c r="Q40" i="29" s="1"/>
  <c r="L40" i="29"/>
  <c r="N40" i="29" s="1"/>
  <c r="K40" i="29"/>
  <c r="M40" i="29" s="1"/>
  <c r="H40" i="29"/>
  <c r="J40" i="29" s="1"/>
  <c r="G40" i="29"/>
  <c r="I40" i="29" s="1"/>
  <c r="E40" i="29"/>
  <c r="D40" i="29"/>
  <c r="C40" i="29"/>
  <c r="AV39" i="29"/>
  <c r="AX39" i="29" s="1"/>
  <c r="AU39" i="29"/>
  <c r="AW39" i="29" s="1"/>
  <c r="AR39" i="29"/>
  <c r="AT39" i="29" s="1"/>
  <c r="AQ39" i="29"/>
  <c r="AS39" i="29" s="1"/>
  <c r="AN39" i="29"/>
  <c r="AP39" i="29" s="1"/>
  <c r="AM39" i="29"/>
  <c r="AO39" i="29" s="1"/>
  <c r="AJ39" i="29"/>
  <c r="AL39" i="29" s="1"/>
  <c r="AI39" i="29"/>
  <c r="AK39" i="29" s="1"/>
  <c r="AF39" i="29"/>
  <c r="AH39" i="29" s="1"/>
  <c r="AE39" i="29"/>
  <c r="AG39" i="29" s="1"/>
  <c r="AB39" i="29"/>
  <c r="AD39" i="29" s="1"/>
  <c r="AA39" i="29"/>
  <c r="AC39" i="29" s="1"/>
  <c r="X39" i="29"/>
  <c r="Z39" i="29" s="1"/>
  <c r="W39" i="29"/>
  <c r="Y39" i="29" s="1"/>
  <c r="T39" i="29"/>
  <c r="V39" i="29" s="1"/>
  <c r="S39" i="29"/>
  <c r="U39" i="29" s="1"/>
  <c r="P39" i="29"/>
  <c r="R39" i="29" s="1"/>
  <c r="O39" i="29"/>
  <c r="Q39" i="29" s="1"/>
  <c r="L39" i="29"/>
  <c r="N39" i="29" s="1"/>
  <c r="K39" i="29"/>
  <c r="M39" i="29" s="1"/>
  <c r="H39" i="29"/>
  <c r="J39" i="29" s="1"/>
  <c r="G39" i="29"/>
  <c r="I39" i="29" s="1"/>
  <c r="E39" i="29"/>
  <c r="D39" i="29"/>
  <c r="C39" i="29"/>
  <c r="AV38" i="29"/>
  <c r="AX38" i="29" s="1"/>
  <c r="AU38" i="29"/>
  <c r="AW38" i="29" s="1"/>
  <c r="AR38" i="29"/>
  <c r="AT38" i="29" s="1"/>
  <c r="AQ38" i="29"/>
  <c r="AS38" i="29" s="1"/>
  <c r="AN38" i="29"/>
  <c r="AP38" i="29" s="1"/>
  <c r="AM38" i="29"/>
  <c r="AO38" i="29" s="1"/>
  <c r="AJ38" i="29"/>
  <c r="AL38" i="29" s="1"/>
  <c r="AI38" i="29"/>
  <c r="AK38" i="29" s="1"/>
  <c r="AF38" i="29"/>
  <c r="AH38" i="29" s="1"/>
  <c r="AE38" i="29"/>
  <c r="AG38" i="29" s="1"/>
  <c r="AB38" i="29"/>
  <c r="AD38" i="29" s="1"/>
  <c r="AA38" i="29"/>
  <c r="AC38" i="29" s="1"/>
  <c r="X38" i="29"/>
  <c r="Z38" i="29" s="1"/>
  <c r="W38" i="29"/>
  <c r="Y38" i="29" s="1"/>
  <c r="T38" i="29"/>
  <c r="V38" i="29" s="1"/>
  <c r="S38" i="29"/>
  <c r="U38" i="29" s="1"/>
  <c r="P38" i="29"/>
  <c r="R38" i="29" s="1"/>
  <c r="O38" i="29"/>
  <c r="Q38" i="29" s="1"/>
  <c r="L38" i="29"/>
  <c r="N38" i="29" s="1"/>
  <c r="K38" i="29"/>
  <c r="M38" i="29" s="1"/>
  <c r="H38" i="29"/>
  <c r="J38" i="29" s="1"/>
  <c r="G38" i="29"/>
  <c r="I38" i="29" s="1"/>
  <c r="E38" i="29"/>
  <c r="D38" i="29"/>
  <c r="C38" i="29"/>
  <c r="AV37" i="29"/>
  <c r="AX37" i="29" s="1"/>
  <c r="AU37" i="29"/>
  <c r="AW37" i="29" s="1"/>
  <c r="AR37" i="29"/>
  <c r="AT37" i="29" s="1"/>
  <c r="AQ37" i="29"/>
  <c r="AS37" i="29" s="1"/>
  <c r="AN37" i="29"/>
  <c r="AP37" i="29" s="1"/>
  <c r="AM37" i="29"/>
  <c r="AO37" i="29" s="1"/>
  <c r="AJ37" i="29"/>
  <c r="AL37" i="29" s="1"/>
  <c r="AI37" i="29"/>
  <c r="AK37" i="29" s="1"/>
  <c r="AF37" i="29"/>
  <c r="AH37" i="29" s="1"/>
  <c r="AE37" i="29"/>
  <c r="AG37" i="29" s="1"/>
  <c r="AB37" i="29"/>
  <c r="AD37" i="29" s="1"/>
  <c r="AA37" i="29"/>
  <c r="AC37" i="29" s="1"/>
  <c r="X37" i="29"/>
  <c r="Z37" i="29" s="1"/>
  <c r="W37" i="29"/>
  <c r="Y37" i="29" s="1"/>
  <c r="T37" i="29"/>
  <c r="V37" i="29" s="1"/>
  <c r="S37" i="29"/>
  <c r="U37" i="29" s="1"/>
  <c r="P37" i="29"/>
  <c r="R37" i="29" s="1"/>
  <c r="O37" i="29"/>
  <c r="Q37" i="29" s="1"/>
  <c r="L37" i="29"/>
  <c r="N37" i="29" s="1"/>
  <c r="K37" i="29"/>
  <c r="M37" i="29" s="1"/>
  <c r="H37" i="29"/>
  <c r="J37" i="29" s="1"/>
  <c r="G37" i="29"/>
  <c r="I37" i="29" s="1"/>
  <c r="E37" i="29"/>
  <c r="D37" i="29"/>
  <c r="C37" i="29"/>
  <c r="AV36" i="29"/>
  <c r="AX36" i="29" s="1"/>
  <c r="AU36" i="29"/>
  <c r="AW36" i="29" s="1"/>
  <c r="AR36" i="29"/>
  <c r="AT36" i="29" s="1"/>
  <c r="AQ36" i="29"/>
  <c r="AS36" i="29" s="1"/>
  <c r="AN36" i="29"/>
  <c r="AP36" i="29" s="1"/>
  <c r="AM36" i="29"/>
  <c r="AO36" i="29" s="1"/>
  <c r="AJ36" i="29"/>
  <c r="AL36" i="29" s="1"/>
  <c r="AI36" i="29"/>
  <c r="AK36" i="29" s="1"/>
  <c r="AF36" i="29"/>
  <c r="AH36" i="29" s="1"/>
  <c r="AE36" i="29"/>
  <c r="AG36" i="29" s="1"/>
  <c r="AB36" i="29"/>
  <c r="AD36" i="29" s="1"/>
  <c r="AA36" i="29"/>
  <c r="AC36" i="29" s="1"/>
  <c r="X36" i="29"/>
  <c r="Z36" i="29" s="1"/>
  <c r="W36" i="29"/>
  <c r="Y36" i="29" s="1"/>
  <c r="T36" i="29"/>
  <c r="V36" i="29" s="1"/>
  <c r="S36" i="29"/>
  <c r="U36" i="29" s="1"/>
  <c r="P36" i="29"/>
  <c r="R36" i="29" s="1"/>
  <c r="O36" i="29"/>
  <c r="Q36" i="29" s="1"/>
  <c r="L36" i="29"/>
  <c r="N36" i="29" s="1"/>
  <c r="K36" i="29"/>
  <c r="M36" i="29" s="1"/>
  <c r="H36" i="29"/>
  <c r="J36" i="29" s="1"/>
  <c r="G36" i="29"/>
  <c r="I36" i="29" s="1"/>
  <c r="E36" i="29"/>
  <c r="D36" i="29"/>
  <c r="C36" i="29"/>
  <c r="AV35" i="29"/>
  <c r="AX35" i="29" s="1"/>
  <c r="AU35" i="29"/>
  <c r="AW35" i="29" s="1"/>
  <c r="AR35" i="29"/>
  <c r="AT35" i="29" s="1"/>
  <c r="AQ35" i="29"/>
  <c r="AS35" i="29" s="1"/>
  <c r="AN35" i="29"/>
  <c r="AP35" i="29" s="1"/>
  <c r="AM35" i="29"/>
  <c r="AO35" i="29" s="1"/>
  <c r="AJ35" i="29"/>
  <c r="AL35" i="29" s="1"/>
  <c r="AI35" i="29"/>
  <c r="AK35" i="29" s="1"/>
  <c r="AF35" i="29"/>
  <c r="AH35" i="29" s="1"/>
  <c r="AE35" i="29"/>
  <c r="AG35" i="29" s="1"/>
  <c r="AB35" i="29"/>
  <c r="AD35" i="29" s="1"/>
  <c r="AA35" i="29"/>
  <c r="AC35" i="29" s="1"/>
  <c r="X35" i="29"/>
  <c r="Z35" i="29" s="1"/>
  <c r="W35" i="29"/>
  <c r="Y35" i="29" s="1"/>
  <c r="T35" i="29"/>
  <c r="V35" i="29" s="1"/>
  <c r="S35" i="29"/>
  <c r="U35" i="29" s="1"/>
  <c r="P35" i="29"/>
  <c r="R35" i="29" s="1"/>
  <c r="O35" i="29"/>
  <c r="Q35" i="29" s="1"/>
  <c r="L35" i="29"/>
  <c r="N35" i="29" s="1"/>
  <c r="K35" i="29"/>
  <c r="M35" i="29" s="1"/>
  <c r="H35" i="29"/>
  <c r="J35" i="29" s="1"/>
  <c r="G35" i="29"/>
  <c r="I35" i="29" s="1"/>
  <c r="E35" i="29"/>
  <c r="D35" i="29"/>
  <c r="C35" i="29"/>
  <c r="AV34" i="29"/>
  <c r="AX34" i="29" s="1"/>
  <c r="AU34" i="29"/>
  <c r="AW34" i="29" s="1"/>
  <c r="AR34" i="29"/>
  <c r="AT34" i="29" s="1"/>
  <c r="AQ34" i="29"/>
  <c r="AS34" i="29" s="1"/>
  <c r="AN34" i="29"/>
  <c r="AP34" i="29" s="1"/>
  <c r="AM34" i="29"/>
  <c r="AO34" i="29" s="1"/>
  <c r="AJ34" i="29"/>
  <c r="AL34" i="29" s="1"/>
  <c r="AI34" i="29"/>
  <c r="AK34" i="29" s="1"/>
  <c r="AF34" i="29"/>
  <c r="AH34" i="29" s="1"/>
  <c r="AE34" i="29"/>
  <c r="AG34" i="29" s="1"/>
  <c r="AB34" i="29"/>
  <c r="AD34" i="29" s="1"/>
  <c r="AA34" i="29"/>
  <c r="AC34" i="29" s="1"/>
  <c r="X34" i="29"/>
  <c r="Z34" i="29" s="1"/>
  <c r="W34" i="29"/>
  <c r="Y34" i="29" s="1"/>
  <c r="T34" i="29"/>
  <c r="V34" i="29" s="1"/>
  <c r="S34" i="29"/>
  <c r="U34" i="29" s="1"/>
  <c r="P34" i="29"/>
  <c r="R34" i="29" s="1"/>
  <c r="O34" i="29"/>
  <c r="Q34" i="29" s="1"/>
  <c r="L34" i="29"/>
  <c r="N34" i="29" s="1"/>
  <c r="K34" i="29"/>
  <c r="M34" i="29" s="1"/>
  <c r="H34" i="29"/>
  <c r="J34" i="29" s="1"/>
  <c r="G34" i="29"/>
  <c r="I34" i="29" s="1"/>
  <c r="E34" i="29"/>
  <c r="D34" i="29"/>
  <c r="C34" i="29"/>
  <c r="AV33" i="29"/>
  <c r="AX33" i="29" s="1"/>
  <c r="AU33" i="29"/>
  <c r="AW33" i="29" s="1"/>
  <c r="AR33" i="29"/>
  <c r="AT33" i="29" s="1"/>
  <c r="AQ33" i="29"/>
  <c r="AS33" i="29" s="1"/>
  <c r="AN33" i="29"/>
  <c r="AP33" i="29" s="1"/>
  <c r="AM33" i="29"/>
  <c r="AO33" i="29" s="1"/>
  <c r="AJ33" i="29"/>
  <c r="AL33" i="29" s="1"/>
  <c r="AI33" i="29"/>
  <c r="AK33" i="29" s="1"/>
  <c r="AF33" i="29"/>
  <c r="AH33" i="29" s="1"/>
  <c r="AE33" i="29"/>
  <c r="AG33" i="29" s="1"/>
  <c r="AB33" i="29"/>
  <c r="AD33" i="29" s="1"/>
  <c r="AA33" i="29"/>
  <c r="AC33" i="29" s="1"/>
  <c r="X33" i="29"/>
  <c r="Z33" i="29" s="1"/>
  <c r="W33" i="29"/>
  <c r="Y33" i="29" s="1"/>
  <c r="T33" i="29"/>
  <c r="V33" i="29" s="1"/>
  <c r="S33" i="29"/>
  <c r="U33" i="29" s="1"/>
  <c r="P33" i="29"/>
  <c r="R33" i="29" s="1"/>
  <c r="O33" i="29"/>
  <c r="Q33" i="29" s="1"/>
  <c r="L33" i="29"/>
  <c r="N33" i="29" s="1"/>
  <c r="K33" i="29"/>
  <c r="M33" i="29" s="1"/>
  <c r="H33" i="29"/>
  <c r="J33" i="29" s="1"/>
  <c r="G33" i="29"/>
  <c r="I33" i="29" s="1"/>
  <c r="E33" i="29"/>
  <c r="D33" i="29"/>
  <c r="C33" i="29"/>
  <c r="AV32" i="29"/>
  <c r="AX32" i="29" s="1"/>
  <c r="AU32" i="29"/>
  <c r="AW32" i="29" s="1"/>
  <c r="AR32" i="29"/>
  <c r="AT32" i="29" s="1"/>
  <c r="AQ32" i="29"/>
  <c r="AS32" i="29" s="1"/>
  <c r="AN32" i="29"/>
  <c r="AP32" i="29" s="1"/>
  <c r="AM32" i="29"/>
  <c r="AO32" i="29" s="1"/>
  <c r="AJ32" i="29"/>
  <c r="AL32" i="29" s="1"/>
  <c r="AI32" i="29"/>
  <c r="AK32" i="29" s="1"/>
  <c r="AF32" i="29"/>
  <c r="AH32" i="29" s="1"/>
  <c r="AE32" i="29"/>
  <c r="AG32" i="29" s="1"/>
  <c r="AB32" i="29"/>
  <c r="AD32" i="29" s="1"/>
  <c r="AA32" i="29"/>
  <c r="AC32" i="29" s="1"/>
  <c r="X32" i="29"/>
  <c r="Z32" i="29" s="1"/>
  <c r="W32" i="29"/>
  <c r="Y32" i="29" s="1"/>
  <c r="T32" i="29"/>
  <c r="V32" i="29" s="1"/>
  <c r="S32" i="29"/>
  <c r="U32" i="29" s="1"/>
  <c r="P32" i="29"/>
  <c r="R32" i="29" s="1"/>
  <c r="O32" i="29"/>
  <c r="Q32" i="29" s="1"/>
  <c r="L32" i="29"/>
  <c r="N32" i="29" s="1"/>
  <c r="K32" i="29"/>
  <c r="M32" i="29" s="1"/>
  <c r="H32" i="29"/>
  <c r="J32" i="29" s="1"/>
  <c r="G32" i="29"/>
  <c r="I32" i="29" s="1"/>
  <c r="E32" i="29"/>
  <c r="D32" i="29"/>
  <c r="C32" i="29"/>
  <c r="AV31" i="29"/>
  <c r="AX31" i="29" s="1"/>
  <c r="AU31" i="29"/>
  <c r="AW31" i="29" s="1"/>
  <c r="AR31" i="29"/>
  <c r="AT31" i="29" s="1"/>
  <c r="AQ31" i="29"/>
  <c r="AS31" i="29" s="1"/>
  <c r="AN31" i="29"/>
  <c r="AP31" i="29" s="1"/>
  <c r="AM31" i="29"/>
  <c r="AO31" i="29" s="1"/>
  <c r="AJ31" i="29"/>
  <c r="AL31" i="29" s="1"/>
  <c r="AI31" i="29"/>
  <c r="AK31" i="29" s="1"/>
  <c r="AF31" i="29"/>
  <c r="AH31" i="29" s="1"/>
  <c r="AE31" i="29"/>
  <c r="AG31" i="29" s="1"/>
  <c r="AB31" i="29"/>
  <c r="AD31" i="29" s="1"/>
  <c r="AA31" i="29"/>
  <c r="AC31" i="29" s="1"/>
  <c r="X31" i="29"/>
  <c r="Z31" i="29" s="1"/>
  <c r="W31" i="29"/>
  <c r="Y31" i="29" s="1"/>
  <c r="T31" i="29"/>
  <c r="V31" i="29" s="1"/>
  <c r="S31" i="29"/>
  <c r="U31" i="29" s="1"/>
  <c r="P31" i="29"/>
  <c r="R31" i="29" s="1"/>
  <c r="O31" i="29"/>
  <c r="Q31" i="29" s="1"/>
  <c r="L31" i="29"/>
  <c r="N31" i="29" s="1"/>
  <c r="K31" i="29"/>
  <c r="M31" i="29" s="1"/>
  <c r="H31" i="29"/>
  <c r="J31" i="29" s="1"/>
  <c r="G31" i="29"/>
  <c r="I31" i="29" s="1"/>
  <c r="E31" i="29"/>
  <c r="D31" i="29"/>
  <c r="C31" i="29"/>
  <c r="AV30" i="29"/>
  <c r="AX30" i="29" s="1"/>
  <c r="AU30" i="29"/>
  <c r="AW30" i="29" s="1"/>
  <c r="AR30" i="29"/>
  <c r="AT30" i="29" s="1"/>
  <c r="AQ30" i="29"/>
  <c r="AS30" i="29" s="1"/>
  <c r="AN30" i="29"/>
  <c r="AP30" i="29" s="1"/>
  <c r="AM30" i="29"/>
  <c r="AO30" i="29" s="1"/>
  <c r="AJ30" i="29"/>
  <c r="AL30" i="29" s="1"/>
  <c r="AI30" i="29"/>
  <c r="AK30" i="29" s="1"/>
  <c r="AF30" i="29"/>
  <c r="AH30" i="29" s="1"/>
  <c r="AE30" i="29"/>
  <c r="AG30" i="29" s="1"/>
  <c r="AB30" i="29"/>
  <c r="AD30" i="29" s="1"/>
  <c r="AA30" i="29"/>
  <c r="AC30" i="29" s="1"/>
  <c r="X30" i="29"/>
  <c r="Z30" i="29" s="1"/>
  <c r="W30" i="29"/>
  <c r="Y30" i="29" s="1"/>
  <c r="T30" i="29"/>
  <c r="V30" i="29" s="1"/>
  <c r="S30" i="29"/>
  <c r="U30" i="29" s="1"/>
  <c r="P30" i="29"/>
  <c r="R30" i="29" s="1"/>
  <c r="O30" i="29"/>
  <c r="Q30" i="29" s="1"/>
  <c r="L30" i="29"/>
  <c r="N30" i="29" s="1"/>
  <c r="K30" i="29"/>
  <c r="M30" i="29" s="1"/>
  <c r="H30" i="29"/>
  <c r="J30" i="29" s="1"/>
  <c r="G30" i="29"/>
  <c r="I30" i="29" s="1"/>
  <c r="E30" i="29"/>
  <c r="D30" i="29"/>
  <c r="C30" i="29"/>
  <c r="AV29" i="29"/>
  <c r="AX29" i="29" s="1"/>
  <c r="AU29" i="29"/>
  <c r="AW29" i="29" s="1"/>
  <c r="AR29" i="29"/>
  <c r="AT29" i="29" s="1"/>
  <c r="AQ29" i="29"/>
  <c r="AS29" i="29" s="1"/>
  <c r="AN29" i="29"/>
  <c r="AP29" i="29" s="1"/>
  <c r="AM29" i="29"/>
  <c r="AO29" i="29" s="1"/>
  <c r="AJ29" i="29"/>
  <c r="AL29" i="29" s="1"/>
  <c r="AI29" i="29"/>
  <c r="AK29" i="29" s="1"/>
  <c r="AF29" i="29"/>
  <c r="AH29" i="29" s="1"/>
  <c r="AE29" i="29"/>
  <c r="AG29" i="29" s="1"/>
  <c r="AB29" i="29"/>
  <c r="AD29" i="29" s="1"/>
  <c r="AA29" i="29"/>
  <c r="AC29" i="29" s="1"/>
  <c r="X29" i="29"/>
  <c r="Z29" i="29" s="1"/>
  <c r="W29" i="29"/>
  <c r="Y29" i="29" s="1"/>
  <c r="T29" i="29"/>
  <c r="V29" i="29" s="1"/>
  <c r="S29" i="29"/>
  <c r="U29" i="29" s="1"/>
  <c r="P29" i="29"/>
  <c r="R29" i="29" s="1"/>
  <c r="O29" i="29"/>
  <c r="Q29" i="29" s="1"/>
  <c r="L29" i="29"/>
  <c r="N29" i="29" s="1"/>
  <c r="K29" i="29"/>
  <c r="M29" i="29" s="1"/>
  <c r="H29" i="29"/>
  <c r="J29" i="29" s="1"/>
  <c r="G29" i="29"/>
  <c r="I29" i="29" s="1"/>
  <c r="E29" i="29"/>
  <c r="D29" i="29"/>
  <c r="C29" i="29"/>
  <c r="AV28" i="29"/>
  <c r="AX28" i="29" s="1"/>
  <c r="AU28" i="29"/>
  <c r="AW28" i="29" s="1"/>
  <c r="AR28" i="29"/>
  <c r="AT28" i="29" s="1"/>
  <c r="AQ28" i="29"/>
  <c r="AS28" i="29" s="1"/>
  <c r="AN28" i="29"/>
  <c r="AP28" i="29" s="1"/>
  <c r="AM28" i="29"/>
  <c r="AO28" i="29" s="1"/>
  <c r="AJ28" i="29"/>
  <c r="AL28" i="29" s="1"/>
  <c r="AI28" i="29"/>
  <c r="AK28" i="29" s="1"/>
  <c r="AF28" i="29"/>
  <c r="AH28" i="29" s="1"/>
  <c r="AE28" i="29"/>
  <c r="AG28" i="29" s="1"/>
  <c r="AB28" i="29"/>
  <c r="AD28" i="29" s="1"/>
  <c r="AA28" i="29"/>
  <c r="AC28" i="29" s="1"/>
  <c r="X28" i="29"/>
  <c r="Z28" i="29" s="1"/>
  <c r="W28" i="29"/>
  <c r="Y28" i="29" s="1"/>
  <c r="T28" i="29"/>
  <c r="V28" i="29" s="1"/>
  <c r="S28" i="29"/>
  <c r="U28" i="29" s="1"/>
  <c r="P28" i="29"/>
  <c r="R28" i="29" s="1"/>
  <c r="O28" i="29"/>
  <c r="Q28" i="29" s="1"/>
  <c r="L28" i="29"/>
  <c r="N28" i="29" s="1"/>
  <c r="K28" i="29"/>
  <c r="M28" i="29" s="1"/>
  <c r="H28" i="29"/>
  <c r="J28" i="29" s="1"/>
  <c r="G28" i="29"/>
  <c r="I28" i="29" s="1"/>
  <c r="E28" i="29"/>
  <c r="D28" i="29"/>
  <c r="C28" i="29"/>
  <c r="AV27" i="29"/>
  <c r="AX27" i="29" s="1"/>
  <c r="AU27" i="29"/>
  <c r="AW27" i="29" s="1"/>
  <c r="AR27" i="29"/>
  <c r="AT27" i="29" s="1"/>
  <c r="AQ27" i="29"/>
  <c r="AS27" i="29" s="1"/>
  <c r="AN27" i="29"/>
  <c r="AP27" i="29" s="1"/>
  <c r="AM27" i="29"/>
  <c r="AO27" i="29" s="1"/>
  <c r="AJ27" i="29"/>
  <c r="AL27" i="29" s="1"/>
  <c r="AI27" i="29"/>
  <c r="AK27" i="29" s="1"/>
  <c r="AF27" i="29"/>
  <c r="AH27" i="29" s="1"/>
  <c r="AE27" i="29"/>
  <c r="AG27" i="29" s="1"/>
  <c r="AB27" i="29"/>
  <c r="AD27" i="29" s="1"/>
  <c r="AA27" i="29"/>
  <c r="AC27" i="29" s="1"/>
  <c r="X27" i="29"/>
  <c r="Z27" i="29" s="1"/>
  <c r="W27" i="29"/>
  <c r="Y27" i="29" s="1"/>
  <c r="T27" i="29"/>
  <c r="V27" i="29" s="1"/>
  <c r="S27" i="29"/>
  <c r="U27" i="29" s="1"/>
  <c r="P27" i="29"/>
  <c r="R27" i="29" s="1"/>
  <c r="O27" i="29"/>
  <c r="Q27" i="29" s="1"/>
  <c r="L27" i="29"/>
  <c r="N27" i="29" s="1"/>
  <c r="K27" i="29"/>
  <c r="M27" i="29" s="1"/>
  <c r="H27" i="29"/>
  <c r="J27" i="29" s="1"/>
  <c r="G27" i="29"/>
  <c r="I27" i="29" s="1"/>
  <c r="E27" i="29"/>
  <c r="D27" i="29"/>
  <c r="C27" i="29"/>
  <c r="AV26" i="29"/>
  <c r="AX26" i="29" s="1"/>
  <c r="AU26" i="29"/>
  <c r="AW26" i="29" s="1"/>
  <c r="AR26" i="29"/>
  <c r="AT26" i="29" s="1"/>
  <c r="AQ26" i="29"/>
  <c r="AS26" i="29" s="1"/>
  <c r="AN26" i="29"/>
  <c r="AP26" i="29" s="1"/>
  <c r="AM26" i="29"/>
  <c r="AO26" i="29" s="1"/>
  <c r="AJ26" i="29"/>
  <c r="AL26" i="29" s="1"/>
  <c r="AI26" i="29"/>
  <c r="AK26" i="29" s="1"/>
  <c r="AF26" i="29"/>
  <c r="AH26" i="29" s="1"/>
  <c r="AE26" i="29"/>
  <c r="AG26" i="29" s="1"/>
  <c r="AB26" i="29"/>
  <c r="AD26" i="29" s="1"/>
  <c r="AA26" i="29"/>
  <c r="AC26" i="29" s="1"/>
  <c r="X26" i="29"/>
  <c r="Z26" i="29" s="1"/>
  <c r="W26" i="29"/>
  <c r="Y26" i="29" s="1"/>
  <c r="T26" i="29"/>
  <c r="V26" i="29" s="1"/>
  <c r="S26" i="29"/>
  <c r="U26" i="29" s="1"/>
  <c r="P26" i="29"/>
  <c r="R26" i="29" s="1"/>
  <c r="O26" i="29"/>
  <c r="Q26" i="29" s="1"/>
  <c r="L26" i="29"/>
  <c r="N26" i="29" s="1"/>
  <c r="K26" i="29"/>
  <c r="M26" i="29" s="1"/>
  <c r="H26" i="29"/>
  <c r="J26" i="29" s="1"/>
  <c r="G26" i="29"/>
  <c r="I26" i="29" s="1"/>
  <c r="E26" i="29"/>
  <c r="D26" i="29"/>
  <c r="C26" i="29"/>
  <c r="AV25" i="29"/>
  <c r="AX25" i="29" s="1"/>
  <c r="AU25" i="29"/>
  <c r="AW25" i="29" s="1"/>
  <c r="AR25" i="29"/>
  <c r="AT25" i="29" s="1"/>
  <c r="AQ25" i="29"/>
  <c r="AS25" i="29" s="1"/>
  <c r="AN25" i="29"/>
  <c r="AP25" i="29" s="1"/>
  <c r="AM25" i="29"/>
  <c r="AO25" i="29" s="1"/>
  <c r="AJ25" i="29"/>
  <c r="AL25" i="29" s="1"/>
  <c r="AI25" i="29"/>
  <c r="AK25" i="29" s="1"/>
  <c r="AF25" i="29"/>
  <c r="AH25" i="29" s="1"/>
  <c r="AE25" i="29"/>
  <c r="AG25" i="29" s="1"/>
  <c r="AB25" i="29"/>
  <c r="AD25" i="29" s="1"/>
  <c r="AA25" i="29"/>
  <c r="AC25" i="29" s="1"/>
  <c r="X25" i="29"/>
  <c r="Z25" i="29" s="1"/>
  <c r="W25" i="29"/>
  <c r="Y25" i="29" s="1"/>
  <c r="T25" i="29"/>
  <c r="V25" i="29" s="1"/>
  <c r="S25" i="29"/>
  <c r="U25" i="29" s="1"/>
  <c r="P25" i="29"/>
  <c r="R25" i="29" s="1"/>
  <c r="O25" i="29"/>
  <c r="Q25" i="29" s="1"/>
  <c r="L25" i="29"/>
  <c r="N25" i="29" s="1"/>
  <c r="K25" i="29"/>
  <c r="M25" i="29" s="1"/>
  <c r="H25" i="29"/>
  <c r="J25" i="29" s="1"/>
  <c r="G25" i="29"/>
  <c r="I25" i="29" s="1"/>
  <c r="E25" i="29"/>
  <c r="D25" i="29"/>
  <c r="C25" i="29"/>
  <c r="AV24" i="29"/>
  <c r="AX24" i="29" s="1"/>
  <c r="AU24" i="29"/>
  <c r="AW24" i="29" s="1"/>
  <c r="AR24" i="29"/>
  <c r="AT24" i="29" s="1"/>
  <c r="AQ24" i="29"/>
  <c r="AS24" i="29" s="1"/>
  <c r="AN24" i="29"/>
  <c r="AP24" i="29" s="1"/>
  <c r="AM24" i="29"/>
  <c r="AO24" i="29" s="1"/>
  <c r="AJ24" i="29"/>
  <c r="AL24" i="29" s="1"/>
  <c r="AI24" i="29"/>
  <c r="AK24" i="29" s="1"/>
  <c r="AF24" i="29"/>
  <c r="AH24" i="29" s="1"/>
  <c r="AE24" i="29"/>
  <c r="AG24" i="29" s="1"/>
  <c r="AB24" i="29"/>
  <c r="AD24" i="29" s="1"/>
  <c r="AA24" i="29"/>
  <c r="AC24" i="29" s="1"/>
  <c r="X24" i="29"/>
  <c r="Z24" i="29" s="1"/>
  <c r="W24" i="29"/>
  <c r="Y24" i="29" s="1"/>
  <c r="T24" i="29"/>
  <c r="V24" i="29" s="1"/>
  <c r="S24" i="29"/>
  <c r="U24" i="29" s="1"/>
  <c r="P24" i="29"/>
  <c r="R24" i="29" s="1"/>
  <c r="O24" i="29"/>
  <c r="Q24" i="29" s="1"/>
  <c r="L24" i="29"/>
  <c r="N24" i="29" s="1"/>
  <c r="K24" i="29"/>
  <c r="M24" i="29" s="1"/>
  <c r="H24" i="29"/>
  <c r="J24" i="29" s="1"/>
  <c r="G24" i="29"/>
  <c r="I24" i="29" s="1"/>
  <c r="E24" i="29"/>
  <c r="D24" i="29"/>
  <c r="C24" i="29"/>
  <c r="AV23" i="29"/>
  <c r="AX23" i="29" s="1"/>
  <c r="AU23" i="29"/>
  <c r="AW23" i="29" s="1"/>
  <c r="AR23" i="29"/>
  <c r="AT23" i="29" s="1"/>
  <c r="AQ23" i="29"/>
  <c r="AS23" i="29" s="1"/>
  <c r="AN23" i="29"/>
  <c r="AP23" i="29" s="1"/>
  <c r="AM23" i="29"/>
  <c r="AO23" i="29" s="1"/>
  <c r="AJ23" i="29"/>
  <c r="AL23" i="29" s="1"/>
  <c r="AI23" i="29"/>
  <c r="AK23" i="29" s="1"/>
  <c r="AF23" i="29"/>
  <c r="AH23" i="29" s="1"/>
  <c r="AE23" i="29"/>
  <c r="AG23" i="29" s="1"/>
  <c r="AB23" i="29"/>
  <c r="AD23" i="29" s="1"/>
  <c r="AA23" i="29"/>
  <c r="AC23" i="29" s="1"/>
  <c r="X23" i="29"/>
  <c r="Z23" i="29" s="1"/>
  <c r="W23" i="29"/>
  <c r="Y23" i="29" s="1"/>
  <c r="T23" i="29"/>
  <c r="V23" i="29" s="1"/>
  <c r="S23" i="29"/>
  <c r="U23" i="29" s="1"/>
  <c r="P23" i="29"/>
  <c r="R23" i="29" s="1"/>
  <c r="O23" i="29"/>
  <c r="Q23" i="29" s="1"/>
  <c r="L23" i="29"/>
  <c r="N23" i="29" s="1"/>
  <c r="K23" i="29"/>
  <c r="M23" i="29" s="1"/>
  <c r="H23" i="29"/>
  <c r="J23" i="29" s="1"/>
  <c r="G23" i="29"/>
  <c r="I23" i="29" s="1"/>
  <c r="E23" i="29"/>
  <c r="D23" i="29"/>
  <c r="C23" i="29"/>
  <c r="AV22" i="29"/>
  <c r="AX22" i="29" s="1"/>
  <c r="AU22" i="29"/>
  <c r="AW22" i="29" s="1"/>
  <c r="AR22" i="29"/>
  <c r="AT22" i="29" s="1"/>
  <c r="AQ22" i="29"/>
  <c r="AS22" i="29" s="1"/>
  <c r="AN22" i="29"/>
  <c r="AP22" i="29" s="1"/>
  <c r="AM22" i="29"/>
  <c r="AO22" i="29" s="1"/>
  <c r="AJ22" i="29"/>
  <c r="AL22" i="29" s="1"/>
  <c r="AI22" i="29"/>
  <c r="AK22" i="29" s="1"/>
  <c r="AF22" i="29"/>
  <c r="AH22" i="29" s="1"/>
  <c r="AE22" i="29"/>
  <c r="AG22" i="29" s="1"/>
  <c r="AB22" i="29"/>
  <c r="AD22" i="29" s="1"/>
  <c r="AA22" i="29"/>
  <c r="AC22" i="29" s="1"/>
  <c r="X22" i="29"/>
  <c r="Z22" i="29" s="1"/>
  <c r="W22" i="29"/>
  <c r="Y22" i="29" s="1"/>
  <c r="T22" i="29"/>
  <c r="V22" i="29" s="1"/>
  <c r="S22" i="29"/>
  <c r="U22" i="29" s="1"/>
  <c r="P22" i="29"/>
  <c r="R22" i="29" s="1"/>
  <c r="O22" i="29"/>
  <c r="Q22" i="29" s="1"/>
  <c r="L22" i="29"/>
  <c r="N22" i="29" s="1"/>
  <c r="K22" i="29"/>
  <c r="M22" i="29" s="1"/>
  <c r="H22" i="29"/>
  <c r="J22" i="29" s="1"/>
  <c r="G22" i="29"/>
  <c r="I22" i="29" s="1"/>
  <c r="E22" i="29"/>
  <c r="D22" i="29"/>
  <c r="C22" i="29"/>
  <c r="AV21" i="29"/>
  <c r="AX21" i="29" s="1"/>
  <c r="AU21" i="29"/>
  <c r="AW21" i="29" s="1"/>
  <c r="AR21" i="29"/>
  <c r="AT21" i="29" s="1"/>
  <c r="AQ21" i="29"/>
  <c r="AS21" i="29" s="1"/>
  <c r="AN21" i="29"/>
  <c r="AP21" i="29" s="1"/>
  <c r="AM21" i="29"/>
  <c r="AO21" i="29" s="1"/>
  <c r="AJ21" i="29"/>
  <c r="AL21" i="29" s="1"/>
  <c r="AI21" i="29"/>
  <c r="AK21" i="29" s="1"/>
  <c r="AF21" i="29"/>
  <c r="AH21" i="29" s="1"/>
  <c r="AE21" i="29"/>
  <c r="AG21" i="29" s="1"/>
  <c r="AB21" i="29"/>
  <c r="AD21" i="29" s="1"/>
  <c r="AA21" i="29"/>
  <c r="AC21" i="29" s="1"/>
  <c r="X21" i="29"/>
  <c r="Z21" i="29" s="1"/>
  <c r="W21" i="29"/>
  <c r="Y21" i="29" s="1"/>
  <c r="T21" i="29"/>
  <c r="V21" i="29" s="1"/>
  <c r="S21" i="29"/>
  <c r="U21" i="29" s="1"/>
  <c r="P21" i="29"/>
  <c r="R21" i="29" s="1"/>
  <c r="O21" i="29"/>
  <c r="Q21" i="29" s="1"/>
  <c r="L21" i="29"/>
  <c r="N21" i="29" s="1"/>
  <c r="K21" i="29"/>
  <c r="M21" i="29" s="1"/>
  <c r="H21" i="29"/>
  <c r="J21" i="29" s="1"/>
  <c r="G21" i="29"/>
  <c r="I21" i="29" s="1"/>
  <c r="E21" i="29"/>
  <c r="D21" i="29"/>
  <c r="C21" i="29"/>
  <c r="AV20" i="29"/>
  <c r="AX20" i="29" s="1"/>
  <c r="AU20" i="29"/>
  <c r="AW20" i="29" s="1"/>
  <c r="AR20" i="29"/>
  <c r="AT20" i="29" s="1"/>
  <c r="AQ20" i="29"/>
  <c r="AS20" i="29" s="1"/>
  <c r="AN20" i="29"/>
  <c r="AP20" i="29" s="1"/>
  <c r="AM20" i="29"/>
  <c r="AO20" i="29" s="1"/>
  <c r="AJ20" i="29"/>
  <c r="AL20" i="29" s="1"/>
  <c r="AI20" i="29"/>
  <c r="AK20" i="29" s="1"/>
  <c r="AF20" i="29"/>
  <c r="AH20" i="29" s="1"/>
  <c r="AE20" i="29"/>
  <c r="AG20" i="29" s="1"/>
  <c r="AB20" i="29"/>
  <c r="AD20" i="29" s="1"/>
  <c r="AA20" i="29"/>
  <c r="AC20" i="29" s="1"/>
  <c r="X20" i="29"/>
  <c r="Z20" i="29" s="1"/>
  <c r="W20" i="29"/>
  <c r="Y20" i="29" s="1"/>
  <c r="T20" i="29"/>
  <c r="V20" i="29" s="1"/>
  <c r="S20" i="29"/>
  <c r="U20" i="29" s="1"/>
  <c r="P20" i="29"/>
  <c r="R20" i="29" s="1"/>
  <c r="O20" i="29"/>
  <c r="Q20" i="29" s="1"/>
  <c r="L20" i="29"/>
  <c r="N20" i="29" s="1"/>
  <c r="K20" i="29"/>
  <c r="M20" i="29" s="1"/>
  <c r="H20" i="29"/>
  <c r="J20" i="29" s="1"/>
  <c r="G20" i="29"/>
  <c r="I20" i="29" s="1"/>
  <c r="E20" i="29"/>
  <c r="D20" i="29"/>
  <c r="C20" i="29"/>
  <c r="AV19" i="29"/>
  <c r="AX19" i="29" s="1"/>
  <c r="AU19" i="29"/>
  <c r="AW19" i="29" s="1"/>
  <c r="AR19" i="29"/>
  <c r="AT19" i="29" s="1"/>
  <c r="AQ19" i="29"/>
  <c r="AS19" i="29" s="1"/>
  <c r="AN19" i="29"/>
  <c r="AP19" i="29" s="1"/>
  <c r="AM19" i="29"/>
  <c r="AO19" i="29" s="1"/>
  <c r="AJ19" i="29"/>
  <c r="AL19" i="29" s="1"/>
  <c r="AI19" i="29"/>
  <c r="AK19" i="29" s="1"/>
  <c r="AF19" i="29"/>
  <c r="AH19" i="29" s="1"/>
  <c r="AE19" i="29"/>
  <c r="AG19" i="29" s="1"/>
  <c r="AB19" i="29"/>
  <c r="AD19" i="29" s="1"/>
  <c r="AA19" i="29"/>
  <c r="AC19" i="29" s="1"/>
  <c r="X19" i="29"/>
  <c r="Z19" i="29" s="1"/>
  <c r="W19" i="29"/>
  <c r="Y19" i="29" s="1"/>
  <c r="T19" i="29"/>
  <c r="V19" i="29" s="1"/>
  <c r="S19" i="29"/>
  <c r="U19" i="29" s="1"/>
  <c r="P19" i="29"/>
  <c r="R19" i="29" s="1"/>
  <c r="O19" i="29"/>
  <c r="Q19" i="29" s="1"/>
  <c r="L19" i="29"/>
  <c r="N19" i="29" s="1"/>
  <c r="K19" i="29"/>
  <c r="M19" i="29" s="1"/>
  <c r="H19" i="29"/>
  <c r="J19" i="29" s="1"/>
  <c r="G19" i="29"/>
  <c r="I19" i="29" s="1"/>
  <c r="E19" i="29"/>
  <c r="D19" i="29"/>
  <c r="C19" i="29"/>
  <c r="AV18" i="29"/>
  <c r="AX18" i="29" s="1"/>
  <c r="AU18" i="29"/>
  <c r="AW18" i="29" s="1"/>
  <c r="AR18" i="29"/>
  <c r="AT18" i="29" s="1"/>
  <c r="AQ18" i="29"/>
  <c r="AS18" i="29" s="1"/>
  <c r="AN18" i="29"/>
  <c r="AP18" i="29" s="1"/>
  <c r="AM18" i="29"/>
  <c r="AO18" i="29" s="1"/>
  <c r="AJ18" i="29"/>
  <c r="AL18" i="29" s="1"/>
  <c r="AI18" i="29"/>
  <c r="AK18" i="29" s="1"/>
  <c r="AF18" i="29"/>
  <c r="AH18" i="29" s="1"/>
  <c r="AE18" i="29"/>
  <c r="AG18" i="29" s="1"/>
  <c r="AB18" i="29"/>
  <c r="AD18" i="29" s="1"/>
  <c r="AA18" i="29"/>
  <c r="AC18" i="29" s="1"/>
  <c r="X18" i="29"/>
  <c r="Z18" i="29" s="1"/>
  <c r="W18" i="29"/>
  <c r="Y18" i="29" s="1"/>
  <c r="T18" i="29"/>
  <c r="V18" i="29" s="1"/>
  <c r="S18" i="29"/>
  <c r="U18" i="29" s="1"/>
  <c r="P18" i="29"/>
  <c r="R18" i="29" s="1"/>
  <c r="O18" i="29"/>
  <c r="Q18" i="29" s="1"/>
  <c r="L18" i="29"/>
  <c r="N18" i="29" s="1"/>
  <c r="K18" i="29"/>
  <c r="M18" i="29" s="1"/>
  <c r="H18" i="29"/>
  <c r="J18" i="29" s="1"/>
  <c r="G18" i="29"/>
  <c r="I18" i="29" s="1"/>
  <c r="E18" i="29"/>
  <c r="D18" i="29"/>
  <c r="C18" i="29"/>
  <c r="AV17" i="29"/>
  <c r="AX17" i="29" s="1"/>
  <c r="AU17" i="29"/>
  <c r="AW17" i="29" s="1"/>
  <c r="AR17" i="29"/>
  <c r="AT17" i="29" s="1"/>
  <c r="AQ17" i="29"/>
  <c r="AS17" i="29" s="1"/>
  <c r="AN17" i="29"/>
  <c r="AP17" i="29" s="1"/>
  <c r="AM17" i="29"/>
  <c r="AO17" i="29" s="1"/>
  <c r="AJ17" i="29"/>
  <c r="AL17" i="29" s="1"/>
  <c r="AI17" i="29"/>
  <c r="AK17" i="29" s="1"/>
  <c r="AF17" i="29"/>
  <c r="AH17" i="29" s="1"/>
  <c r="AE17" i="29"/>
  <c r="AG17" i="29" s="1"/>
  <c r="AB17" i="29"/>
  <c r="AD17" i="29" s="1"/>
  <c r="AA17" i="29"/>
  <c r="AC17" i="29" s="1"/>
  <c r="X17" i="29"/>
  <c r="Z17" i="29" s="1"/>
  <c r="W17" i="29"/>
  <c r="Y17" i="29" s="1"/>
  <c r="T17" i="29"/>
  <c r="V17" i="29" s="1"/>
  <c r="S17" i="29"/>
  <c r="U17" i="29" s="1"/>
  <c r="P17" i="29"/>
  <c r="R17" i="29" s="1"/>
  <c r="O17" i="29"/>
  <c r="Q17" i="29" s="1"/>
  <c r="L17" i="29"/>
  <c r="N17" i="29" s="1"/>
  <c r="K17" i="29"/>
  <c r="M17" i="29" s="1"/>
  <c r="H17" i="29"/>
  <c r="J17" i="29" s="1"/>
  <c r="G17" i="29"/>
  <c r="I17" i="29" s="1"/>
  <c r="E17" i="29"/>
  <c r="D17" i="29"/>
  <c r="C17" i="29"/>
  <c r="AV16" i="29"/>
  <c r="AX16" i="29" s="1"/>
  <c r="AU16" i="29"/>
  <c r="AW16" i="29" s="1"/>
  <c r="AR16" i="29"/>
  <c r="AT16" i="29" s="1"/>
  <c r="AQ16" i="29"/>
  <c r="AS16" i="29" s="1"/>
  <c r="AN16" i="29"/>
  <c r="AP16" i="29" s="1"/>
  <c r="AM16" i="29"/>
  <c r="AO16" i="29" s="1"/>
  <c r="AJ16" i="29"/>
  <c r="AL16" i="29" s="1"/>
  <c r="AI16" i="29"/>
  <c r="AK16" i="29" s="1"/>
  <c r="AF16" i="29"/>
  <c r="AH16" i="29" s="1"/>
  <c r="AE16" i="29"/>
  <c r="AG16" i="29" s="1"/>
  <c r="AB16" i="29"/>
  <c r="AD16" i="29" s="1"/>
  <c r="AA16" i="29"/>
  <c r="AC16" i="29" s="1"/>
  <c r="X16" i="29"/>
  <c r="Z16" i="29" s="1"/>
  <c r="W16" i="29"/>
  <c r="Y16" i="29" s="1"/>
  <c r="T16" i="29"/>
  <c r="V16" i="29" s="1"/>
  <c r="S16" i="29"/>
  <c r="U16" i="29" s="1"/>
  <c r="P16" i="29"/>
  <c r="R16" i="29" s="1"/>
  <c r="O16" i="29"/>
  <c r="Q16" i="29" s="1"/>
  <c r="L16" i="29"/>
  <c r="N16" i="29" s="1"/>
  <c r="K16" i="29"/>
  <c r="M16" i="29" s="1"/>
  <c r="H16" i="29"/>
  <c r="J16" i="29" s="1"/>
  <c r="G16" i="29"/>
  <c r="I16" i="29" s="1"/>
  <c r="E16" i="29"/>
  <c r="D16" i="29"/>
  <c r="C16" i="29"/>
  <c r="AV15" i="29"/>
  <c r="AX15" i="29" s="1"/>
  <c r="AU15" i="29"/>
  <c r="AW15" i="29" s="1"/>
  <c r="AR15" i="29"/>
  <c r="AT15" i="29" s="1"/>
  <c r="AQ15" i="29"/>
  <c r="AS15" i="29" s="1"/>
  <c r="AN15" i="29"/>
  <c r="AP15" i="29" s="1"/>
  <c r="AM15" i="29"/>
  <c r="AO15" i="29" s="1"/>
  <c r="AJ15" i="29"/>
  <c r="AL15" i="29" s="1"/>
  <c r="AI15" i="29"/>
  <c r="AK15" i="29" s="1"/>
  <c r="AF15" i="29"/>
  <c r="AH15" i="29" s="1"/>
  <c r="AE15" i="29"/>
  <c r="AG15" i="29" s="1"/>
  <c r="AB15" i="29"/>
  <c r="AD15" i="29" s="1"/>
  <c r="AA15" i="29"/>
  <c r="AC15" i="29" s="1"/>
  <c r="X15" i="29"/>
  <c r="Z15" i="29" s="1"/>
  <c r="W15" i="29"/>
  <c r="Y15" i="29" s="1"/>
  <c r="T15" i="29"/>
  <c r="V15" i="29" s="1"/>
  <c r="S15" i="29"/>
  <c r="U15" i="29" s="1"/>
  <c r="P15" i="29"/>
  <c r="R15" i="29" s="1"/>
  <c r="O15" i="29"/>
  <c r="Q15" i="29" s="1"/>
  <c r="L15" i="29"/>
  <c r="N15" i="29" s="1"/>
  <c r="K15" i="29"/>
  <c r="M15" i="29" s="1"/>
  <c r="H15" i="29"/>
  <c r="J15" i="29" s="1"/>
  <c r="G15" i="29"/>
  <c r="I15" i="29" s="1"/>
  <c r="E15" i="29"/>
  <c r="D15" i="29"/>
  <c r="C15" i="29"/>
  <c r="AV14" i="29"/>
  <c r="AX14" i="29" s="1"/>
  <c r="AU14" i="29"/>
  <c r="AW14" i="29" s="1"/>
  <c r="AR14" i="29"/>
  <c r="AT14" i="29" s="1"/>
  <c r="AQ14" i="29"/>
  <c r="AS14" i="29" s="1"/>
  <c r="AN14" i="29"/>
  <c r="AP14" i="29" s="1"/>
  <c r="AM14" i="29"/>
  <c r="AO14" i="29" s="1"/>
  <c r="AJ14" i="29"/>
  <c r="AL14" i="29" s="1"/>
  <c r="AI14" i="29"/>
  <c r="AK14" i="29" s="1"/>
  <c r="AF14" i="29"/>
  <c r="AH14" i="29" s="1"/>
  <c r="AE14" i="29"/>
  <c r="AG14" i="29" s="1"/>
  <c r="AB14" i="29"/>
  <c r="AD14" i="29" s="1"/>
  <c r="AA14" i="29"/>
  <c r="AC14" i="29" s="1"/>
  <c r="X14" i="29"/>
  <c r="Z14" i="29" s="1"/>
  <c r="W14" i="29"/>
  <c r="Y14" i="29" s="1"/>
  <c r="T14" i="29"/>
  <c r="V14" i="29" s="1"/>
  <c r="S14" i="29"/>
  <c r="U14" i="29" s="1"/>
  <c r="P14" i="29"/>
  <c r="R14" i="29" s="1"/>
  <c r="O14" i="29"/>
  <c r="Q14" i="29" s="1"/>
  <c r="L14" i="29"/>
  <c r="N14" i="29" s="1"/>
  <c r="K14" i="29"/>
  <c r="M14" i="29" s="1"/>
  <c r="H14" i="29"/>
  <c r="J14" i="29" s="1"/>
  <c r="G14" i="29"/>
  <c r="I14" i="29" s="1"/>
  <c r="E14" i="29"/>
  <c r="D14" i="29"/>
  <c r="C14" i="29"/>
  <c r="AV13" i="29"/>
  <c r="AX13" i="29" s="1"/>
  <c r="AU13" i="29"/>
  <c r="AW13" i="29" s="1"/>
  <c r="AR13" i="29"/>
  <c r="AT13" i="29" s="1"/>
  <c r="AQ13" i="29"/>
  <c r="AS13" i="29" s="1"/>
  <c r="AN13" i="29"/>
  <c r="AP13" i="29" s="1"/>
  <c r="AM13" i="29"/>
  <c r="AO13" i="29" s="1"/>
  <c r="AJ13" i="29"/>
  <c r="AL13" i="29" s="1"/>
  <c r="AI13" i="29"/>
  <c r="AK13" i="29" s="1"/>
  <c r="AF13" i="29"/>
  <c r="AH13" i="29" s="1"/>
  <c r="AE13" i="29"/>
  <c r="AG13" i="29" s="1"/>
  <c r="AB13" i="29"/>
  <c r="AD13" i="29" s="1"/>
  <c r="AA13" i="29"/>
  <c r="AC13" i="29" s="1"/>
  <c r="X13" i="29"/>
  <c r="Z13" i="29" s="1"/>
  <c r="W13" i="29"/>
  <c r="Y13" i="29" s="1"/>
  <c r="T13" i="29"/>
  <c r="V13" i="29" s="1"/>
  <c r="S13" i="29"/>
  <c r="U13" i="29" s="1"/>
  <c r="P13" i="29"/>
  <c r="R13" i="29" s="1"/>
  <c r="O13" i="29"/>
  <c r="Q13" i="29" s="1"/>
  <c r="L13" i="29"/>
  <c r="N13" i="29" s="1"/>
  <c r="K13" i="29"/>
  <c r="M13" i="29" s="1"/>
  <c r="H13" i="29"/>
  <c r="J13" i="29" s="1"/>
  <c r="G13" i="29"/>
  <c r="I13" i="29" s="1"/>
  <c r="E13" i="29"/>
  <c r="D13" i="29"/>
  <c r="C13" i="29"/>
  <c r="AV12" i="29"/>
  <c r="AX12" i="29" s="1"/>
  <c r="AU12" i="29"/>
  <c r="AW12" i="29" s="1"/>
  <c r="AR12" i="29"/>
  <c r="AT12" i="29" s="1"/>
  <c r="AQ12" i="29"/>
  <c r="AS12" i="29" s="1"/>
  <c r="AN12" i="29"/>
  <c r="AP12" i="29" s="1"/>
  <c r="AM12" i="29"/>
  <c r="AO12" i="29" s="1"/>
  <c r="AJ12" i="29"/>
  <c r="AL12" i="29" s="1"/>
  <c r="AI12" i="29"/>
  <c r="AK12" i="29" s="1"/>
  <c r="AF12" i="29"/>
  <c r="AH12" i="29" s="1"/>
  <c r="AE12" i="29"/>
  <c r="AG12" i="29" s="1"/>
  <c r="AB12" i="29"/>
  <c r="AD12" i="29" s="1"/>
  <c r="AA12" i="29"/>
  <c r="AC12" i="29" s="1"/>
  <c r="X12" i="29"/>
  <c r="Z12" i="29" s="1"/>
  <c r="W12" i="29"/>
  <c r="Y12" i="29" s="1"/>
  <c r="T12" i="29"/>
  <c r="V12" i="29" s="1"/>
  <c r="S12" i="29"/>
  <c r="U12" i="29" s="1"/>
  <c r="P12" i="29"/>
  <c r="R12" i="29" s="1"/>
  <c r="O12" i="29"/>
  <c r="Q12" i="29" s="1"/>
  <c r="L12" i="29"/>
  <c r="N12" i="29" s="1"/>
  <c r="K12" i="29"/>
  <c r="M12" i="29" s="1"/>
  <c r="H12" i="29"/>
  <c r="J12" i="29" s="1"/>
  <c r="G12" i="29"/>
  <c r="I12" i="29" s="1"/>
  <c r="E12" i="29"/>
  <c r="D12" i="29"/>
  <c r="C12" i="29"/>
  <c r="AV11" i="29"/>
  <c r="AX11" i="29" s="1"/>
  <c r="AU11" i="29"/>
  <c r="AW11" i="29" s="1"/>
  <c r="AR11" i="29"/>
  <c r="AT11" i="29" s="1"/>
  <c r="AQ11" i="29"/>
  <c r="AS11" i="29" s="1"/>
  <c r="AN11" i="29"/>
  <c r="AP11" i="29" s="1"/>
  <c r="AM11" i="29"/>
  <c r="AO11" i="29" s="1"/>
  <c r="AJ11" i="29"/>
  <c r="AL11" i="29" s="1"/>
  <c r="AI11" i="29"/>
  <c r="AK11" i="29" s="1"/>
  <c r="AF11" i="29"/>
  <c r="AH11" i="29" s="1"/>
  <c r="AE11" i="29"/>
  <c r="AG11" i="29" s="1"/>
  <c r="AB11" i="29"/>
  <c r="AD11" i="29" s="1"/>
  <c r="AA11" i="29"/>
  <c r="AC11" i="29" s="1"/>
  <c r="X11" i="29"/>
  <c r="Z11" i="29" s="1"/>
  <c r="W11" i="29"/>
  <c r="Y11" i="29" s="1"/>
  <c r="V11" i="29"/>
  <c r="T11" i="29"/>
  <c r="S11" i="29"/>
  <c r="U11" i="29" s="1"/>
  <c r="P11" i="29"/>
  <c r="R11" i="29" s="1"/>
  <c r="O11" i="29"/>
  <c r="Q11" i="29" s="1"/>
  <c r="L11" i="29"/>
  <c r="N11" i="29" s="1"/>
  <c r="K11" i="29"/>
  <c r="M11" i="29" s="1"/>
  <c r="H11" i="29"/>
  <c r="J11" i="29" s="1"/>
  <c r="G11" i="29"/>
  <c r="I11" i="29" s="1"/>
  <c r="E11" i="29"/>
  <c r="D11" i="29"/>
  <c r="C11" i="29"/>
  <c r="AV10" i="29"/>
  <c r="AX10" i="29" s="1"/>
  <c r="AU10" i="29"/>
  <c r="AW10" i="29" s="1"/>
  <c r="AR10" i="29"/>
  <c r="AT10" i="29" s="1"/>
  <c r="AQ10" i="29"/>
  <c r="AS10" i="29" s="1"/>
  <c r="AN10" i="29"/>
  <c r="AP10" i="29" s="1"/>
  <c r="AM10" i="29"/>
  <c r="AO10" i="29" s="1"/>
  <c r="AJ10" i="29"/>
  <c r="AL10" i="29" s="1"/>
  <c r="AI10" i="29"/>
  <c r="AK10" i="29" s="1"/>
  <c r="AF10" i="29"/>
  <c r="AH10" i="29" s="1"/>
  <c r="AE10" i="29"/>
  <c r="AG10" i="29" s="1"/>
  <c r="AB10" i="29"/>
  <c r="AD10" i="29" s="1"/>
  <c r="AA10" i="29"/>
  <c r="AC10" i="29" s="1"/>
  <c r="X10" i="29"/>
  <c r="Z10" i="29" s="1"/>
  <c r="W10" i="29"/>
  <c r="Y10" i="29" s="1"/>
  <c r="T10" i="29"/>
  <c r="V10" i="29" s="1"/>
  <c r="S10" i="29"/>
  <c r="U10" i="29" s="1"/>
  <c r="P10" i="29"/>
  <c r="R10" i="29" s="1"/>
  <c r="O10" i="29"/>
  <c r="Q10" i="29" s="1"/>
  <c r="L10" i="29"/>
  <c r="N10" i="29" s="1"/>
  <c r="K10" i="29"/>
  <c r="M10" i="29" s="1"/>
  <c r="H10" i="29"/>
  <c r="J10" i="29" s="1"/>
  <c r="G10" i="29"/>
  <c r="I10" i="29" s="1"/>
  <c r="E10" i="29"/>
  <c r="D10" i="29"/>
  <c r="C10" i="29"/>
  <c r="AV9" i="29"/>
  <c r="AX9" i="29" s="1"/>
  <c r="AU9" i="29"/>
  <c r="AW9" i="29" s="1"/>
  <c r="AR9" i="29"/>
  <c r="AT9" i="29" s="1"/>
  <c r="AQ9" i="29"/>
  <c r="AS9" i="29" s="1"/>
  <c r="AN9" i="29"/>
  <c r="AP9" i="29" s="1"/>
  <c r="AM9" i="29"/>
  <c r="AO9" i="29" s="1"/>
  <c r="AJ9" i="29"/>
  <c r="AL9" i="29" s="1"/>
  <c r="AI9" i="29"/>
  <c r="AK9" i="29" s="1"/>
  <c r="AF9" i="29"/>
  <c r="AH9" i="29" s="1"/>
  <c r="AE9" i="29"/>
  <c r="AG9" i="29" s="1"/>
  <c r="AB9" i="29"/>
  <c r="AD9" i="29" s="1"/>
  <c r="AA9" i="29"/>
  <c r="AC9" i="29" s="1"/>
  <c r="X9" i="29"/>
  <c r="Z9" i="29" s="1"/>
  <c r="W9" i="29"/>
  <c r="Y9" i="29" s="1"/>
  <c r="T9" i="29"/>
  <c r="V9" i="29" s="1"/>
  <c r="S9" i="29"/>
  <c r="U9" i="29" s="1"/>
  <c r="P9" i="29"/>
  <c r="R9" i="29" s="1"/>
  <c r="O9" i="29"/>
  <c r="Q9" i="29" s="1"/>
  <c r="L9" i="29"/>
  <c r="N9" i="29" s="1"/>
  <c r="K9" i="29"/>
  <c r="M9" i="29" s="1"/>
  <c r="H9" i="29"/>
  <c r="J9" i="29" s="1"/>
  <c r="G9" i="29"/>
  <c r="I9" i="29" s="1"/>
  <c r="E9" i="29"/>
  <c r="D9" i="29"/>
  <c r="C9" i="29"/>
  <c r="AV8" i="29"/>
  <c r="AX8" i="29" s="1"/>
  <c r="AU8" i="29"/>
  <c r="AW8" i="29" s="1"/>
  <c r="AR8" i="29"/>
  <c r="AT8" i="29" s="1"/>
  <c r="AQ8" i="29"/>
  <c r="AS8" i="29" s="1"/>
  <c r="AN8" i="29"/>
  <c r="AP8" i="29" s="1"/>
  <c r="AM8" i="29"/>
  <c r="AO8" i="29" s="1"/>
  <c r="AJ8" i="29"/>
  <c r="AL8" i="29" s="1"/>
  <c r="AI8" i="29"/>
  <c r="AK8" i="29" s="1"/>
  <c r="AF8" i="29"/>
  <c r="AH8" i="29" s="1"/>
  <c r="AE8" i="29"/>
  <c r="AG8" i="29" s="1"/>
  <c r="AB8" i="29"/>
  <c r="AD8" i="29" s="1"/>
  <c r="AA8" i="29"/>
  <c r="AC8" i="29" s="1"/>
  <c r="X8" i="29"/>
  <c r="Z8" i="29" s="1"/>
  <c r="W8" i="29"/>
  <c r="Y8" i="29" s="1"/>
  <c r="T8" i="29"/>
  <c r="V8" i="29" s="1"/>
  <c r="S8" i="29"/>
  <c r="U8" i="29" s="1"/>
  <c r="P8" i="29"/>
  <c r="R8" i="29" s="1"/>
  <c r="O8" i="29"/>
  <c r="Q8" i="29" s="1"/>
  <c r="L8" i="29"/>
  <c r="N8" i="29" s="1"/>
  <c r="K8" i="29"/>
  <c r="M8" i="29" s="1"/>
  <c r="H8" i="29"/>
  <c r="J8" i="29" s="1"/>
  <c r="G8" i="29"/>
  <c r="I8" i="29" s="1"/>
  <c r="E8" i="29"/>
  <c r="D8" i="29"/>
  <c r="C8" i="29"/>
  <c r="AV7" i="29"/>
  <c r="AX7" i="29" s="1"/>
  <c r="AU7" i="29"/>
  <c r="AW7" i="29" s="1"/>
  <c r="AR7" i="29"/>
  <c r="AT7" i="29" s="1"/>
  <c r="AQ7" i="29"/>
  <c r="AS7" i="29" s="1"/>
  <c r="AN7" i="29"/>
  <c r="AP7" i="29" s="1"/>
  <c r="AM7" i="29"/>
  <c r="AO7" i="29" s="1"/>
  <c r="AJ7" i="29"/>
  <c r="AL7" i="29" s="1"/>
  <c r="AI7" i="29"/>
  <c r="AK7" i="29" s="1"/>
  <c r="AF7" i="29"/>
  <c r="AH7" i="29" s="1"/>
  <c r="AE7" i="29"/>
  <c r="AG7" i="29" s="1"/>
  <c r="AB7" i="29"/>
  <c r="AD7" i="29" s="1"/>
  <c r="AA7" i="29"/>
  <c r="AC7" i="29" s="1"/>
  <c r="X7" i="29"/>
  <c r="Z7" i="29" s="1"/>
  <c r="W7" i="29"/>
  <c r="Y7" i="29" s="1"/>
  <c r="T7" i="29"/>
  <c r="V7" i="29" s="1"/>
  <c r="S7" i="29"/>
  <c r="U7" i="29" s="1"/>
  <c r="P7" i="29"/>
  <c r="R7" i="29" s="1"/>
  <c r="O7" i="29"/>
  <c r="Q7" i="29" s="1"/>
  <c r="L7" i="29"/>
  <c r="N7" i="29" s="1"/>
  <c r="K7" i="29"/>
  <c r="M7" i="29" s="1"/>
  <c r="H7" i="29"/>
  <c r="J7" i="29" s="1"/>
  <c r="G7" i="29"/>
  <c r="I7" i="29" s="1"/>
  <c r="E7" i="29"/>
  <c r="D7" i="29"/>
  <c r="C7" i="29"/>
  <c r="AV6" i="29"/>
  <c r="AX6" i="29" s="1"/>
  <c r="AU6" i="29"/>
  <c r="AW6" i="29" s="1"/>
  <c r="AR6" i="29"/>
  <c r="AT6" i="29" s="1"/>
  <c r="AQ6" i="29"/>
  <c r="AS6" i="29" s="1"/>
  <c r="AN6" i="29"/>
  <c r="AP6" i="29" s="1"/>
  <c r="AM6" i="29"/>
  <c r="AO6" i="29" s="1"/>
  <c r="AJ6" i="29"/>
  <c r="AL6" i="29" s="1"/>
  <c r="AI6" i="29"/>
  <c r="AK6" i="29" s="1"/>
  <c r="AF6" i="29"/>
  <c r="AH6" i="29" s="1"/>
  <c r="AE6" i="29"/>
  <c r="AG6" i="29" s="1"/>
  <c r="AB6" i="29"/>
  <c r="AD6" i="29" s="1"/>
  <c r="AA6" i="29"/>
  <c r="AC6" i="29" s="1"/>
  <c r="X6" i="29"/>
  <c r="Z6" i="29" s="1"/>
  <c r="W6" i="29"/>
  <c r="Y6" i="29" s="1"/>
  <c r="T6" i="29"/>
  <c r="V6" i="29" s="1"/>
  <c r="S6" i="29"/>
  <c r="U6" i="29" s="1"/>
  <c r="P6" i="29"/>
  <c r="R6" i="29" s="1"/>
  <c r="O6" i="29"/>
  <c r="Q6" i="29" s="1"/>
  <c r="L6" i="29"/>
  <c r="N6" i="29" s="1"/>
  <c r="K6" i="29"/>
  <c r="M6" i="29" s="1"/>
  <c r="H6" i="29"/>
  <c r="J6" i="29" s="1"/>
  <c r="G6" i="29"/>
  <c r="I6" i="29" s="1"/>
  <c r="E6" i="29"/>
  <c r="D6" i="29"/>
  <c r="C6" i="29"/>
  <c r="AV5" i="29"/>
  <c r="AX5" i="29" s="1"/>
  <c r="AU5" i="29"/>
  <c r="AW5" i="29" s="1"/>
  <c r="AR5" i="29"/>
  <c r="AT5" i="29" s="1"/>
  <c r="AQ5" i="29"/>
  <c r="AS5" i="29" s="1"/>
  <c r="AN5" i="29"/>
  <c r="AP5" i="29" s="1"/>
  <c r="AM5" i="29"/>
  <c r="AO5" i="29" s="1"/>
  <c r="AJ5" i="29"/>
  <c r="AL5" i="29" s="1"/>
  <c r="AI5" i="29"/>
  <c r="AK5" i="29" s="1"/>
  <c r="AF5" i="29"/>
  <c r="AH5" i="29" s="1"/>
  <c r="AE5" i="29"/>
  <c r="AG5" i="29" s="1"/>
  <c r="AB5" i="29"/>
  <c r="AD5" i="29" s="1"/>
  <c r="AA5" i="29"/>
  <c r="AC5" i="29" s="1"/>
  <c r="X5" i="29"/>
  <c r="Z5" i="29" s="1"/>
  <c r="W5" i="29"/>
  <c r="Y5" i="29" s="1"/>
  <c r="T5" i="29"/>
  <c r="V5" i="29" s="1"/>
  <c r="S5" i="29"/>
  <c r="U5" i="29" s="1"/>
  <c r="P5" i="29"/>
  <c r="R5" i="29" s="1"/>
  <c r="O5" i="29"/>
  <c r="Q5" i="29" s="1"/>
  <c r="L5" i="29"/>
  <c r="N5" i="29" s="1"/>
  <c r="K5" i="29"/>
  <c r="M5" i="29" s="1"/>
  <c r="H5" i="29"/>
  <c r="J5" i="29" s="1"/>
  <c r="G5" i="29"/>
  <c r="I5" i="29" s="1"/>
  <c r="E5" i="29"/>
  <c r="D5" i="29"/>
  <c r="C5" i="29"/>
  <c r="AV4" i="29"/>
  <c r="AX4" i="29" s="1"/>
  <c r="AU4" i="29"/>
  <c r="AW4" i="29" s="1"/>
  <c r="AR4" i="29"/>
  <c r="AT4" i="29" s="1"/>
  <c r="AQ4" i="29"/>
  <c r="AS4" i="29" s="1"/>
  <c r="AN4" i="29"/>
  <c r="AP4" i="29" s="1"/>
  <c r="AM4" i="29"/>
  <c r="AO4" i="29" s="1"/>
  <c r="AJ4" i="29"/>
  <c r="AL4" i="29" s="1"/>
  <c r="AI4" i="29"/>
  <c r="AK4" i="29" s="1"/>
  <c r="AF4" i="29"/>
  <c r="AH4" i="29" s="1"/>
  <c r="AE4" i="29"/>
  <c r="AG4" i="29" s="1"/>
  <c r="AB4" i="29"/>
  <c r="AD4" i="29" s="1"/>
  <c r="AA4" i="29"/>
  <c r="AC4" i="29" s="1"/>
  <c r="X4" i="29"/>
  <c r="Z4" i="29" s="1"/>
  <c r="W4" i="29"/>
  <c r="Y4" i="29" s="1"/>
  <c r="T4" i="29"/>
  <c r="V4" i="29" s="1"/>
  <c r="S4" i="29"/>
  <c r="U4" i="29" s="1"/>
  <c r="P4" i="29"/>
  <c r="R4" i="29" s="1"/>
  <c r="O4" i="29"/>
  <c r="Q4" i="29" s="1"/>
  <c r="L4" i="29"/>
  <c r="N4" i="29" s="1"/>
  <c r="K4" i="29"/>
  <c r="M4" i="29" s="1"/>
  <c r="H4" i="29"/>
  <c r="J4" i="29" s="1"/>
  <c r="G4" i="29"/>
  <c r="I4" i="29" s="1"/>
  <c r="E4" i="29"/>
  <c r="D4" i="29"/>
  <c r="C4" i="29"/>
  <c r="AV3" i="29"/>
  <c r="AX3" i="29" s="1"/>
  <c r="AU3" i="29"/>
  <c r="AW3" i="29" s="1"/>
  <c r="AR3" i="29"/>
  <c r="AT3" i="29" s="1"/>
  <c r="AQ3" i="29"/>
  <c r="AS3" i="29" s="1"/>
  <c r="AN3" i="29"/>
  <c r="AP3" i="29" s="1"/>
  <c r="AM3" i="29"/>
  <c r="AO3" i="29" s="1"/>
  <c r="AJ3" i="29"/>
  <c r="AL3" i="29" s="1"/>
  <c r="AI3" i="29"/>
  <c r="AK3" i="29" s="1"/>
  <c r="AF3" i="29"/>
  <c r="AH3" i="29" s="1"/>
  <c r="AE3" i="29"/>
  <c r="AG3" i="29" s="1"/>
  <c r="AB3" i="29"/>
  <c r="AD3" i="29" s="1"/>
  <c r="AA3" i="29"/>
  <c r="AC3" i="29" s="1"/>
  <c r="X3" i="29"/>
  <c r="Z3" i="29" s="1"/>
  <c r="W3" i="29"/>
  <c r="Y3" i="29" s="1"/>
  <c r="T3" i="29"/>
  <c r="V3" i="29" s="1"/>
  <c r="S3" i="29"/>
  <c r="U3" i="29" s="1"/>
  <c r="P3" i="29"/>
  <c r="R3" i="29" s="1"/>
  <c r="O3" i="29"/>
  <c r="Q3" i="29" s="1"/>
  <c r="L3" i="29"/>
  <c r="N3" i="29" s="1"/>
  <c r="K3" i="29"/>
  <c r="M3" i="29" s="1"/>
  <c r="H3" i="29"/>
  <c r="J3" i="29" s="1"/>
  <c r="G3" i="29"/>
  <c r="I3" i="29" s="1"/>
  <c r="E3" i="29"/>
  <c r="D3" i="29"/>
  <c r="C3" i="29"/>
  <c r="AV50" i="28"/>
  <c r="AX50" i="28" s="1"/>
  <c r="AU50" i="28"/>
  <c r="AW50" i="28" s="1"/>
  <c r="AR50" i="28"/>
  <c r="AT50" i="28" s="1"/>
  <c r="AQ50" i="28"/>
  <c r="AS50" i="28" s="1"/>
  <c r="AN50" i="28"/>
  <c r="AP50" i="28" s="1"/>
  <c r="AM50" i="28"/>
  <c r="AO50" i="28" s="1"/>
  <c r="AJ50" i="28"/>
  <c r="AL50" i="28" s="1"/>
  <c r="AI50" i="28"/>
  <c r="AK50" i="28" s="1"/>
  <c r="AF50" i="28"/>
  <c r="AH50" i="28" s="1"/>
  <c r="AE50" i="28"/>
  <c r="AG50" i="28" s="1"/>
  <c r="AB50" i="28"/>
  <c r="AD50" i="28" s="1"/>
  <c r="AA50" i="28"/>
  <c r="AC50" i="28" s="1"/>
  <c r="X50" i="28"/>
  <c r="Z50" i="28" s="1"/>
  <c r="W50" i="28"/>
  <c r="Y50" i="28" s="1"/>
  <c r="T50" i="28"/>
  <c r="V50" i="28" s="1"/>
  <c r="S50" i="28"/>
  <c r="U50" i="28" s="1"/>
  <c r="P50" i="28"/>
  <c r="R50" i="28" s="1"/>
  <c r="O50" i="28"/>
  <c r="Q50" i="28" s="1"/>
  <c r="L50" i="28"/>
  <c r="N50" i="28" s="1"/>
  <c r="K50" i="28"/>
  <c r="M50" i="28" s="1"/>
  <c r="H50" i="28"/>
  <c r="J50" i="28" s="1"/>
  <c r="G50" i="28"/>
  <c r="I50" i="28" s="1"/>
  <c r="E50" i="28"/>
  <c r="D50" i="28"/>
  <c r="C50" i="28"/>
  <c r="AV49" i="28"/>
  <c r="AX49" i="28" s="1"/>
  <c r="AU49" i="28"/>
  <c r="AW49" i="28" s="1"/>
  <c r="AR49" i="28"/>
  <c r="AT49" i="28" s="1"/>
  <c r="AQ49" i="28"/>
  <c r="AS49" i="28" s="1"/>
  <c r="AN49" i="28"/>
  <c r="AP49" i="28" s="1"/>
  <c r="AM49" i="28"/>
  <c r="AO49" i="28" s="1"/>
  <c r="AJ49" i="28"/>
  <c r="AL49" i="28" s="1"/>
  <c r="AI49" i="28"/>
  <c r="AK49" i="28" s="1"/>
  <c r="AF49" i="28"/>
  <c r="AH49" i="28" s="1"/>
  <c r="AE49" i="28"/>
  <c r="AG49" i="28" s="1"/>
  <c r="AB49" i="28"/>
  <c r="AD49" i="28" s="1"/>
  <c r="AA49" i="28"/>
  <c r="AC49" i="28" s="1"/>
  <c r="X49" i="28"/>
  <c r="Z49" i="28" s="1"/>
  <c r="W49" i="28"/>
  <c r="Y49" i="28" s="1"/>
  <c r="T49" i="28"/>
  <c r="V49" i="28" s="1"/>
  <c r="S49" i="28"/>
  <c r="U49" i="28" s="1"/>
  <c r="P49" i="28"/>
  <c r="R49" i="28" s="1"/>
  <c r="O49" i="28"/>
  <c r="Q49" i="28" s="1"/>
  <c r="L49" i="28"/>
  <c r="N49" i="28" s="1"/>
  <c r="K49" i="28"/>
  <c r="M49" i="28" s="1"/>
  <c r="H49" i="28"/>
  <c r="J49" i="28" s="1"/>
  <c r="G49" i="28"/>
  <c r="I49" i="28" s="1"/>
  <c r="E49" i="28"/>
  <c r="D49" i="28"/>
  <c r="C49" i="28"/>
  <c r="AV48" i="28"/>
  <c r="AX48" i="28" s="1"/>
  <c r="AU48" i="28"/>
  <c r="AW48" i="28" s="1"/>
  <c r="AR48" i="28"/>
  <c r="AT48" i="28" s="1"/>
  <c r="AQ48" i="28"/>
  <c r="AS48" i="28" s="1"/>
  <c r="AN48" i="28"/>
  <c r="AP48" i="28" s="1"/>
  <c r="AM48" i="28"/>
  <c r="AO48" i="28" s="1"/>
  <c r="AJ48" i="28"/>
  <c r="AL48" i="28" s="1"/>
  <c r="AI48" i="28"/>
  <c r="AK48" i="28" s="1"/>
  <c r="AF48" i="28"/>
  <c r="AH48" i="28" s="1"/>
  <c r="AE48" i="28"/>
  <c r="AG48" i="28" s="1"/>
  <c r="AB48" i="28"/>
  <c r="AD48" i="28" s="1"/>
  <c r="AA48" i="28"/>
  <c r="AC48" i="28" s="1"/>
  <c r="X48" i="28"/>
  <c r="Z48" i="28" s="1"/>
  <c r="W48" i="28"/>
  <c r="Y48" i="28" s="1"/>
  <c r="T48" i="28"/>
  <c r="V48" i="28" s="1"/>
  <c r="S48" i="28"/>
  <c r="U48" i="28" s="1"/>
  <c r="P48" i="28"/>
  <c r="R48" i="28" s="1"/>
  <c r="O48" i="28"/>
  <c r="Q48" i="28" s="1"/>
  <c r="L48" i="28"/>
  <c r="N48" i="28" s="1"/>
  <c r="K48" i="28"/>
  <c r="M48" i="28" s="1"/>
  <c r="H48" i="28"/>
  <c r="J48" i="28" s="1"/>
  <c r="G48" i="28"/>
  <c r="I48" i="28" s="1"/>
  <c r="E48" i="28"/>
  <c r="D48" i="28"/>
  <c r="C48" i="28"/>
  <c r="AV47" i="28"/>
  <c r="AX47" i="28" s="1"/>
  <c r="AU47" i="28"/>
  <c r="AW47" i="28" s="1"/>
  <c r="AR47" i="28"/>
  <c r="AT47" i="28" s="1"/>
  <c r="AQ47" i="28"/>
  <c r="AS47" i="28" s="1"/>
  <c r="AN47" i="28"/>
  <c r="AP47" i="28" s="1"/>
  <c r="AM47" i="28"/>
  <c r="AO47" i="28" s="1"/>
  <c r="AJ47" i="28"/>
  <c r="AL47" i="28" s="1"/>
  <c r="AI47" i="28"/>
  <c r="AK47" i="28" s="1"/>
  <c r="AF47" i="28"/>
  <c r="AH47" i="28" s="1"/>
  <c r="AE47" i="28"/>
  <c r="AG47" i="28" s="1"/>
  <c r="AB47" i="28"/>
  <c r="AD47" i="28" s="1"/>
  <c r="AA47" i="28"/>
  <c r="AC47" i="28" s="1"/>
  <c r="X47" i="28"/>
  <c r="Z47" i="28" s="1"/>
  <c r="W47" i="28"/>
  <c r="Y47" i="28" s="1"/>
  <c r="T47" i="28"/>
  <c r="V47" i="28" s="1"/>
  <c r="S47" i="28"/>
  <c r="U47" i="28" s="1"/>
  <c r="P47" i="28"/>
  <c r="R47" i="28" s="1"/>
  <c r="O47" i="28"/>
  <c r="Q47" i="28" s="1"/>
  <c r="L47" i="28"/>
  <c r="N47" i="28" s="1"/>
  <c r="K47" i="28"/>
  <c r="M47" i="28" s="1"/>
  <c r="H47" i="28"/>
  <c r="J47" i="28" s="1"/>
  <c r="G47" i="28"/>
  <c r="I47" i="28" s="1"/>
  <c r="E47" i="28"/>
  <c r="D47" i="28"/>
  <c r="C47" i="28"/>
  <c r="AV46" i="28"/>
  <c r="AX46" i="28" s="1"/>
  <c r="AU46" i="28"/>
  <c r="AW46" i="28" s="1"/>
  <c r="AR46" i="28"/>
  <c r="AT46" i="28" s="1"/>
  <c r="AQ46" i="28"/>
  <c r="AS46" i="28" s="1"/>
  <c r="AN46" i="28"/>
  <c r="AP46" i="28" s="1"/>
  <c r="AM46" i="28"/>
  <c r="AO46" i="28" s="1"/>
  <c r="AJ46" i="28"/>
  <c r="AL46" i="28" s="1"/>
  <c r="AI46" i="28"/>
  <c r="AK46" i="28" s="1"/>
  <c r="AF46" i="28"/>
  <c r="AH46" i="28" s="1"/>
  <c r="AE46" i="28"/>
  <c r="AG46" i="28" s="1"/>
  <c r="AB46" i="28"/>
  <c r="AD46" i="28" s="1"/>
  <c r="AA46" i="28"/>
  <c r="AC46" i="28" s="1"/>
  <c r="X46" i="28"/>
  <c r="Z46" i="28" s="1"/>
  <c r="W46" i="28"/>
  <c r="Y46" i="28" s="1"/>
  <c r="T46" i="28"/>
  <c r="V46" i="28" s="1"/>
  <c r="S46" i="28"/>
  <c r="U46" i="28" s="1"/>
  <c r="P46" i="28"/>
  <c r="R46" i="28" s="1"/>
  <c r="O46" i="28"/>
  <c r="Q46" i="28" s="1"/>
  <c r="L46" i="28"/>
  <c r="N46" i="28" s="1"/>
  <c r="K46" i="28"/>
  <c r="M46" i="28" s="1"/>
  <c r="H46" i="28"/>
  <c r="J46" i="28" s="1"/>
  <c r="G46" i="28"/>
  <c r="I46" i="28" s="1"/>
  <c r="E46" i="28"/>
  <c r="D46" i="28"/>
  <c r="C46" i="28"/>
  <c r="AV45" i="28"/>
  <c r="AX45" i="28" s="1"/>
  <c r="AU45" i="28"/>
  <c r="AW45" i="28" s="1"/>
  <c r="AR45" i="28"/>
  <c r="AT45" i="28" s="1"/>
  <c r="AQ45" i="28"/>
  <c r="AS45" i="28" s="1"/>
  <c r="AN45" i="28"/>
  <c r="AP45" i="28" s="1"/>
  <c r="AM45" i="28"/>
  <c r="AO45" i="28" s="1"/>
  <c r="AJ45" i="28"/>
  <c r="AL45" i="28" s="1"/>
  <c r="AI45" i="28"/>
  <c r="AK45" i="28" s="1"/>
  <c r="AF45" i="28"/>
  <c r="AH45" i="28" s="1"/>
  <c r="AE45" i="28"/>
  <c r="AG45" i="28" s="1"/>
  <c r="AB45" i="28"/>
  <c r="AD45" i="28" s="1"/>
  <c r="AA45" i="28"/>
  <c r="AC45" i="28" s="1"/>
  <c r="X45" i="28"/>
  <c r="Z45" i="28" s="1"/>
  <c r="W45" i="28"/>
  <c r="Y45" i="28" s="1"/>
  <c r="T45" i="28"/>
  <c r="V45" i="28" s="1"/>
  <c r="S45" i="28"/>
  <c r="U45" i="28" s="1"/>
  <c r="P45" i="28"/>
  <c r="R45" i="28" s="1"/>
  <c r="O45" i="28"/>
  <c r="Q45" i="28" s="1"/>
  <c r="L45" i="28"/>
  <c r="N45" i="28" s="1"/>
  <c r="K45" i="28"/>
  <c r="M45" i="28" s="1"/>
  <c r="H45" i="28"/>
  <c r="J45" i="28" s="1"/>
  <c r="G45" i="28"/>
  <c r="I45" i="28" s="1"/>
  <c r="E45" i="28"/>
  <c r="D45" i="28"/>
  <c r="C45" i="28"/>
  <c r="AV44" i="28"/>
  <c r="AX44" i="28" s="1"/>
  <c r="AU44" i="28"/>
  <c r="AW44" i="28" s="1"/>
  <c r="AR44" i="28"/>
  <c r="AT44" i="28" s="1"/>
  <c r="AQ44" i="28"/>
  <c r="AS44" i="28" s="1"/>
  <c r="AN44" i="28"/>
  <c r="AP44" i="28" s="1"/>
  <c r="AM44" i="28"/>
  <c r="AO44" i="28" s="1"/>
  <c r="AJ44" i="28"/>
  <c r="AL44" i="28" s="1"/>
  <c r="AI44" i="28"/>
  <c r="AK44" i="28" s="1"/>
  <c r="AF44" i="28"/>
  <c r="AH44" i="28" s="1"/>
  <c r="AE44" i="28"/>
  <c r="AG44" i="28" s="1"/>
  <c r="AB44" i="28"/>
  <c r="AD44" i="28" s="1"/>
  <c r="AA44" i="28"/>
  <c r="AC44" i="28" s="1"/>
  <c r="X44" i="28"/>
  <c r="Z44" i="28" s="1"/>
  <c r="W44" i="28"/>
  <c r="Y44" i="28" s="1"/>
  <c r="T44" i="28"/>
  <c r="V44" i="28" s="1"/>
  <c r="S44" i="28"/>
  <c r="U44" i="28" s="1"/>
  <c r="P44" i="28"/>
  <c r="R44" i="28" s="1"/>
  <c r="O44" i="28"/>
  <c r="Q44" i="28" s="1"/>
  <c r="L44" i="28"/>
  <c r="N44" i="28" s="1"/>
  <c r="K44" i="28"/>
  <c r="M44" i="28" s="1"/>
  <c r="H44" i="28"/>
  <c r="J44" i="28" s="1"/>
  <c r="G44" i="28"/>
  <c r="I44" i="28" s="1"/>
  <c r="E44" i="28"/>
  <c r="D44" i="28"/>
  <c r="C44" i="28"/>
  <c r="AV43" i="28"/>
  <c r="AX43" i="28" s="1"/>
  <c r="AU43" i="28"/>
  <c r="AW43" i="28" s="1"/>
  <c r="AR43" i="28"/>
  <c r="AT43" i="28" s="1"/>
  <c r="AQ43" i="28"/>
  <c r="AS43" i="28" s="1"/>
  <c r="AN43" i="28"/>
  <c r="AP43" i="28" s="1"/>
  <c r="AM43" i="28"/>
  <c r="AO43" i="28" s="1"/>
  <c r="AJ43" i="28"/>
  <c r="AL43" i="28" s="1"/>
  <c r="AI43" i="28"/>
  <c r="AK43" i="28" s="1"/>
  <c r="AF43" i="28"/>
  <c r="AH43" i="28" s="1"/>
  <c r="AE43" i="28"/>
  <c r="AG43" i="28" s="1"/>
  <c r="AB43" i="28"/>
  <c r="AD43" i="28" s="1"/>
  <c r="AA43" i="28"/>
  <c r="AC43" i="28" s="1"/>
  <c r="X43" i="28"/>
  <c r="Z43" i="28" s="1"/>
  <c r="W43" i="28"/>
  <c r="Y43" i="28" s="1"/>
  <c r="T43" i="28"/>
  <c r="V43" i="28" s="1"/>
  <c r="S43" i="28"/>
  <c r="U43" i="28" s="1"/>
  <c r="P43" i="28"/>
  <c r="R43" i="28" s="1"/>
  <c r="O43" i="28"/>
  <c r="Q43" i="28" s="1"/>
  <c r="L43" i="28"/>
  <c r="N43" i="28" s="1"/>
  <c r="K43" i="28"/>
  <c r="M43" i="28" s="1"/>
  <c r="H43" i="28"/>
  <c r="J43" i="28" s="1"/>
  <c r="G43" i="28"/>
  <c r="I43" i="28" s="1"/>
  <c r="E43" i="28"/>
  <c r="D43" i="28"/>
  <c r="C43" i="28"/>
  <c r="AV42" i="28"/>
  <c r="AX42" i="28" s="1"/>
  <c r="AU42" i="28"/>
  <c r="AW42" i="28" s="1"/>
  <c r="AR42" i="28"/>
  <c r="AT42" i="28" s="1"/>
  <c r="AQ42" i="28"/>
  <c r="AS42" i="28" s="1"/>
  <c r="AN42" i="28"/>
  <c r="AP42" i="28" s="1"/>
  <c r="AM42" i="28"/>
  <c r="AO42" i="28" s="1"/>
  <c r="AJ42" i="28"/>
  <c r="AL42" i="28" s="1"/>
  <c r="AI42" i="28"/>
  <c r="AK42" i="28" s="1"/>
  <c r="AF42" i="28"/>
  <c r="AH42" i="28" s="1"/>
  <c r="AE42" i="28"/>
  <c r="AG42" i="28" s="1"/>
  <c r="AB42" i="28"/>
  <c r="AD42" i="28" s="1"/>
  <c r="AA42" i="28"/>
  <c r="AC42" i="28" s="1"/>
  <c r="X42" i="28"/>
  <c r="Z42" i="28" s="1"/>
  <c r="W42" i="28"/>
  <c r="Y42" i="28" s="1"/>
  <c r="T42" i="28"/>
  <c r="V42" i="28" s="1"/>
  <c r="S42" i="28"/>
  <c r="U42" i="28" s="1"/>
  <c r="P42" i="28"/>
  <c r="R42" i="28" s="1"/>
  <c r="O42" i="28"/>
  <c r="Q42" i="28" s="1"/>
  <c r="L42" i="28"/>
  <c r="N42" i="28" s="1"/>
  <c r="K42" i="28"/>
  <c r="M42" i="28" s="1"/>
  <c r="H42" i="28"/>
  <c r="J42" i="28" s="1"/>
  <c r="G42" i="28"/>
  <c r="I42" i="28" s="1"/>
  <c r="E42" i="28"/>
  <c r="D42" i="28"/>
  <c r="C42" i="28"/>
  <c r="AV41" i="28"/>
  <c r="AX41" i="28" s="1"/>
  <c r="AU41" i="28"/>
  <c r="AW41" i="28" s="1"/>
  <c r="AR41" i="28"/>
  <c r="AT41" i="28" s="1"/>
  <c r="AQ41" i="28"/>
  <c r="AS41" i="28" s="1"/>
  <c r="AN41" i="28"/>
  <c r="AP41" i="28" s="1"/>
  <c r="AM41" i="28"/>
  <c r="AO41" i="28" s="1"/>
  <c r="AJ41" i="28"/>
  <c r="AL41" i="28" s="1"/>
  <c r="AI41" i="28"/>
  <c r="AK41" i="28" s="1"/>
  <c r="AF41" i="28"/>
  <c r="AH41" i="28" s="1"/>
  <c r="AE41" i="28"/>
  <c r="AG41" i="28" s="1"/>
  <c r="AB41" i="28"/>
  <c r="AD41" i="28" s="1"/>
  <c r="AA41" i="28"/>
  <c r="AC41" i="28" s="1"/>
  <c r="X41" i="28"/>
  <c r="Z41" i="28" s="1"/>
  <c r="W41" i="28"/>
  <c r="Y41" i="28" s="1"/>
  <c r="T41" i="28"/>
  <c r="V41" i="28" s="1"/>
  <c r="S41" i="28"/>
  <c r="U41" i="28" s="1"/>
  <c r="P41" i="28"/>
  <c r="R41" i="28" s="1"/>
  <c r="O41" i="28"/>
  <c r="Q41" i="28" s="1"/>
  <c r="L41" i="28"/>
  <c r="N41" i="28" s="1"/>
  <c r="K41" i="28"/>
  <c r="M41" i="28" s="1"/>
  <c r="H41" i="28"/>
  <c r="J41" i="28" s="1"/>
  <c r="G41" i="28"/>
  <c r="I41" i="28" s="1"/>
  <c r="E41" i="28"/>
  <c r="D41" i="28"/>
  <c r="C41" i="28"/>
  <c r="AV40" i="28"/>
  <c r="AX40" i="28" s="1"/>
  <c r="AU40" i="28"/>
  <c r="AW40" i="28" s="1"/>
  <c r="AR40" i="28"/>
  <c r="AT40" i="28" s="1"/>
  <c r="AQ40" i="28"/>
  <c r="AS40" i="28" s="1"/>
  <c r="AN40" i="28"/>
  <c r="AP40" i="28" s="1"/>
  <c r="AM40" i="28"/>
  <c r="AO40" i="28" s="1"/>
  <c r="AJ40" i="28"/>
  <c r="AL40" i="28" s="1"/>
  <c r="AI40" i="28"/>
  <c r="AK40" i="28" s="1"/>
  <c r="AF40" i="28"/>
  <c r="AH40" i="28" s="1"/>
  <c r="AE40" i="28"/>
  <c r="AG40" i="28" s="1"/>
  <c r="AB40" i="28"/>
  <c r="AD40" i="28" s="1"/>
  <c r="AA40" i="28"/>
  <c r="AC40" i="28" s="1"/>
  <c r="X40" i="28"/>
  <c r="Z40" i="28" s="1"/>
  <c r="W40" i="28"/>
  <c r="Y40" i="28" s="1"/>
  <c r="T40" i="28"/>
  <c r="V40" i="28" s="1"/>
  <c r="S40" i="28"/>
  <c r="U40" i="28" s="1"/>
  <c r="P40" i="28"/>
  <c r="R40" i="28" s="1"/>
  <c r="O40" i="28"/>
  <c r="Q40" i="28" s="1"/>
  <c r="L40" i="28"/>
  <c r="N40" i="28" s="1"/>
  <c r="K40" i="28"/>
  <c r="M40" i="28" s="1"/>
  <c r="H40" i="28"/>
  <c r="J40" i="28" s="1"/>
  <c r="G40" i="28"/>
  <c r="I40" i="28" s="1"/>
  <c r="E40" i="28"/>
  <c r="D40" i="28"/>
  <c r="C40" i="28"/>
  <c r="AV39" i="28"/>
  <c r="AX39" i="28" s="1"/>
  <c r="AU39" i="28"/>
  <c r="AW39" i="28" s="1"/>
  <c r="AR39" i="28"/>
  <c r="AT39" i="28" s="1"/>
  <c r="AQ39" i="28"/>
  <c r="AS39" i="28" s="1"/>
  <c r="AN39" i="28"/>
  <c r="AP39" i="28" s="1"/>
  <c r="AM39" i="28"/>
  <c r="AO39" i="28" s="1"/>
  <c r="AJ39" i="28"/>
  <c r="AL39" i="28" s="1"/>
  <c r="AI39" i="28"/>
  <c r="AK39" i="28" s="1"/>
  <c r="AF39" i="28"/>
  <c r="AH39" i="28" s="1"/>
  <c r="AE39" i="28"/>
  <c r="AG39" i="28" s="1"/>
  <c r="AB39" i="28"/>
  <c r="AD39" i="28" s="1"/>
  <c r="AA39" i="28"/>
  <c r="AC39" i="28" s="1"/>
  <c r="X39" i="28"/>
  <c r="Z39" i="28" s="1"/>
  <c r="W39" i="28"/>
  <c r="Y39" i="28" s="1"/>
  <c r="T39" i="28"/>
  <c r="V39" i="28" s="1"/>
  <c r="S39" i="28"/>
  <c r="U39" i="28" s="1"/>
  <c r="P39" i="28"/>
  <c r="R39" i="28" s="1"/>
  <c r="O39" i="28"/>
  <c r="Q39" i="28" s="1"/>
  <c r="L39" i="28"/>
  <c r="N39" i="28" s="1"/>
  <c r="K39" i="28"/>
  <c r="M39" i="28" s="1"/>
  <c r="H39" i="28"/>
  <c r="J39" i="28" s="1"/>
  <c r="G39" i="28"/>
  <c r="I39" i="28" s="1"/>
  <c r="E39" i="28"/>
  <c r="D39" i="28"/>
  <c r="C39" i="28"/>
  <c r="AV38" i="28"/>
  <c r="AX38" i="28" s="1"/>
  <c r="AU38" i="28"/>
  <c r="AW38" i="28" s="1"/>
  <c r="AR38" i="28"/>
  <c r="AT38" i="28" s="1"/>
  <c r="AQ38" i="28"/>
  <c r="AS38" i="28" s="1"/>
  <c r="AN38" i="28"/>
  <c r="AP38" i="28" s="1"/>
  <c r="AM38" i="28"/>
  <c r="AO38" i="28" s="1"/>
  <c r="AJ38" i="28"/>
  <c r="AL38" i="28" s="1"/>
  <c r="AI38" i="28"/>
  <c r="AK38" i="28" s="1"/>
  <c r="AF38" i="28"/>
  <c r="AH38" i="28" s="1"/>
  <c r="AE38" i="28"/>
  <c r="AG38" i="28" s="1"/>
  <c r="AB38" i="28"/>
  <c r="AD38" i="28" s="1"/>
  <c r="AA38" i="28"/>
  <c r="AC38" i="28" s="1"/>
  <c r="X38" i="28"/>
  <c r="Z38" i="28" s="1"/>
  <c r="W38" i="28"/>
  <c r="Y38" i="28" s="1"/>
  <c r="T38" i="28"/>
  <c r="V38" i="28" s="1"/>
  <c r="S38" i="28"/>
  <c r="U38" i="28" s="1"/>
  <c r="P38" i="28"/>
  <c r="R38" i="28" s="1"/>
  <c r="O38" i="28"/>
  <c r="Q38" i="28" s="1"/>
  <c r="L38" i="28"/>
  <c r="N38" i="28" s="1"/>
  <c r="K38" i="28"/>
  <c r="M38" i="28" s="1"/>
  <c r="J38" i="28"/>
  <c r="H38" i="28"/>
  <c r="G38" i="28"/>
  <c r="I38" i="28" s="1"/>
  <c r="E38" i="28"/>
  <c r="D38" i="28"/>
  <c r="C38" i="28"/>
  <c r="AV37" i="28"/>
  <c r="AX37" i="28" s="1"/>
  <c r="AU37" i="28"/>
  <c r="AW37" i="28" s="1"/>
  <c r="AR37" i="28"/>
  <c r="AT37" i="28" s="1"/>
  <c r="AQ37" i="28"/>
  <c r="AS37" i="28" s="1"/>
  <c r="AN37" i="28"/>
  <c r="AP37" i="28" s="1"/>
  <c r="AM37" i="28"/>
  <c r="AO37" i="28" s="1"/>
  <c r="AJ37" i="28"/>
  <c r="AL37" i="28" s="1"/>
  <c r="AI37" i="28"/>
  <c r="AK37" i="28" s="1"/>
  <c r="AF37" i="28"/>
  <c r="AH37" i="28" s="1"/>
  <c r="AE37" i="28"/>
  <c r="AG37" i="28" s="1"/>
  <c r="AB37" i="28"/>
  <c r="AD37" i="28" s="1"/>
  <c r="AA37" i="28"/>
  <c r="AC37" i="28" s="1"/>
  <c r="X37" i="28"/>
  <c r="Z37" i="28" s="1"/>
  <c r="W37" i="28"/>
  <c r="Y37" i="28" s="1"/>
  <c r="T37" i="28"/>
  <c r="V37" i="28" s="1"/>
  <c r="S37" i="28"/>
  <c r="U37" i="28" s="1"/>
  <c r="P37" i="28"/>
  <c r="R37" i="28" s="1"/>
  <c r="O37" i="28"/>
  <c r="Q37" i="28" s="1"/>
  <c r="L37" i="28"/>
  <c r="N37" i="28" s="1"/>
  <c r="K37" i="28"/>
  <c r="M37" i="28" s="1"/>
  <c r="H37" i="28"/>
  <c r="J37" i="28" s="1"/>
  <c r="G37" i="28"/>
  <c r="I37" i="28" s="1"/>
  <c r="E37" i="28"/>
  <c r="D37" i="28"/>
  <c r="C37" i="28"/>
  <c r="AV36" i="28"/>
  <c r="AX36" i="28" s="1"/>
  <c r="AU36" i="28"/>
  <c r="AW36" i="28" s="1"/>
  <c r="AR36" i="28"/>
  <c r="AT36" i="28" s="1"/>
  <c r="AQ36" i="28"/>
  <c r="AS36" i="28" s="1"/>
  <c r="AN36" i="28"/>
  <c r="AP36" i="28" s="1"/>
  <c r="AM36" i="28"/>
  <c r="AO36" i="28" s="1"/>
  <c r="AJ36" i="28"/>
  <c r="AL36" i="28" s="1"/>
  <c r="AI36" i="28"/>
  <c r="AK36" i="28" s="1"/>
  <c r="AF36" i="28"/>
  <c r="AH36" i="28" s="1"/>
  <c r="AE36" i="28"/>
  <c r="AG36" i="28" s="1"/>
  <c r="AB36" i="28"/>
  <c r="AD36" i="28" s="1"/>
  <c r="AA36" i="28"/>
  <c r="AC36" i="28" s="1"/>
  <c r="X36" i="28"/>
  <c r="Z36" i="28" s="1"/>
  <c r="W36" i="28"/>
  <c r="Y36" i="28" s="1"/>
  <c r="T36" i="28"/>
  <c r="V36" i="28" s="1"/>
  <c r="S36" i="28"/>
  <c r="U36" i="28" s="1"/>
  <c r="P36" i="28"/>
  <c r="R36" i="28" s="1"/>
  <c r="O36" i="28"/>
  <c r="Q36" i="28" s="1"/>
  <c r="L36" i="28"/>
  <c r="N36" i="28" s="1"/>
  <c r="K36" i="28"/>
  <c r="M36" i="28" s="1"/>
  <c r="H36" i="28"/>
  <c r="J36" i="28" s="1"/>
  <c r="G36" i="28"/>
  <c r="I36" i="28" s="1"/>
  <c r="E36" i="28"/>
  <c r="D36" i="28"/>
  <c r="C36" i="28"/>
  <c r="AV35" i="28"/>
  <c r="AX35" i="28" s="1"/>
  <c r="AU35" i="28"/>
  <c r="AW35" i="28" s="1"/>
  <c r="AR35" i="28"/>
  <c r="AT35" i="28" s="1"/>
  <c r="AQ35" i="28"/>
  <c r="AS35" i="28" s="1"/>
  <c r="AN35" i="28"/>
  <c r="AP35" i="28" s="1"/>
  <c r="AM35" i="28"/>
  <c r="AO35" i="28" s="1"/>
  <c r="AJ35" i="28"/>
  <c r="AL35" i="28" s="1"/>
  <c r="AI35" i="28"/>
  <c r="AK35" i="28" s="1"/>
  <c r="AF35" i="28"/>
  <c r="AH35" i="28" s="1"/>
  <c r="AE35" i="28"/>
  <c r="AG35" i="28" s="1"/>
  <c r="AB35" i="28"/>
  <c r="AD35" i="28" s="1"/>
  <c r="AA35" i="28"/>
  <c r="AC35" i="28" s="1"/>
  <c r="X35" i="28"/>
  <c r="Z35" i="28" s="1"/>
  <c r="W35" i="28"/>
  <c r="Y35" i="28" s="1"/>
  <c r="T35" i="28"/>
  <c r="V35" i="28" s="1"/>
  <c r="S35" i="28"/>
  <c r="U35" i="28" s="1"/>
  <c r="P35" i="28"/>
  <c r="R35" i="28" s="1"/>
  <c r="O35" i="28"/>
  <c r="Q35" i="28" s="1"/>
  <c r="L35" i="28"/>
  <c r="N35" i="28" s="1"/>
  <c r="K35" i="28"/>
  <c r="M35" i="28" s="1"/>
  <c r="H35" i="28"/>
  <c r="J35" i="28" s="1"/>
  <c r="G35" i="28"/>
  <c r="I35" i="28" s="1"/>
  <c r="E35" i="28"/>
  <c r="D35" i="28"/>
  <c r="C35" i="28"/>
  <c r="AV34" i="28"/>
  <c r="AX34" i="28" s="1"/>
  <c r="AU34" i="28"/>
  <c r="AW34" i="28" s="1"/>
  <c r="AR34" i="28"/>
  <c r="AT34" i="28" s="1"/>
  <c r="AQ34" i="28"/>
  <c r="AS34" i="28" s="1"/>
  <c r="AN34" i="28"/>
  <c r="AP34" i="28" s="1"/>
  <c r="AM34" i="28"/>
  <c r="AO34" i="28" s="1"/>
  <c r="AJ34" i="28"/>
  <c r="AL34" i="28" s="1"/>
  <c r="AI34" i="28"/>
  <c r="AK34" i="28" s="1"/>
  <c r="AF34" i="28"/>
  <c r="AH34" i="28" s="1"/>
  <c r="AE34" i="28"/>
  <c r="AG34" i="28" s="1"/>
  <c r="AB34" i="28"/>
  <c r="AD34" i="28" s="1"/>
  <c r="AA34" i="28"/>
  <c r="AC34" i="28" s="1"/>
  <c r="X34" i="28"/>
  <c r="Z34" i="28" s="1"/>
  <c r="W34" i="28"/>
  <c r="Y34" i="28" s="1"/>
  <c r="T34" i="28"/>
  <c r="V34" i="28" s="1"/>
  <c r="S34" i="28"/>
  <c r="U34" i="28" s="1"/>
  <c r="P34" i="28"/>
  <c r="R34" i="28" s="1"/>
  <c r="O34" i="28"/>
  <c r="Q34" i="28" s="1"/>
  <c r="L34" i="28"/>
  <c r="N34" i="28" s="1"/>
  <c r="K34" i="28"/>
  <c r="M34" i="28" s="1"/>
  <c r="H34" i="28"/>
  <c r="J34" i="28" s="1"/>
  <c r="G34" i="28"/>
  <c r="I34" i="28" s="1"/>
  <c r="E34" i="28"/>
  <c r="D34" i="28"/>
  <c r="C34" i="28"/>
  <c r="AV33" i="28"/>
  <c r="AX33" i="28" s="1"/>
  <c r="AU33" i="28"/>
  <c r="AW33" i="28" s="1"/>
  <c r="AR33" i="28"/>
  <c r="AT33" i="28" s="1"/>
  <c r="AQ33" i="28"/>
  <c r="AS33" i="28" s="1"/>
  <c r="AN33" i="28"/>
  <c r="AP33" i="28" s="1"/>
  <c r="AM33" i="28"/>
  <c r="AO33" i="28" s="1"/>
  <c r="AJ33" i="28"/>
  <c r="AL33" i="28" s="1"/>
  <c r="AI33" i="28"/>
  <c r="AK33" i="28" s="1"/>
  <c r="AF33" i="28"/>
  <c r="AH33" i="28" s="1"/>
  <c r="AE33" i="28"/>
  <c r="AG33" i="28" s="1"/>
  <c r="AB33" i="28"/>
  <c r="AD33" i="28" s="1"/>
  <c r="AA33" i="28"/>
  <c r="AC33" i="28" s="1"/>
  <c r="X33" i="28"/>
  <c r="Z33" i="28" s="1"/>
  <c r="W33" i="28"/>
  <c r="Y33" i="28" s="1"/>
  <c r="T33" i="28"/>
  <c r="V33" i="28" s="1"/>
  <c r="S33" i="28"/>
  <c r="U33" i="28" s="1"/>
  <c r="P33" i="28"/>
  <c r="R33" i="28" s="1"/>
  <c r="O33" i="28"/>
  <c r="Q33" i="28" s="1"/>
  <c r="L33" i="28"/>
  <c r="N33" i="28" s="1"/>
  <c r="K33" i="28"/>
  <c r="M33" i="28" s="1"/>
  <c r="H33" i="28"/>
  <c r="J33" i="28" s="1"/>
  <c r="G33" i="28"/>
  <c r="I33" i="28" s="1"/>
  <c r="E33" i="28"/>
  <c r="D33" i="28"/>
  <c r="C33" i="28"/>
  <c r="AV32" i="28"/>
  <c r="AX32" i="28" s="1"/>
  <c r="AU32" i="28"/>
  <c r="AW32" i="28" s="1"/>
  <c r="AR32" i="28"/>
  <c r="AT32" i="28" s="1"/>
  <c r="AQ32" i="28"/>
  <c r="AS32" i="28" s="1"/>
  <c r="AN32" i="28"/>
  <c r="AP32" i="28" s="1"/>
  <c r="AM32" i="28"/>
  <c r="AO32" i="28" s="1"/>
  <c r="AJ32" i="28"/>
  <c r="AL32" i="28" s="1"/>
  <c r="AI32" i="28"/>
  <c r="AK32" i="28" s="1"/>
  <c r="AF32" i="28"/>
  <c r="AH32" i="28" s="1"/>
  <c r="AE32" i="28"/>
  <c r="AG32" i="28" s="1"/>
  <c r="AB32" i="28"/>
  <c r="AD32" i="28" s="1"/>
  <c r="AA32" i="28"/>
  <c r="AC32" i="28" s="1"/>
  <c r="X32" i="28"/>
  <c r="Z32" i="28" s="1"/>
  <c r="W32" i="28"/>
  <c r="Y32" i="28" s="1"/>
  <c r="T32" i="28"/>
  <c r="V32" i="28" s="1"/>
  <c r="S32" i="28"/>
  <c r="U32" i="28" s="1"/>
  <c r="P32" i="28"/>
  <c r="R32" i="28" s="1"/>
  <c r="O32" i="28"/>
  <c r="Q32" i="28" s="1"/>
  <c r="L32" i="28"/>
  <c r="N32" i="28" s="1"/>
  <c r="K32" i="28"/>
  <c r="M32" i="28" s="1"/>
  <c r="H32" i="28"/>
  <c r="J32" i="28" s="1"/>
  <c r="G32" i="28"/>
  <c r="I32" i="28" s="1"/>
  <c r="E32" i="28"/>
  <c r="D32" i="28"/>
  <c r="C32" i="28"/>
  <c r="AV31" i="28"/>
  <c r="AX31" i="28" s="1"/>
  <c r="AU31" i="28"/>
  <c r="AW31" i="28" s="1"/>
  <c r="AR31" i="28"/>
  <c r="AT31" i="28" s="1"/>
  <c r="AQ31" i="28"/>
  <c r="AS31" i="28" s="1"/>
  <c r="AN31" i="28"/>
  <c r="AP31" i="28" s="1"/>
  <c r="AM31" i="28"/>
  <c r="AO31" i="28" s="1"/>
  <c r="AJ31" i="28"/>
  <c r="AL31" i="28" s="1"/>
  <c r="AI31" i="28"/>
  <c r="AK31" i="28" s="1"/>
  <c r="AF31" i="28"/>
  <c r="AH31" i="28" s="1"/>
  <c r="AE31" i="28"/>
  <c r="AG31" i="28" s="1"/>
  <c r="AB31" i="28"/>
  <c r="AD31" i="28" s="1"/>
  <c r="AA31" i="28"/>
  <c r="AC31" i="28" s="1"/>
  <c r="X31" i="28"/>
  <c r="Z31" i="28" s="1"/>
  <c r="W31" i="28"/>
  <c r="Y31" i="28" s="1"/>
  <c r="T31" i="28"/>
  <c r="V31" i="28" s="1"/>
  <c r="S31" i="28"/>
  <c r="U31" i="28" s="1"/>
  <c r="P31" i="28"/>
  <c r="R31" i="28" s="1"/>
  <c r="O31" i="28"/>
  <c r="Q31" i="28" s="1"/>
  <c r="L31" i="28"/>
  <c r="N31" i="28" s="1"/>
  <c r="K31" i="28"/>
  <c r="M31" i="28" s="1"/>
  <c r="H31" i="28"/>
  <c r="J31" i="28" s="1"/>
  <c r="G31" i="28"/>
  <c r="I31" i="28" s="1"/>
  <c r="E31" i="28"/>
  <c r="D31" i="28"/>
  <c r="C31" i="28"/>
  <c r="AV30" i="28"/>
  <c r="AX30" i="28" s="1"/>
  <c r="AU30" i="28"/>
  <c r="AW30" i="28" s="1"/>
  <c r="AR30" i="28"/>
  <c r="AT30" i="28" s="1"/>
  <c r="AQ30" i="28"/>
  <c r="AS30" i="28" s="1"/>
  <c r="AN30" i="28"/>
  <c r="AP30" i="28" s="1"/>
  <c r="AM30" i="28"/>
  <c r="AO30" i="28" s="1"/>
  <c r="AJ30" i="28"/>
  <c r="AL30" i="28" s="1"/>
  <c r="AI30" i="28"/>
  <c r="AK30" i="28" s="1"/>
  <c r="AF30" i="28"/>
  <c r="AH30" i="28" s="1"/>
  <c r="AE30" i="28"/>
  <c r="AG30" i="28" s="1"/>
  <c r="AB30" i="28"/>
  <c r="AD30" i="28" s="1"/>
  <c r="AA30" i="28"/>
  <c r="AC30" i="28" s="1"/>
  <c r="X30" i="28"/>
  <c r="Z30" i="28" s="1"/>
  <c r="W30" i="28"/>
  <c r="Y30" i="28" s="1"/>
  <c r="T30" i="28"/>
  <c r="V30" i="28" s="1"/>
  <c r="S30" i="28"/>
  <c r="U30" i="28" s="1"/>
  <c r="R30" i="28"/>
  <c r="P30" i="28"/>
  <c r="O30" i="28"/>
  <c r="Q30" i="28" s="1"/>
  <c r="L30" i="28"/>
  <c r="N30" i="28" s="1"/>
  <c r="K30" i="28"/>
  <c r="M30" i="28" s="1"/>
  <c r="H30" i="28"/>
  <c r="J30" i="28" s="1"/>
  <c r="G30" i="28"/>
  <c r="I30" i="28" s="1"/>
  <c r="E30" i="28"/>
  <c r="D30" i="28"/>
  <c r="C30" i="28"/>
  <c r="AV29" i="28"/>
  <c r="AX29" i="28" s="1"/>
  <c r="AU29" i="28"/>
  <c r="AW29" i="28" s="1"/>
  <c r="AR29" i="28"/>
  <c r="AT29" i="28" s="1"/>
  <c r="AQ29" i="28"/>
  <c r="AS29" i="28" s="1"/>
  <c r="AN29" i="28"/>
  <c r="AP29" i="28" s="1"/>
  <c r="AM29" i="28"/>
  <c r="AO29" i="28" s="1"/>
  <c r="AJ29" i="28"/>
  <c r="AL29" i="28" s="1"/>
  <c r="AI29" i="28"/>
  <c r="AK29" i="28" s="1"/>
  <c r="AF29" i="28"/>
  <c r="AH29" i="28" s="1"/>
  <c r="AE29" i="28"/>
  <c r="AG29" i="28" s="1"/>
  <c r="AB29" i="28"/>
  <c r="AD29" i="28" s="1"/>
  <c r="AA29" i="28"/>
  <c r="AC29" i="28" s="1"/>
  <c r="X29" i="28"/>
  <c r="Z29" i="28" s="1"/>
  <c r="W29" i="28"/>
  <c r="Y29" i="28" s="1"/>
  <c r="T29" i="28"/>
  <c r="V29" i="28" s="1"/>
  <c r="S29" i="28"/>
  <c r="U29" i="28" s="1"/>
  <c r="P29" i="28"/>
  <c r="R29" i="28" s="1"/>
  <c r="O29" i="28"/>
  <c r="Q29" i="28" s="1"/>
  <c r="L29" i="28"/>
  <c r="N29" i="28" s="1"/>
  <c r="K29" i="28"/>
  <c r="M29" i="28" s="1"/>
  <c r="H29" i="28"/>
  <c r="J29" i="28" s="1"/>
  <c r="G29" i="28"/>
  <c r="I29" i="28" s="1"/>
  <c r="E29" i="28"/>
  <c r="D29" i="28"/>
  <c r="C29" i="28"/>
  <c r="AV28" i="28"/>
  <c r="AX28" i="28" s="1"/>
  <c r="AU28" i="28"/>
  <c r="AW28" i="28" s="1"/>
  <c r="AR28" i="28"/>
  <c r="AT28" i="28" s="1"/>
  <c r="AQ28" i="28"/>
  <c r="AS28" i="28" s="1"/>
  <c r="AN28" i="28"/>
  <c r="AP28" i="28" s="1"/>
  <c r="AM28" i="28"/>
  <c r="AO28" i="28" s="1"/>
  <c r="AJ28" i="28"/>
  <c r="AL28" i="28" s="1"/>
  <c r="AI28" i="28"/>
  <c r="AK28" i="28" s="1"/>
  <c r="AF28" i="28"/>
  <c r="AH28" i="28" s="1"/>
  <c r="AE28" i="28"/>
  <c r="AG28" i="28" s="1"/>
  <c r="AB28" i="28"/>
  <c r="AD28" i="28" s="1"/>
  <c r="AA28" i="28"/>
  <c r="AC28" i="28" s="1"/>
  <c r="X28" i="28"/>
  <c r="Z28" i="28" s="1"/>
  <c r="W28" i="28"/>
  <c r="Y28" i="28" s="1"/>
  <c r="T28" i="28"/>
  <c r="V28" i="28" s="1"/>
  <c r="S28" i="28"/>
  <c r="U28" i="28" s="1"/>
  <c r="P28" i="28"/>
  <c r="R28" i="28" s="1"/>
  <c r="O28" i="28"/>
  <c r="Q28" i="28" s="1"/>
  <c r="L28" i="28"/>
  <c r="N28" i="28" s="1"/>
  <c r="K28" i="28"/>
  <c r="M28" i="28" s="1"/>
  <c r="H28" i="28"/>
  <c r="J28" i="28" s="1"/>
  <c r="G28" i="28"/>
  <c r="I28" i="28" s="1"/>
  <c r="E28" i="28"/>
  <c r="D28" i="28"/>
  <c r="C28" i="28"/>
  <c r="AV27" i="28"/>
  <c r="AX27" i="28" s="1"/>
  <c r="AU27" i="28"/>
  <c r="AW27" i="28" s="1"/>
  <c r="AR27" i="28"/>
  <c r="AT27" i="28" s="1"/>
  <c r="AQ27" i="28"/>
  <c r="AS27" i="28" s="1"/>
  <c r="AN27" i="28"/>
  <c r="AP27" i="28" s="1"/>
  <c r="AM27" i="28"/>
  <c r="AO27" i="28" s="1"/>
  <c r="AJ27" i="28"/>
  <c r="AL27" i="28" s="1"/>
  <c r="AI27" i="28"/>
  <c r="AK27" i="28" s="1"/>
  <c r="AF27" i="28"/>
  <c r="AH27" i="28" s="1"/>
  <c r="AE27" i="28"/>
  <c r="AG27" i="28" s="1"/>
  <c r="AB27" i="28"/>
  <c r="AD27" i="28" s="1"/>
  <c r="AA27" i="28"/>
  <c r="AC27" i="28" s="1"/>
  <c r="X27" i="28"/>
  <c r="Z27" i="28" s="1"/>
  <c r="W27" i="28"/>
  <c r="Y27" i="28" s="1"/>
  <c r="T27" i="28"/>
  <c r="V27" i="28" s="1"/>
  <c r="S27" i="28"/>
  <c r="U27" i="28" s="1"/>
  <c r="P27" i="28"/>
  <c r="R27" i="28" s="1"/>
  <c r="O27" i="28"/>
  <c r="Q27" i="28" s="1"/>
  <c r="L27" i="28"/>
  <c r="N27" i="28" s="1"/>
  <c r="K27" i="28"/>
  <c r="M27" i="28" s="1"/>
  <c r="H27" i="28"/>
  <c r="J27" i="28" s="1"/>
  <c r="G27" i="28"/>
  <c r="I27" i="28" s="1"/>
  <c r="E27" i="28"/>
  <c r="D27" i="28"/>
  <c r="C27" i="28"/>
  <c r="AV26" i="28"/>
  <c r="AX26" i="28" s="1"/>
  <c r="AU26" i="28"/>
  <c r="AW26" i="28" s="1"/>
  <c r="AR26" i="28"/>
  <c r="AT26" i="28" s="1"/>
  <c r="AQ26" i="28"/>
  <c r="AS26" i="28" s="1"/>
  <c r="AN26" i="28"/>
  <c r="AP26" i="28" s="1"/>
  <c r="AM26" i="28"/>
  <c r="AO26" i="28" s="1"/>
  <c r="AJ26" i="28"/>
  <c r="AL26" i="28" s="1"/>
  <c r="AI26" i="28"/>
  <c r="AK26" i="28" s="1"/>
  <c r="AF26" i="28"/>
  <c r="AH26" i="28" s="1"/>
  <c r="AE26" i="28"/>
  <c r="AG26" i="28" s="1"/>
  <c r="AB26" i="28"/>
  <c r="AD26" i="28" s="1"/>
  <c r="AA26" i="28"/>
  <c r="AC26" i="28" s="1"/>
  <c r="X26" i="28"/>
  <c r="Z26" i="28" s="1"/>
  <c r="W26" i="28"/>
  <c r="Y26" i="28" s="1"/>
  <c r="T26" i="28"/>
  <c r="V26" i="28" s="1"/>
  <c r="S26" i="28"/>
  <c r="U26" i="28" s="1"/>
  <c r="P26" i="28"/>
  <c r="R26" i="28" s="1"/>
  <c r="O26" i="28"/>
  <c r="Q26" i="28" s="1"/>
  <c r="L26" i="28"/>
  <c r="N26" i="28" s="1"/>
  <c r="K26" i="28"/>
  <c r="M26" i="28" s="1"/>
  <c r="H26" i="28"/>
  <c r="J26" i="28" s="1"/>
  <c r="G26" i="28"/>
  <c r="I26" i="28" s="1"/>
  <c r="E26" i="28"/>
  <c r="D26" i="28"/>
  <c r="C26" i="28"/>
  <c r="AV25" i="28"/>
  <c r="AX25" i="28" s="1"/>
  <c r="AU25" i="28"/>
  <c r="AW25" i="28" s="1"/>
  <c r="AR25" i="28"/>
  <c r="AT25" i="28" s="1"/>
  <c r="AQ25" i="28"/>
  <c r="AS25" i="28" s="1"/>
  <c r="AN25" i="28"/>
  <c r="AP25" i="28" s="1"/>
  <c r="AM25" i="28"/>
  <c r="AO25" i="28" s="1"/>
  <c r="AJ25" i="28"/>
  <c r="AL25" i="28" s="1"/>
  <c r="AI25" i="28"/>
  <c r="AK25" i="28" s="1"/>
  <c r="AF25" i="28"/>
  <c r="AH25" i="28" s="1"/>
  <c r="AE25" i="28"/>
  <c r="AG25" i="28" s="1"/>
  <c r="AB25" i="28"/>
  <c r="AD25" i="28" s="1"/>
  <c r="AA25" i="28"/>
  <c r="AC25" i="28" s="1"/>
  <c r="X25" i="28"/>
  <c r="Z25" i="28" s="1"/>
  <c r="W25" i="28"/>
  <c r="Y25" i="28" s="1"/>
  <c r="T25" i="28"/>
  <c r="V25" i="28" s="1"/>
  <c r="S25" i="28"/>
  <c r="U25" i="28" s="1"/>
  <c r="P25" i="28"/>
  <c r="R25" i="28" s="1"/>
  <c r="O25" i="28"/>
  <c r="Q25" i="28" s="1"/>
  <c r="L25" i="28"/>
  <c r="N25" i="28" s="1"/>
  <c r="K25" i="28"/>
  <c r="M25" i="28" s="1"/>
  <c r="H25" i="28"/>
  <c r="J25" i="28" s="1"/>
  <c r="G25" i="28"/>
  <c r="I25" i="28" s="1"/>
  <c r="E25" i="28"/>
  <c r="D25" i="28"/>
  <c r="C25" i="28"/>
  <c r="AV24" i="28"/>
  <c r="AX24" i="28" s="1"/>
  <c r="AU24" i="28"/>
  <c r="AW24" i="28" s="1"/>
  <c r="AR24" i="28"/>
  <c r="AT24" i="28" s="1"/>
  <c r="AQ24" i="28"/>
  <c r="AS24" i="28" s="1"/>
  <c r="AN24" i="28"/>
  <c r="AP24" i="28" s="1"/>
  <c r="AM24" i="28"/>
  <c r="AO24" i="28" s="1"/>
  <c r="AJ24" i="28"/>
  <c r="AL24" i="28" s="1"/>
  <c r="AI24" i="28"/>
  <c r="AK24" i="28" s="1"/>
  <c r="AF24" i="28"/>
  <c r="AH24" i="28" s="1"/>
  <c r="AE24" i="28"/>
  <c r="AG24" i="28" s="1"/>
  <c r="AB24" i="28"/>
  <c r="AD24" i="28" s="1"/>
  <c r="AA24" i="28"/>
  <c r="AC24" i="28" s="1"/>
  <c r="X24" i="28"/>
  <c r="Z24" i="28" s="1"/>
  <c r="W24" i="28"/>
  <c r="Y24" i="28" s="1"/>
  <c r="T24" i="28"/>
  <c r="V24" i="28" s="1"/>
  <c r="S24" i="28"/>
  <c r="U24" i="28" s="1"/>
  <c r="P24" i="28"/>
  <c r="R24" i="28" s="1"/>
  <c r="O24" i="28"/>
  <c r="Q24" i="28" s="1"/>
  <c r="L24" i="28"/>
  <c r="N24" i="28" s="1"/>
  <c r="K24" i="28"/>
  <c r="M24" i="28" s="1"/>
  <c r="H24" i="28"/>
  <c r="J24" i="28" s="1"/>
  <c r="G24" i="28"/>
  <c r="I24" i="28" s="1"/>
  <c r="E24" i="28"/>
  <c r="D24" i="28"/>
  <c r="C24" i="28"/>
  <c r="AV23" i="28"/>
  <c r="AX23" i="28" s="1"/>
  <c r="AU23" i="28"/>
  <c r="AW23" i="28" s="1"/>
  <c r="AR23" i="28"/>
  <c r="AT23" i="28" s="1"/>
  <c r="AQ23" i="28"/>
  <c r="AS23" i="28" s="1"/>
  <c r="AN23" i="28"/>
  <c r="AP23" i="28" s="1"/>
  <c r="AM23" i="28"/>
  <c r="AO23" i="28" s="1"/>
  <c r="AJ23" i="28"/>
  <c r="AL23" i="28" s="1"/>
  <c r="AI23" i="28"/>
  <c r="AK23" i="28" s="1"/>
  <c r="AF23" i="28"/>
  <c r="AH23" i="28" s="1"/>
  <c r="AE23" i="28"/>
  <c r="AG23" i="28" s="1"/>
  <c r="AB23" i="28"/>
  <c r="AD23" i="28" s="1"/>
  <c r="AA23" i="28"/>
  <c r="AC23" i="28" s="1"/>
  <c r="X23" i="28"/>
  <c r="Z23" i="28" s="1"/>
  <c r="W23" i="28"/>
  <c r="Y23" i="28" s="1"/>
  <c r="T23" i="28"/>
  <c r="V23" i="28" s="1"/>
  <c r="S23" i="28"/>
  <c r="U23" i="28" s="1"/>
  <c r="P23" i="28"/>
  <c r="R23" i="28" s="1"/>
  <c r="O23" i="28"/>
  <c r="Q23" i="28" s="1"/>
  <c r="L23" i="28"/>
  <c r="N23" i="28" s="1"/>
  <c r="K23" i="28"/>
  <c r="M23" i="28" s="1"/>
  <c r="H23" i="28"/>
  <c r="J23" i="28" s="1"/>
  <c r="G23" i="28"/>
  <c r="I23" i="28" s="1"/>
  <c r="E23" i="28"/>
  <c r="D23" i="28"/>
  <c r="C23" i="28"/>
  <c r="AV22" i="28"/>
  <c r="AX22" i="28" s="1"/>
  <c r="AU22" i="28"/>
  <c r="AW22" i="28" s="1"/>
  <c r="AR22" i="28"/>
  <c r="AT22" i="28" s="1"/>
  <c r="AQ22" i="28"/>
  <c r="AS22" i="28" s="1"/>
  <c r="AN22" i="28"/>
  <c r="AP22" i="28" s="1"/>
  <c r="AM22" i="28"/>
  <c r="AO22" i="28" s="1"/>
  <c r="AJ22" i="28"/>
  <c r="AL22" i="28" s="1"/>
  <c r="AI22" i="28"/>
  <c r="AK22" i="28" s="1"/>
  <c r="AF22" i="28"/>
  <c r="AH22" i="28" s="1"/>
  <c r="AE22" i="28"/>
  <c r="AG22" i="28" s="1"/>
  <c r="AB22" i="28"/>
  <c r="AD22" i="28" s="1"/>
  <c r="AA22" i="28"/>
  <c r="AC22" i="28" s="1"/>
  <c r="X22" i="28"/>
  <c r="Z22" i="28" s="1"/>
  <c r="W22" i="28"/>
  <c r="Y22" i="28" s="1"/>
  <c r="T22" i="28"/>
  <c r="V22" i="28" s="1"/>
  <c r="S22" i="28"/>
  <c r="U22" i="28" s="1"/>
  <c r="P22" i="28"/>
  <c r="R22" i="28" s="1"/>
  <c r="O22" i="28"/>
  <c r="Q22" i="28" s="1"/>
  <c r="L22" i="28"/>
  <c r="N22" i="28" s="1"/>
  <c r="K22" i="28"/>
  <c r="M22" i="28" s="1"/>
  <c r="H22" i="28"/>
  <c r="J22" i="28" s="1"/>
  <c r="G22" i="28"/>
  <c r="I22" i="28" s="1"/>
  <c r="E22" i="28"/>
  <c r="D22" i="28"/>
  <c r="C22" i="28"/>
  <c r="AV21" i="28"/>
  <c r="AX21" i="28" s="1"/>
  <c r="AU21" i="28"/>
  <c r="AW21" i="28" s="1"/>
  <c r="AR21" i="28"/>
  <c r="AT21" i="28" s="1"/>
  <c r="AQ21" i="28"/>
  <c r="AS21" i="28" s="1"/>
  <c r="AN21" i="28"/>
  <c r="AP21" i="28" s="1"/>
  <c r="AM21" i="28"/>
  <c r="AO21" i="28" s="1"/>
  <c r="AJ21" i="28"/>
  <c r="AL21" i="28" s="1"/>
  <c r="AI21" i="28"/>
  <c r="AK21" i="28" s="1"/>
  <c r="AF21" i="28"/>
  <c r="AH21" i="28" s="1"/>
  <c r="AE21" i="28"/>
  <c r="AG21" i="28" s="1"/>
  <c r="AB21" i="28"/>
  <c r="AD21" i="28" s="1"/>
  <c r="AA21" i="28"/>
  <c r="AC21" i="28" s="1"/>
  <c r="X21" i="28"/>
  <c r="Z21" i="28" s="1"/>
  <c r="W21" i="28"/>
  <c r="Y21" i="28" s="1"/>
  <c r="T21" i="28"/>
  <c r="V21" i="28" s="1"/>
  <c r="S21" i="28"/>
  <c r="U21" i="28" s="1"/>
  <c r="P21" i="28"/>
  <c r="R21" i="28" s="1"/>
  <c r="O21" i="28"/>
  <c r="Q21" i="28" s="1"/>
  <c r="L21" i="28"/>
  <c r="N21" i="28" s="1"/>
  <c r="K21" i="28"/>
  <c r="M21" i="28" s="1"/>
  <c r="H21" i="28"/>
  <c r="J21" i="28" s="1"/>
  <c r="G21" i="28"/>
  <c r="I21" i="28" s="1"/>
  <c r="E21" i="28"/>
  <c r="D21" i="28"/>
  <c r="C21" i="28"/>
  <c r="AV20" i="28"/>
  <c r="AX20" i="28" s="1"/>
  <c r="AU20" i="28"/>
  <c r="AW20" i="28" s="1"/>
  <c r="AR20" i="28"/>
  <c r="AT20" i="28" s="1"/>
  <c r="AQ20" i="28"/>
  <c r="AS20" i="28" s="1"/>
  <c r="AN20" i="28"/>
  <c r="AP20" i="28" s="1"/>
  <c r="AM20" i="28"/>
  <c r="AO20" i="28" s="1"/>
  <c r="AJ20" i="28"/>
  <c r="AL20" i="28" s="1"/>
  <c r="AI20" i="28"/>
  <c r="AK20" i="28" s="1"/>
  <c r="AF20" i="28"/>
  <c r="AH20" i="28" s="1"/>
  <c r="AE20" i="28"/>
  <c r="AG20" i="28" s="1"/>
  <c r="AB20" i="28"/>
  <c r="AD20" i="28" s="1"/>
  <c r="AA20" i="28"/>
  <c r="AC20" i="28" s="1"/>
  <c r="X20" i="28"/>
  <c r="Z20" i="28" s="1"/>
  <c r="W20" i="28"/>
  <c r="Y20" i="28" s="1"/>
  <c r="T20" i="28"/>
  <c r="V20" i="28" s="1"/>
  <c r="S20" i="28"/>
  <c r="U20" i="28" s="1"/>
  <c r="P20" i="28"/>
  <c r="R20" i="28" s="1"/>
  <c r="O20" i="28"/>
  <c r="Q20" i="28" s="1"/>
  <c r="L20" i="28"/>
  <c r="N20" i="28" s="1"/>
  <c r="K20" i="28"/>
  <c r="M20" i="28" s="1"/>
  <c r="H20" i="28"/>
  <c r="J20" i="28" s="1"/>
  <c r="G20" i="28"/>
  <c r="I20" i="28" s="1"/>
  <c r="E20" i="28"/>
  <c r="D20" i="28"/>
  <c r="C20" i="28"/>
  <c r="AV19" i="28"/>
  <c r="AX19" i="28" s="1"/>
  <c r="AU19" i="28"/>
  <c r="AW19" i="28" s="1"/>
  <c r="AR19" i="28"/>
  <c r="AT19" i="28" s="1"/>
  <c r="AQ19" i="28"/>
  <c r="AS19" i="28" s="1"/>
  <c r="AN19" i="28"/>
  <c r="AP19" i="28" s="1"/>
  <c r="AM19" i="28"/>
  <c r="AO19" i="28" s="1"/>
  <c r="AJ19" i="28"/>
  <c r="AL19" i="28" s="1"/>
  <c r="AI19" i="28"/>
  <c r="AK19" i="28" s="1"/>
  <c r="AF19" i="28"/>
  <c r="AH19" i="28" s="1"/>
  <c r="AE19" i="28"/>
  <c r="AG19" i="28" s="1"/>
  <c r="AB19" i="28"/>
  <c r="AD19" i="28" s="1"/>
  <c r="AA19" i="28"/>
  <c r="AC19" i="28" s="1"/>
  <c r="X19" i="28"/>
  <c r="Z19" i="28" s="1"/>
  <c r="W19" i="28"/>
  <c r="Y19" i="28" s="1"/>
  <c r="T19" i="28"/>
  <c r="V19" i="28" s="1"/>
  <c r="S19" i="28"/>
  <c r="U19" i="28" s="1"/>
  <c r="P19" i="28"/>
  <c r="R19" i="28" s="1"/>
  <c r="O19" i="28"/>
  <c r="Q19" i="28" s="1"/>
  <c r="L19" i="28"/>
  <c r="N19" i="28" s="1"/>
  <c r="K19" i="28"/>
  <c r="M19" i="28" s="1"/>
  <c r="H19" i="28"/>
  <c r="J19" i="28" s="1"/>
  <c r="G19" i="28"/>
  <c r="I19" i="28" s="1"/>
  <c r="E19" i="28"/>
  <c r="D19" i="28"/>
  <c r="C19" i="28"/>
  <c r="AV18" i="28"/>
  <c r="AX18" i="28" s="1"/>
  <c r="AU18" i="28"/>
  <c r="AW18" i="28" s="1"/>
  <c r="AR18" i="28"/>
  <c r="AT18" i="28" s="1"/>
  <c r="AQ18" i="28"/>
  <c r="AS18" i="28" s="1"/>
  <c r="AN18" i="28"/>
  <c r="AP18" i="28" s="1"/>
  <c r="AM18" i="28"/>
  <c r="AO18" i="28" s="1"/>
  <c r="AJ18" i="28"/>
  <c r="AL18" i="28" s="1"/>
  <c r="AI18" i="28"/>
  <c r="AK18" i="28" s="1"/>
  <c r="AF18" i="28"/>
  <c r="AH18" i="28" s="1"/>
  <c r="AE18" i="28"/>
  <c r="AG18" i="28" s="1"/>
  <c r="AB18" i="28"/>
  <c r="AD18" i="28" s="1"/>
  <c r="AA18" i="28"/>
  <c r="AC18" i="28" s="1"/>
  <c r="X18" i="28"/>
  <c r="Z18" i="28" s="1"/>
  <c r="W18" i="28"/>
  <c r="Y18" i="28" s="1"/>
  <c r="T18" i="28"/>
  <c r="V18" i="28" s="1"/>
  <c r="S18" i="28"/>
  <c r="U18" i="28" s="1"/>
  <c r="P18" i="28"/>
  <c r="R18" i="28" s="1"/>
  <c r="O18" i="28"/>
  <c r="Q18" i="28" s="1"/>
  <c r="L18" i="28"/>
  <c r="N18" i="28" s="1"/>
  <c r="K18" i="28"/>
  <c r="M18" i="28" s="1"/>
  <c r="H18" i="28"/>
  <c r="J18" i="28" s="1"/>
  <c r="G18" i="28"/>
  <c r="I18" i="28" s="1"/>
  <c r="E18" i="28"/>
  <c r="D18" i="28"/>
  <c r="C18" i="28"/>
  <c r="AV17" i="28"/>
  <c r="AX17" i="28" s="1"/>
  <c r="AU17" i="28"/>
  <c r="AW17" i="28" s="1"/>
  <c r="AR17" i="28"/>
  <c r="AT17" i="28" s="1"/>
  <c r="AQ17" i="28"/>
  <c r="AS17" i="28" s="1"/>
  <c r="AN17" i="28"/>
  <c r="AP17" i="28" s="1"/>
  <c r="AM17" i="28"/>
  <c r="AO17" i="28" s="1"/>
  <c r="AJ17" i="28"/>
  <c r="AL17" i="28" s="1"/>
  <c r="AI17" i="28"/>
  <c r="AK17" i="28" s="1"/>
  <c r="AF17" i="28"/>
  <c r="AH17" i="28" s="1"/>
  <c r="AE17" i="28"/>
  <c r="AG17" i="28" s="1"/>
  <c r="AB17" i="28"/>
  <c r="AD17" i="28" s="1"/>
  <c r="AA17" i="28"/>
  <c r="AC17" i="28" s="1"/>
  <c r="X17" i="28"/>
  <c r="Z17" i="28" s="1"/>
  <c r="W17" i="28"/>
  <c r="Y17" i="28" s="1"/>
  <c r="T17" i="28"/>
  <c r="V17" i="28" s="1"/>
  <c r="S17" i="28"/>
  <c r="U17" i="28" s="1"/>
  <c r="P17" i="28"/>
  <c r="R17" i="28" s="1"/>
  <c r="O17" i="28"/>
  <c r="Q17" i="28" s="1"/>
  <c r="L17" i="28"/>
  <c r="N17" i="28" s="1"/>
  <c r="K17" i="28"/>
  <c r="M17" i="28" s="1"/>
  <c r="H17" i="28"/>
  <c r="J17" i="28" s="1"/>
  <c r="G17" i="28"/>
  <c r="I17" i="28" s="1"/>
  <c r="E17" i="28"/>
  <c r="D17" i="28"/>
  <c r="C17" i="28"/>
  <c r="AV16" i="28"/>
  <c r="AX16" i="28" s="1"/>
  <c r="AU16" i="28"/>
  <c r="AW16" i="28" s="1"/>
  <c r="AR16" i="28"/>
  <c r="AT16" i="28" s="1"/>
  <c r="AQ16" i="28"/>
  <c r="AS16" i="28" s="1"/>
  <c r="AN16" i="28"/>
  <c r="AP16" i="28" s="1"/>
  <c r="AM16" i="28"/>
  <c r="AO16" i="28" s="1"/>
  <c r="AJ16" i="28"/>
  <c r="AL16" i="28" s="1"/>
  <c r="AI16" i="28"/>
  <c r="AK16" i="28" s="1"/>
  <c r="AF16" i="28"/>
  <c r="AH16" i="28" s="1"/>
  <c r="AE16" i="28"/>
  <c r="AG16" i="28" s="1"/>
  <c r="AB16" i="28"/>
  <c r="AD16" i="28" s="1"/>
  <c r="AA16" i="28"/>
  <c r="AC16" i="28" s="1"/>
  <c r="X16" i="28"/>
  <c r="Z16" i="28" s="1"/>
  <c r="W16" i="28"/>
  <c r="Y16" i="28" s="1"/>
  <c r="T16" i="28"/>
  <c r="V16" i="28" s="1"/>
  <c r="S16" i="28"/>
  <c r="U16" i="28" s="1"/>
  <c r="P16" i="28"/>
  <c r="R16" i="28" s="1"/>
  <c r="O16" i="28"/>
  <c r="Q16" i="28" s="1"/>
  <c r="L16" i="28"/>
  <c r="N16" i="28" s="1"/>
  <c r="K16" i="28"/>
  <c r="M16" i="28" s="1"/>
  <c r="H16" i="28"/>
  <c r="J16" i="28" s="1"/>
  <c r="G16" i="28"/>
  <c r="I16" i="28" s="1"/>
  <c r="E16" i="28"/>
  <c r="D16" i="28"/>
  <c r="C16" i="28"/>
  <c r="AV15" i="28"/>
  <c r="AX15" i="28" s="1"/>
  <c r="AU15" i="28"/>
  <c r="AW15" i="28" s="1"/>
  <c r="AR15" i="28"/>
  <c r="AT15" i="28" s="1"/>
  <c r="AQ15" i="28"/>
  <c r="AS15" i="28" s="1"/>
  <c r="AN15" i="28"/>
  <c r="AP15" i="28" s="1"/>
  <c r="AM15" i="28"/>
  <c r="AO15" i="28" s="1"/>
  <c r="AJ15" i="28"/>
  <c r="AL15" i="28" s="1"/>
  <c r="AI15" i="28"/>
  <c r="AK15" i="28" s="1"/>
  <c r="AF15" i="28"/>
  <c r="AH15" i="28" s="1"/>
  <c r="AE15" i="28"/>
  <c r="AG15" i="28" s="1"/>
  <c r="AB15" i="28"/>
  <c r="AD15" i="28" s="1"/>
  <c r="AA15" i="28"/>
  <c r="AC15" i="28" s="1"/>
  <c r="X15" i="28"/>
  <c r="Z15" i="28" s="1"/>
  <c r="W15" i="28"/>
  <c r="Y15" i="28" s="1"/>
  <c r="T15" i="28"/>
  <c r="V15" i="28" s="1"/>
  <c r="S15" i="28"/>
  <c r="U15" i="28" s="1"/>
  <c r="P15" i="28"/>
  <c r="R15" i="28" s="1"/>
  <c r="O15" i="28"/>
  <c r="Q15" i="28" s="1"/>
  <c r="L15" i="28"/>
  <c r="N15" i="28" s="1"/>
  <c r="K15" i="28"/>
  <c r="M15" i="28" s="1"/>
  <c r="H15" i="28"/>
  <c r="J15" i="28" s="1"/>
  <c r="G15" i="28"/>
  <c r="I15" i="28" s="1"/>
  <c r="E15" i="28"/>
  <c r="D15" i="28"/>
  <c r="C15" i="28"/>
  <c r="AV14" i="28"/>
  <c r="AX14" i="28" s="1"/>
  <c r="AU14" i="28"/>
  <c r="AW14" i="28" s="1"/>
  <c r="AR14" i="28"/>
  <c r="AT14" i="28" s="1"/>
  <c r="AQ14" i="28"/>
  <c r="AS14" i="28" s="1"/>
  <c r="AN14" i="28"/>
  <c r="AP14" i="28" s="1"/>
  <c r="AM14" i="28"/>
  <c r="AO14" i="28" s="1"/>
  <c r="AJ14" i="28"/>
  <c r="AL14" i="28" s="1"/>
  <c r="AI14" i="28"/>
  <c r="AK14" i="28" s="1"/>
  <c r="AF14" i="28"/>
  <c r="AH14" i="28" s="1"/>
  <c r="AE14" i="28"/>
  <c r="AG14" i="28" s="1"/>
  <c r="AB14" i="28"/>
  <c r="AD14" i="28" s="1"/>
  <c r="AA14" i="28"/>
  <c r="AC14" i="28" s="1"/>
  <c r="X14" i="28"/>
  <c r="Z14" i="28" s="1"/>
  <c r="W14" i="28"/>
  <c r="Y14" i="28" s="1"/>
  <c r="T14" i="28"/>
  <c r="V14" i="28" s="1"/>
  <c r="S14" i="28"/>
  <c r="U14" i="28" s="1"/>
  <c r="P14" i="28"/>
  <c r="R14" i="28" s="1"/>
  <c r="O14" i="28"/>
  <c r="Q14" i="28" s="1"/>
  <c r="L14" i="28"/>
  <c r="N14" i="28" s="1"/>
  <c r="K14" i="28"/>
  <c r="M14" i="28" s="1"/>
  <c r="H14" i="28"/>
  <c r="J14" i="28" s="1"/>
  <c r="G14" i="28"/>
  <c r="I14" i="28" s="1"/>
  <c r="E14" i="28"/>
  <c r="D14" i="28"/>
  <c r="C14" i="28"/>
  <c r="AV13" i="28"/>
  <c r="AX13" i="28" s="1"/>
  <c r="AU13" i="28"/>
  <c r="AW13" i="28" s="1"/>
  <c r="AR13" i="28"/>
  <c r="AT13" i="28" s="1"/>
  <c r="AQ13" i="28"/>
  <c r="AS13" i="28" s="1"/>
  <c r="AN13" i="28"/>
  <c r="AP13" i="28" s="1"/>
  <c r="AM13" i="28"/>
  <c r="AO13" i="28" s="1"/>
  <c r="AJ13" i="28"/>
  <c r="AL13" i="28" s="1"/>
  <c r="AI13" i="28"/>
  <c r="AK13" i="28" s="1"/>
  <c r="AF13" i="28"/>
  <c r="AH13" i="28" s="1"/>
  <c r="AE13" i="28"/>
  <c r="AG13" i="28" s="1"/>
  <c r="AB13" i="28"/>
  <c r="AD13" i="28" s="1"/>
  <c r="AA13" i="28"/>
  <c r="AC13" i="28" s="1"/>
  <c r="X13" i="28"/>
  <c r="Z13" i="28" s="1"/>
  <c r="W13" i="28"/>
  <c r="Y13" i="28" s="1"/>
  <c r="T13" i="28"/>
  <c r="V13" i="28" s="1"/>
  <c r="S13" i="28"/>
  <c r="U13" i="28" s="1"/>
  <c r="P13" i="28"/>
  <c r="R13" i="28" s="1"/>
  <c r="O13" i="28"/>
  <c r="Q13" i="28" s="1"/>
  <c r="L13" i="28"/>
  <c r="N13" i="28" s="1"/>
  <c r="K13" i="28"/>
  <c r="M13" i="28" s="1"/>
  <c r="H13" i="28"/>
  <c r="J13" i="28" s="1"/>
  <c r="G13" i="28"/>
  <c r="I13" i="28" s="1"/>
  <c r="E13" i="28"/>
  <c r="D13" i="28"/>
  <c r="C13" i="28"/>
  <c r="AV12" i="28"/>
  <c r="AX12" i="28" s="1"/>
  <c r="AU12" i="28"/>
  <c r="AW12" i="28" s="1"/>
  <c r="AR12" i="28"/>
  <c r="AT12" i="28" s="1"/>
  <c r="AQ12" i="28"/>
  <c r="AS12" i="28" s="1"/>
  <c r="AN12" i="28"/>
  <c r="AP12" i="28" s="1"/>
  <c r="AM12" i="28"/>
  <c r="AO12" i="28" s="1"/>
  <c r="AJ12" i="28"/>
  <c r="AL12" i="28" s="1"/>
  <c r="AI12" i="28"/>
  <c r="AK12" i="28" s="1"/>
  <c r="AF12" i="28"/>
  <c r="AH12" i="28" s="1"/>
  <c r="AE12" i="28"/>
  <c r="AG12" i="28" s="1"/>
  <c r="AB12" i="28"/>
  <c r="AD12" i="28" s="1"/>
  <c r="AA12" i="28"/>
  <c r="AC12" i="28" s="1"/>
  <c r="X12" i="28"/>
  <c r="Z12" i="28" s="1"/>
  <c r="W12" i="28"/>
  <c r="Y12" i="28" s="1"/>
  <c r="T12" i="28"/>
  <c r="V12" i="28" s="1"/>
  <c r="S12" i="28"/>
  <c r="U12" i="28" s="1"/>
  <c r="P12" i="28"/>
  <c r="R12" i="28" s="1"/>
  <c r="O12" i="28"/>
  <c r="Q12" i="28" s="1"/>
  <c r="L12" i="28"/>
  <c r="N12" i="28" s="1"/>
  <c r="K12" i="28"/>
  <c r="M12" i="28" s="1"/>
  <c r="H12" i="28"/>
  <c r="J12" i="28" s="1"/>
  <c r="G12" i="28"/>
  <c r="I12" i="28" s="1"/>
  <c r="E12" i="28"/>
  <c r="D12" i="28"/>
  <c r="C12" i="28"/>
  <c r="AV11" i="28"/>
  <c r="AX11" i="28" s="1"/>
  <c r="AU11" i="28"/>
  <c r="AW11" i="28" s="1"/>
  <c r="AR11" i="28"/>
  <c r="AT11" i="28" s="1"/>
  <c r="AQ11" i="28"/>
  <c r="AS11" i="28" s="1"/>
  <c r="AN11" i="28"/>
  <c r="AP11" i="28" s="1"/>
  <c r="AM11" i="28"/>
  <c r="AO11" i="28" s="1"/>
  <c r="AJ11" i="28"/>
  <c r="AL11" i="28" s="1"/>
  <c r="AI11" i="28"/>
  <c r="AK11" i="28" s="1"/>
  <c r="AF11" i="28"/>
  <c r="AH11" i="28" s="1"/>
  <c r="AE11" i="28"/>
  <c r="AG11" i="28" s="1"/>
  <c r="AB11" i="28"/>
  <c r="AD11" i="28" s="1"/>
  <c r="AA11" i="28"/>
  <c r="AC11" i="28" s="1"/>
  <c r="X11" i="28"/>
  <c r="Z11" i="28" s="1"/>
  <c r="W11" i="28"/>
  <c r="Y11" i="28" s="1"/>
  <c r="T11" i="28"/>
  <c r="V11" i="28" s="1"/>
  <c r="S11" i="28"/>
  <c r="U11" i="28" s="1"/>
  <c r="P11" i="28"/>
  <c r="R11" i="28" s="1"/>
  <c r="O11" i="28"/>
  <c r="Q11" i="28" s="1"/>
  <c r="L11" i="28"/>
  <c r="N11" i="28" s="1"/>
  <c r="K11" i="28"/>
  <c r="M11" i="28" s="1"/>
  <c r="H11" i="28"/>
  <c r="J11" i="28" s="1"/>
  <c r="G11" i="28"/>
  <c r="I11" i="28" s="1"/>
  <c r="E11" i="28"/>
  <c r="D11" i="28"/>
  <c r="C11" i="28"/>
  <c r="AV10" i="28"/>
  <c r="AX10" i="28" s="1"/>
  <c r="AU10" i="28"/>
  <c r="AW10" i="28" s="1"/>
  <c r="AR10" i="28"/>
  <c r="AT10" i="28" s="1"/>
  <c r="AQ10" i="28"/>
  <c r="AS10" i="28" s="1"/>
  <c r="AN10" i="28"/>
  <c r="AP10" i="28" s="1"/>
  <c r="AM10" i="28"/>
  <c r="AO10" i="28" s="1"/>
  <c r="AJ10" i="28"/>
  <c r="AL10" i="28" s="1"/>
  <c r="AI10" i="28"/>
  <c r="AK10" i="28" s="1"/>
  <c r="AF10" i="28"/>
  <c r="AH10" i="28" s="1"/>
  <c r="AE10" i="28"/>
  <c r="AG10" i="28" s="1"/>
  <c r="AB10" i="28"/>
  <c r="AD10" i="28" s="1"/>
  <c r="AA10" i="28"/>
  <c r="AC10" i="28" s="1"/>
  <c r="X10" i="28"/>
  <c r="Z10" i="28" s="1"/>
  <c r="W10" i="28"/>
  <c r="Y10" i="28" s="1"/>
  <c r="T10" i="28"/>
  <c r="V10" i="28" s="1"/>
  <c r="S10" i="28"/>
  <c r="U10" i="28" s="1"/>
  <c r="P10" i="28"/>
  <c r="R10" i="28" s="1"/>
  <c r="O10" i="28"/>
  <c r="Q10" i="28" s="1"/>
  <c r="L10" i="28"/>
  <c r="N10" i="28" s="1"/>
  <c r="K10" i="28"/>
  <c r="M10" i="28" s="1"/>
  <c r="H10" i="28"/>
  <c r="J10" i="28" s="1"/>
  <c r="G10" i="28"/>
  <c r="I10" i="28" s="1"/>
  <c r="E10" i="28"/>
  <c r="D10" i="28"/>
  <c r="C10" i="28"/>
  <c r="AV9" i="28"/>
  <c r="AX9" i="28" s="1"/>
  <c r="AU9" i="28"/>
  <c r="AW9" i="28" s="1"/>
  <c r="AR9" i="28"/>
  <c r="AT9" i="28" s="1"/>
  <c r="AQ9" i="28"/>
  <c r="AS9" i="28" s="1"/>
  <c r="AN9" i="28"/>
  <c r="AP9" i="28" s="1"/>
  <c r="AM9" i="28"/>
  <c r="AO9" i="28" s="1"/>
  <c r="AJ9" i="28"/>
  <c r="AL9" i="28" s="1"/>
  <c r="AI9" i="28"/>
  <c r="AK9" i="28" s="1"/>
  <c r="AF9" i="28"/>
  <c r="AH9" i="28" s="1"/>
  <c r="AE9" i="28"/>
  <c r="AG9" i="28" s="1"/>
  <c r="AB9" i="28"/>
  <c r="AD9" i="28" s="1"/>
  <c r="AA9" i="28"/>
  <c r="AC9" i="28" s="1"/>
  <c r="X9" i="28"/>
  <c r="Z9" i="28" s="1"/>
  <c r="W9" i="28"/>
  <c r="Y9" i="28" s="1"/>
  <c r="T9" i="28"/>
  <c r="V9" i="28" s="1"/>
  <c r="S9" i="28"/>
  <c r="U9" i="28" s="1"/>
  <c r="P9" i="28"/>
  <c r="R9" i="28" s="1"/>
  <c r="O9" i="28"/>
  <c r="Q9" i="28" s="1"/>
  <c r="L9" i="28"/>
  <c r="N9" i="28" s="1"/>
  <c r="K9" i="28"/>
  <c r="M9" i="28" s="1"/>
  <c r="H9" i="28"/>
  <c r="J9" i="28" s="1"/>
  <c r="G9" i="28"/>
  <c r="I9" i="28" s="1"/>
  <c r="E9" i="28"/>
  <c r="D9" i="28"/>
  <c r="C9" i="28"/>
  <c r="AV8" i="28"/>
  <c r="AX8" i="28" s="1"/>
  <c r="AU8" i="28"/>
  <c r="AW8" i="28" s="1"/>
  <c r="AR8" i="28"/>
  <c r="AT8" i="28" s="1"/>
  <c r="AQ8" i="28"/>
  <c r="AS8" i="28" s="1"/>
  <c r="AN8" i="28"/>
  <c r="AP8" i="28" s="1"/>
  <c r="AM8" i="28"/>
  <c r="AO8" i="28" s="1"/>
  <c r="AJ8" i="28"/>
  <c r="AL8" i="28" s="1"/>
  <c r="AI8" i="28"/>
  <c r="AK8" i="28" s="1"/>
  <c r="AF8" i="28"/>
  <c r="AH8" i="28" s="1"/>
  <c r="AE8" i="28"/>
  <c r="AG8" i="28" s="1"/>
  <c r="AB8" i="28"/>
  <c r="AD8" i="28" s="1"/>
  <c r="AA8" i="28"/>
  <c r="AC8" i="28" s="1"/>
  <c r="X8" i="28"/>
  <c r="Z8" i="28" s="1"/>
  <c r="W8" i="28"/>
  <c r="Y8" i="28" s="1"/>
  <c r="T8" i="28"/>
  <c r="V8" i="28" s="1"/>
  <c r="S8" i="28"/>
  <c r="U8" i="28" s="1"/>
  <c r="P8" i="28"/>
  <c r="R8" i="28" s="1"/>
  <c r="O8" i="28"/>
  <c r="Q8" i="28" s="1"/>
  <c r="L8" i="28"/>
  <c r="N8" i="28" s="1"/>
  <c r="K8" i="28"/>
  <c r="M8" i="28" s="1"/>
  <c r="H8" i="28"/>
  <c r="J8" i="28" s="1"/>
  <c r="G8" i="28"/>
  <c r="I8" i="28" s="1"/>
  <c r="E8" i="28"/>
  <c r="D8" i="28"/>
  <c r="C8" i="28"/>
  <c r="AV7" i="28"/>
  <c r="AX7" i="28" s="1"/>
  <c r="AU7" i="28"/>
  <c r="AW7" i="28" s="1"/>
  <c r="AR7" i="28"/>
  <c r="AT7" i="28" s="1"/>
  <c r="AQ7" i="28"/>
  <c r="AS7" i="28" s="1"/>
  <c r="AN7" i="28"/>
  <c r="AP7" i="28" s="1"/>
  <c r="AM7" i="28"/>
  <c r="AO7" i="28" s="1"/>
  <c r="AJ7" i="28"/>
  <c r="AL7" i="28" s="1"/>
  <c r="AI7" i="28"/>
  <c r="AK7" i="28" s="1"/>
  <c r="AF7" i="28"/>
  <c r="AH7" i="28" s="1"/>
  <c r="AE7" i="28"/>
  <c r="AG7" i="28" s="1"/>
  <c r="AB7" i="28"/>
  <c r="AD7" i="28" s="1"/>
  <c r="AA7" i="28"/>
  <c r="AC7" i="28" s="1"/>
  <c r="X7" i="28"/>
  <c r="Z7" i="28" s="1"/>
  <c r="W7" i="28"/>
  <c r="Y7" i="28" s="1"/>
  <c r="T7" i="28"/>
  <c r="V7" i="28" s="1"/>
  <c r="S7" i="28"/>
  <c r="U7" i="28" s="1"/>
  <c r="P7" i="28"/>
  <c r="R7" i="28" s="1"/>
  <c r="O7" i="28"/>
  <c r="Q7" i="28" s="1"/>
  <c r="L7" i="28"/>
  <c r="N7" i="28" s="1"/>
  <c r="K7" i="28"/>
  <c r="M7" i="28" s="1"/>
  <c r="H7" i="28"/>
  <c r="J7" i="28" s="1"/>
  <c r="G7" i="28"/>
  <c r="I7" i="28" s="1"/>
  <c r="E7" i="28"/>
  <c r="D7" i="28"/>
  <c r="C7" i="28"/>
  <c r="AV6" i="28"/>
  <c r="AX6" i="28" s="1"/>
  <c r="AU6" i="28"/>
  <c r="AW6" i="28" s="1"/>
  <c r="AR6" i="28"/>
  <c r="AT6" i="28" s="1"/>
  <c r="AQ6" i="28"/>
  <c r="AS6" i="28" s="1"/>
  <c r="AN6" i="28"/>
  <c r="AP6" i="28" s="1"/>
  <c r="AM6" i="28"/>
  <c r="AO6" i="28" s="1"/>
  <c r="AJ6" i="28"/>
  <c r="AL6" i="28" s="1"/>
  <c r="AI6" i="28"/>
  <c r="AK6" i="28" s="1"/>
  <c r="AF6" i="28"/>
  <c r="AH6" i="28" s="1"/>
  <c r="AE6" i="28"/>
  <c r="AG6" i="28" s="1"/>
  <c r="AB6" i="28"/>
  <c r="AD6" i="28" s="1"/>
  <c r="AA6" i="28"/>
  <c r="AC6" i="28" s="1"/>
  <c r="X6" i="28"/>
  <c r="Z6" i="28" s="1"/>
  <c r="W6" i="28"/>
  <c r="Y6" i="28" s="1"/>
  <c r="T6" i="28"/>
  <c r="V6" i="28" s="1"/>
  <c r="S6" i="28"/>
  <c r="U6" i="28" s="1"/>
  <c r="P6" i="28"/>
  <c r="R6" i="28" s="1"/>
  <c r="O6" i="28"/>
  <c r="Q6" i="28" s="1"/>
  <c r="L6" i="28"/>
  <c r="N6" i="28" s="1"/>
  <c r="K6" i="28"/>
  <c r="M6" i="28" s="1"/>
  <c r="H6" i="28"/>
  <c r="J6" i="28" s="1"/>
  <c r="G6" i="28"/>
  <c r="I6" i="28" s="1"/>
  <c r="E6" i="28"/>
  <c r="D6" i="28"/>
  <c r="C6" i="28"/>
  <c r="AV5" i="28"/>
  <c r="AX5" i="28" s="1"/>
  <c r="AU5" i="28"/>
  <c r="AW5" i="28" s="1"/>
  <c r="AR5" i="28"/>
  <c r="AT5" i="28" s="1"/>
  <c r="AQ5" i="28"/>
  <c r="AS5" i="28" s="1"/>
  <c r="AN5" i="28"/>
  <c r="AP5" i="28" s="1"/>
  <c r="AM5" i="28"/>
  <c r="AO5" i="28" s="1"/>
  <c r="AJ5" i="28"/>
  <c r="AL5" i="28" s="1"/>
  <c r="AI5" i="28"/>
  <c r="AK5" i="28" s="1"/>
  <c r="AF5" i="28"/>
  <c r="AH5" i="28" s="1"/>
  <c r="AE5" i="28"/>
  <c r="AG5" i="28" s="1"/>
  <c r="AB5" i="28"/>
  <c r="AD5" i="28" s="1"/>
  <c r="AA5" i="28"/>
  <c r="AC5" i="28" s="1"/>
  <c r="X5" i="28"/>
  <c r="Z5" i="28" s="1"/>
  <c r="W5" i="28"/>
  <c r="Y5" i="28" s="1"/>
  <c r="T5" i="28"/>
  <c r="V5" i="28" s="1"/>
  <c r="S5" i="28"/>
  <c r="U5" i="28" s="1"/>
  <c r="P5" i="28"/>
  <c r="R5" i="28" s="1"/>
  <c r="O5" i="28"/>
  <c r="Q5" i="28" s="1"/>
  <c r="L5" i="28"/>
  <c r="N5" i="28" s="1"/>
  <c r="K5" i="28"/>
  <c r="M5" i="28" s="1"/>
  <c r="H5" i="28"/>
  <c r="J5" i="28" s="1"/>
  <c r="G5" i="28"/>
  <c r="I5" i="28" s="1"/>
  <c r="E5" i="28"/>
  <c r="D5" i="28"/>
  <c r="C5" i="28"/>
  <c r="AV4" i="28"/>
  <c r="AX4" i="28" s="1"/>
  <c r="AU4" i="28"/>
  <c r="AW4" i="28" s="1"/>
  <c r="AR4" i="28"/>
  <c r="AT4" i="28" s="1"/>
  <c r="AQ4" i="28"/>
  <c r="AS4" i="28" s="1"/>
  <c r="AN4" i="28"/>
  <c r="AP4" i="28" s="1"/>
  <c r="AM4" i="28"/>
  <c r="AO4" i="28" s="1"/>
  <c r="AJ4" i="28"/>
  <c r="AL4" i="28" s="1"/>
  <c r="AI4" i="28"/>
  <c r="AK4" i="28" s="1"/>
  <c r="AF4" i="28"/>
  <c r="AH4" i="28" s="1"/>
  <c r="AE4" i="28"/>
  <c r="AG4" i="28" s="1"/>
  <c r="AB4" i="28"/>
  <c r="AD4" i="28" s="1"/>
  <c r="AA4" i="28"/>
  <c r="AC4" i="28" s="1"/>
  <c r="X4" i="28"/>
  <c r="Z4" i="28" s="1"/>
  <c r="W4" i="28"/>
  <c r="Y4" i="28" s="1"/>
  <c r="T4" i="28"/>
  <c r="V4" i="28" s="1"/>
  <c r="S4" i="28"/>
  <c r="U4" i="28" s="1"/>
  <c r="P4" i="28"/>
  <c r="R4" i="28" s="1"/>
  <c r="O4" i="28"/>
  <c r="Q4" i="28" s="1"/>
  <c r="L4" i="28"/>
  <c r="N4" i="28" s="1"/>
  <c r="K4" i="28"/>
  <c r="M4" i="28" s="1"/>
  <c r="H4" i="28"/>
  <c r="J4" i="28" s="1"/>
  <c r="G4" i="28"/>
  <c r="I4" i="28" s="1"/>
  <c r="E4" i="28"/>
  <c r="D4" i="28"/>
  <c r="C4" i="28"/>
  <c r="AV3" i="28"/>
  <c r="AX3" i="28" s="1"/>
  <c r="AU3" i="28"/>
  <c r="AW3" i="28" s="1"/>
  <c r="AR3" i="28"/>
  <c r="AT3" i="28" s="1"/>
  <c r="AQ3" i="28"/>
  <c r="AS3" i="28" s="1"/>
  <c r="AN3" i="28"/>
  <c r="AP3" i="28" s="1"/>
  <c r="AM3" i="28"/>
  <c r="AO3" i="28" s="1"/>
  <c r="AJ3" i="28"/>
  <c r="AL3" i="28" s="1"/>
  <c r="AI3" i="28"/>
  <c r="AK3" i="28" s="1"/>
  <c r="AF3" i="28"/>
  <c r="AH3" i="28" s="1"/>
  <c r="AE3" i="28"/>
  <c r="AG3" i="28" s="1"/>
  <c r="AB3" i="28"/>
  <c r="AD3" i="28" s="1"/>
  <c r="AA3" i="28"/>
  <c r="AC3" i="28" s="1"/>
  <c r="X3" i="28"/>
  <c r="Z3" i="28" s="1"/>
  <c r="W3" i="28"/>
  <c r="Y3" i="28" s="1"/>
  <c r="T3" i="28"/>
  <c r="V3" i="28" s="1"/>
  <c r="S3" i="28"/>
  <c r="U3" i="28" s="1"/>
  <c r="P3" i="28"/>
  <c r="R3" i="28" s="1"/>
  <c r="O3" i="28"/>
  <c r="Q3" i="28" s="1"/>
  <c r="L3" i="28"/>
  <c r="N3" i="28" s="1"/>
  <c r="K3" i="28"/>
  <c r="M3" i="28" s="1"/>
  <c r="H3" i="28"/>
  <c r="J3" i="28" s="1"/>
  <c r="G3" i="28"/>
  <c r="I3" i="28" s="1"/>
  <c r="E3" i="28"/>
  <c r="D3" i="28"/>
  <c r="C3" i="28"/>
  <c r="AV50" i="27"/>
  <c r="AX50" i="27" s="1"/>
  <c r="AU50" i="27"/>
  <c r="AW50" i="27" s="1"/>
  <c r="AR50" i="27"/>
  <c r="AT50" i="27" s="1"/>
  <c r="AQ50" i="27"/>
  <c r="AS50" i="27" s="1"/>
  <c r="AN50" i="27"/>
  <c r="AP50" i="27" s="1"/>
  <c r="AM50" i="27"/>
  <c r="AO50" i="27" s="1"/>
  <c r="AJ50" i="27"/>
  <c r="AL50" i="27" s="1"/>
  <c r="AI50" i="27"/>
  <c r="AK50" i="27" s="1"/>
  <c r="AF50" i="27"/>
  <c r="AH50" i="27" s="1"/>
  <c r="AE50" i="27"/>
  <c r="AG50" i="27" s="1"/>
  <c r="AB50" i="27"/>
  <c r="AD50" i="27" s="1"/>
  <c r="AA50" i="27"/>
  <c r="AC50" i="27" s="1"/>
  <c r="X50" i="27"/>
  <c r="Z50" i="27" s="1"/>
  <c r="W50" i="27"/>
  <c r="Y50" i="27" s="1"/>
  <c r="T50" i="27"/>
  <c r="V50" i="27" s="1"/>
  <c r="S50" i="27"/>
  <c r="U50" i="27" s="1"/>
  <c r="P50" i="27"/>
  <c r="R50" i="27" s="1"/>
  <c r="O50" i="27"/>
  <c r="Q50" i="27" s="1"/>
  <c r="L50" i="27"/>
  <c r="N50" i="27" s="1"/>
  <c r="K50" i="27"/>
  <c r="M50" i="27" s="1"/>
  <c r="H50" i="27"/>
  <c r="J50" i="27" s="1"/>
  <c r="G50" i="27"/>
  <c r="I50" i="27" s="1"/>
  <c r="E50" i="27"/>
  <c r="D50" i="27"/>
  <c r="C50" i="27"/>
  <c r="AV49" i="27"/>
  <c r="AX49" i="27" s="1"/>
  <c r="AU49" i="27"/>
  <c r="AW49" i="27" s="1"/>
  <c r="AR49" i="27"/>
  <c r="AT49" i="27" s="1"/>
  <c r="AQ49" i="27"/>
  <c r="AS49" i="27" s="1"/>
  <c r="AN49" i="27"/>
  <c r="AP49" i="27" s="1"/>
  <c r="AM49" i="27"/>
  <c r="AO49" i="27" s="1"/>
  <c r="AJ49" i="27"/>
  <c r="AL49" i="27" s="1"/>
  <c r="AI49" i="27"/>
  <c r="AK49" i="27" s="1"/>
  <c r="AF49" i="27"/>
  <c r="AH49" i="27" s="1"/>
  <c r="AE49" i="27"/>
  <c r="AG49" i="27" s="1"/>
  <c r="AB49" i="27"/>
  <c r="AD49" i="27" s="1"/>
  <c r="AA49" i="27"/>
  <c r="AC49" i="27" s="1"/>
  <c r="X49" i="27"/>
  <c r="Z49" i="27" s="1"/>
  <c r="W49" i="27"/>
  <c r="Y49" i="27" s="1"/>
  <c r="T49" i="27"/>
  <c r="V49" i="27" s="1"/>
  <c r="S49" i="27"/>
  <c r="U49" i="27" s="1"/>
  <c r="P49" i="27"/>
  <c r="R49" i="27" s="1"/>
  <c r="O49" i="27"/>
  <c r="Q49" i="27" s="1"/>
  <c r="L49" i="27"/>
  <c r="N49" i="27" s="1"/>
  <c r="K49" i="27"/>
  <c r="M49" i="27" s="1"/>
  <c r="H49" i="27"/>
  <c r="J49" i="27" s="1"/>
  <c r="G49" i="27"/>
  <c r="I49" i="27" s="1"/>
  <c r="E49" i="27"/>
  <c r="D49" i="27"/>
  <c r="C49" i="27"/>
  <c r="AV48" i="27"/>
  <c r="AX48" i="27" s="1"/>
  <c r="AU48" i="27"/>
  <c r="AW48" i="27" s="1"/>
  <c r="AR48" i="27"/>
  <c r="AT48" i="27" s="1"/>
  <c r="AQ48" i="27"/>
  <c r="AS48" i="27" s="1"/>
  <c r="AN48" i="27"/>
  <c r="AP48" i="27" s="1"/>
  <c r="AM48" i="27"/>
  <c r="AO48" i="27" s="1"/>
  <c r="AJ48" i="27"/>
  <c r="AL48" i="27" s="1"/>
  <c r="AI48" i="27"/>
  <c r="AK48" i="27" s="1"/>
  <c r="AF48" i="27"/>
  <c r="AH48" i="27" s="1"/>
  <c r="AE48" i="27"/>
  <c r="AG48" i="27" s="1"/>
  <c r="AB48" i="27"/>
  <c r="AD48" i="27" s="1"/>
  <c r="AA48" i="27"/>
  <c r="AC48" i="27" s="1"/>
  <c r="X48" i="27"/>
  <c r="Z48" i="27" s="1"/>
  <c r="W48" i="27"/>
  <c r="Y48" i="27" s="1"/>
  <c r="T48" i="27"/>
  <c r="V48" i="27" s="1"/>
  <c r="S48" i="27"/>
  <c r="U48" i="27" s="1"/>
  <c r="P48" i="27"/>
  <c r="R48" i="27" s="1"/>
  <c r="O48" i="27"/>
  <c r="Q48" i="27" s="1"/>
  <c r="L48" i="27"/>
  <c r="N48" i="27" s="1"/>
  <c r="K48" i="27"/>
  <c r="M48" i="27" s="1"/>
  <c r="H48" i="27"/>
  <c r="J48" i="27" s="1"/>
  <c r="G48" i="27"/>
  <c r="I48" i="27" s="1"/>
  <c r="E48" i="27"/>
  <c r="D48" i="27"/>
  <c r="C48" i="27"/>
  <c r="AV47" i="27"/>
  <c r="AX47" i="27" s="1"/>
  <c r="AU47" i="27"/>
  <c r="AW47" i="27" s="1"/>
  <c r="AR47" i="27"/>
  <c r="AT47" i="27" s="1"/>
  <c r="AQ47" i="27"/>
  <c r="AS47" i="27" s="1"/>
  <c r="AN47" i="27"/>
  <c r="AP47" i="27" s="1"/>
  <c r="AM47" i="27"/>
  <c r="AO47" i="27" s="1"/>
  <c r="AJ47" i="27"/>
  <c r="AL47" i="27" s="1"/>
  <c r="AI47" i="27"/>
  <c r="AK47" i="27" s="1"/>
  <c r="AF47" i="27"/>
  <c r="AH47" i="27" s="1"/>
  <c r="AE47" i="27"/>
  <c r="AG47" i="27" s="1"/>
  <c r="AB47" i="27"/>
  <c r="AD47" i="27" s="1"/>
  <c r="AA47" i="27"/>
  <c r="AC47" i="27" s="1"/>
  <c r="X47" i="27"/>
  <c r="Z47" i="27" s="1"/>
  <c r="W47" i="27"/>
  <c r="Y47" i="27" s="1"/>
  <c r="T47" i="27"/>
  <c r="V47" i="27" s="1"/>
  <c r="S47" i="27"/>
  <c r="U47" i="27" s="1"/>
  <c r="P47" i="27"/>
  <c r="R47" i="27" s="1"/>
  <c r="O47" i="27"/>
  <c r="Q47" i="27" s="1"/>
  <c r="L47" i="27"/>
  <c r="N47" i="27" s="1"/>
  <c r="K47" i="27"/>
  <c r="M47" i="27" s="1"/>
  <c r="H47" i="27"/>
  <c r="J47" i="27" s="1"/>
  <c r="G47" i="27"/>
  <c r="I47" i="27" s="1"/>
  <c r="E47" i="27"/>
  <c r="D47" i="27"/>
  <c r="C47" i="27"/>
  <c r="AV46" i="27"/>
  <c r="AX46" i="27" s="1"/>
  <c r="AU46" i="27"/>
  <c r="AW46" i="27" s="1"/>
  <c r="AR46" i="27"/>
  <c r="AT46" i="27" s="1"/>
  <c r="AQ46" i="27"/>
  <c r="AS46" i="27" s="1"/>
  <c r="AN46" i="27"/>
  <c r="AP46" i="27" s="1"/>
  <c r="AM46" i="27"/>
  <c r="AO46" i="27" s="1"/>
  <c r="AJ46" i="27"/>
  <c r="AL46" i="27" s="1"/>
  <c r="AI46" i="27"/>
  <c r="AK46" i="27" s="1"/>
  <c r="AF46" i="27"/>
  <c r="AH46" i="27" s="1"/>
  <c r="AE46" i="27"/>
  <c r="AG46" i="27" s="1"/>
  <c r="AB46" i="27"/>
  <c r="AD46" i="27" s="1"/>
  <c r="AA46" i="27"/>
  <c r="AC46" i="27" s="1"/>
  <c r="X46" i="27"/>
  <c r="Z46" i="27" s="1"/>
  <c r="W46" i="27"/>
  <c r="Y46" i="27" s="1"/>
  <c r="T46" i="27"/>
  <c r="V46" i="27" s="1"/>
  <c r="S46" i="27"/>
  <c r="U46" i="27" s="1"/>
  <c r="P46" i="27"/>
  <c r="R46" i="27" s="1"/>
  <c r="O46" i="27"/>
  <c r="Q46" i="27" s="1"/>
  <c r="L46" i="27"/>
  <c r="N46" i="27" s="1"/>
  <c r="K46" i="27"/>
  <c r="M46" i="27" s="1"/>
  <c r="H46" i="27"/>
  <c r="J46" i="27" s="1"/>
  <c r="G46" i="27"/>
  <c r="I46" i="27" s="1"/>
  <c r="E46" i="27"/>
  <c r="D46" i="27"/>
  <c r="C46" i="27"/>
  <c r="AV45" i="27"/>
  <c r="AX45" i="27" s="1"/>
  <c r="AU45" i="27"/>
  <c r="AW45" i="27" s="1"/>
  <c r="AR45" i="27"/>
  <c r="AT45" i="27" s="1"/>
  <c r="AQ45" i="27"/>
  <c r="AS45" i="27" s="1"/>
  <c r="AN45" i="27"/>
  <c r="AP45" i="27" s="1"/>
  <c r="AM45" i="27"/>
  <c r="AO45" i="27" s="1"/>
  <c r="AJ45" i="27"/>
  <c r="AL45" i="27" s="1"/>
  <c r="AI45" i="27"/>
  <c r="AK45" i="27" s="1"/>
  <c r="AF45" i="27"/>
  <c r="AH45" i="27" s="1"/>
  <c r="AE45" i="27"/>
  <c r="AG45" i="27" s="1"/>
  <c r="AB45" i="27"/>
  <c r="AD45" i="27" s="1"/>
  <c r="AA45" i="27"/>
  <c r="AC45" i="27" s="1"/>
  <c r="X45" i="27"/>
  <c r="Z45" i="27" s="1"/>
  <c r="W45" i="27"/>
  <c r="Y45" i="27" s="1"/>
  <c r="T45" i="27"/>
  <c r="V45" i="27" s="1"/>
  <c r="S45" i="27"/>
  <c r="U45" i="27" s="1"/>
  <c r="P45" i="27"/>
  <c r="R45" i="27" s="1"/>
  <c r="O45" i="27"/>
  <c r="Q45" i="27" s="1"/>
  <c r="L45" i="27"/>
  <c r="N45" i="27" s="1"/>
  <c r="K45" i="27"/>
  <c r="M45" i="27" s="1"/>
  <c r="H45" i="27"/>
  <c r="J45" i="27" s="1"/>
  <c r="G45" i="27"/>
  <c r="I45" i="27" s="1"/>
  <c r="E45" i="27"/>
  <c r="D45" i="27"/>
  <c r="C45" i="27"/>
  <c r="AV44" i="27"/>
  <c r="AX44" i="27" s="1"/>
  <c r="AU44" i="27"/>
  <c r="AW44" i="27" s="1"/>
  <c r="AR44" i="27"/>
  <c r="AT44" i="27" s="1"/>
  <c r="AQ44" i="27"/>
  <c r="AS44" i="27" s="1"/>
  <c r="AN44" i="27"/>
  <c r="AP44" i="27" s="1"/>
  <c r="AM44" i="27"/>
  <c r="AO44" i="27" s="1"/>
  <c r="AJ44" i="27"/>
  <c r="AL44" i="27" s="1"/>
  <c r="AI44" i="27"/>
  <c r="AK44" i="27" s="1"/>
  <c r="AF44" i="27"/>
  <c r="AH44" i="27" s="1"/>
  <c r="AE44" i="27"/>
  <c r="AG44" i="27" s="1"/>
  <c r="AB44" i="27"/>
  <c r="AD44" i="27" s="1"/>
  <c r="AA44" i="27"/>
  <c r="AC44" i="27" s="1"/>
  <c r="X44" i="27"/>
  <c r="Z44" i="27" s="1"/>
  <c r="W44" i="27"/>
  <c r="Y44" i="27" s="1"/>
  <c r="T44" i="27"/>
  <c r="V44" i="27" s="1"/>
  <c r="S44" i="27"/>
  <c r="U44" i="27" s="1"/>
  <c r="P44" i="27"/>
  <c r="R44" i="27" s="1"/>
  <c r="O44" i="27"/>
  <c r="Q44" i="27" s="1"/>
  <c r="L44" i="27"/>
  <c r="N44" i="27" s="1"/>
  <c r="K44" i="27"/>
  <c r="M44" i="27" s="1"/>
  <c r="H44" i="27"/>
  <c r="J44" i="27" s="1"/>
  <c r="G44" i="27"/>
  <c r="I44" i="27" s="1"/>
  <c r="E44" i="27"/>
  <c r="D44" i="27"/>
  <c r="C44" i="27"/>
  <c r="AV43" i="27"/>
  <c r="AX43" i="27" s="1"/>
  <c r="AU43" i="27"/>
  <c r="AW43" i="27" s="1"/>
  <c r="AR43" i="27"/>
  <c r="AT43" i="27" s="1"/>
  <c r="AQ43" i="27"/>
  <c r="AS43" i="27" s="1"/>
  <c r="AO43" i="27"/>
  <c r="AN43" i="27"/>
  <c r="AP43" i="27" s="1"/>
  <c r="AM43" i="27"/>
  <c r="AJ43" i="27"/>
  <c r="AL43" i="27" s="1"/>
  <c r="AI43" i="27"/>
  <c r="AK43" i="27" s="1"/>
  <c r="AF43" i="27"/>
  <c r="AH43" i="27" s="1"/>
  <c r="AE43" i="27"/>
  <c r="AG43" i="27" s="1"/>
  <c r="AB43" i="27"/>
  <c r="AD43" i="27" s="1"/>
  <c r="AA43" i="27"/>
  <c r="AC43" i="27" s="1"/>
  <c r="X43" i="27"/>
  <c r="Z43" i="27" s="1"/>
  <c r="W43" i="27"/>
  <c r="Y43" i="27" s="1"/>
  <c r="T43" i="27"/>
  <c r="V43" i="27" s="1"/>
  <c r="S43" i="27"/>
  <c r="U43" i="27" s="1"/>
  <c r="P43" i="27"/>
  <c r="R43" i="27" s="1"/>
  <c r="O43" i="27"/>
  <c r="Q43" i="27" s="1"/>
  <c r="L43" i="27"/>
  <c r="N43" i="27" s="1"/>
  <c r="K43" i="27"/>
  <c r="M43" i="27" s="1"/>
  <c r="H43" i="27"/>
  <c r="J43" i="27" s="1"/>
  <c r="G43" i="27"/>
  <c r="I43" i="27" s="1"/>
  <c r="E43" i="27"/>
  <c r="D43" i="27"/>
  <c r="C43" i="27"/>
  <c r="AV42" i="27"/>
  <c r="AX42" i="27" s="1"/>
  <c r="AU42" i="27"/>
  <c r="AW42" i="27" s="1"/>
  <c r="AR42" i="27"/>
  <c r="AT42" i="27" s="1"/>
  <c r="AQ42" i="27"/>
  <c r="AS42" i="27" s="1"/>
  <c r="AN42" i="27"/>
  <c r="AP42" i="27" s="1"/>
  <c r="AM42" i="27"/>
  <c r="AO42" i="27" s="1"/>
  <c r="AJ42" i="27"/>
  <c r="AL42" i="27" s="1"/>
  <c r="AI42" i="27"/>
  <c r="AK42" i="27" s="1"/>
  <c r="AF42" i="27"/>
  <c r="AH42" i="27" s="1"/>
  <c r="AE42" i="27"/>
  <c r="AG42" i="27" s="1"/>
  <c r="AB42" i="27"/>
  <c r="AD42" i="27" s="1"/>
  <c r="AA42" i="27"/>
  <c r="AC42" i="27" s="1"/>
  <c r="X42" i="27"/>
  <c r="Z42" i="27" s="1"/>
  <c r="W42" i="27"/>
  <c r="Y42" i="27" s="1"/>
  <c r="T42" i="27"/>
  <c r="V42" i="27" s="1"/>
  <c r="S42" i="27"/>
  <c r="U42" i="27" s="1"/>
  <c r="P42" i="27"/>
  <c r="R42" i="27" s="1"/>
  <c r="O42" i="27"/>
  <c r="Q42" i="27" s="1"/>
  <c r="L42" i="27"/>
  <c r="N42" i="27" s="1"/>
  <c r="K42" i="27"/>
  <c r="M42" i="27" s="1"/>
  <c r="H42" i="27"/>
  <c r="J42" i="27" s="1"/>
  <c r="G42" i="27"/>
  <c r="I42" i="27" s="1"/>
  <c r="E42" i="27"/>
  <c r="D42" i="27"/>
  <c r="C42" i="27"/>
  <c r="AV41" i="27"/>
  <c r="AX41" i="27" s="1"/>
  <c r="AU41" i="27"/>
  <c r="AW41" i="27" s="1"/>
  <c r="AR41" i="27"/>
  <c r="AT41" i="27" s="1"/>
  <c r="AQ41" i="27"/>
  <c r="AS41" i="27" s="1"/>
  <c r="AN41" i="27"/>
  <c r="AP41" i="27" s="1"/>
  <c r="AM41" i="27"/>
  <c r="AO41" i="27" s="1"/>
  <c r="AJ41" i="27"/>
  <c r="AL41" i="27" s="1"/>
  <c r="AI41" i="27"/>
  <c r="AK41" i="27" s="1"/>
  <c r="AF41" i="27"/>
  <c r="AH41" i="27" s="1"/>
  <c r="AE41" i="27"/>
  <c r="AG41" i="27" s="1"/>
  <c r="AB41" i="27"/>
  <c r="AD41" i="27" s="1"/>
  <c r="AA41" i="27"/>
  <c r="AC41" i="27" s="1"/>
  <c r="X41" i="27"/>
  <c r="Z41" i="27" s="1"/>
  <c r="W41" i="27"/>
  <c r="Y41" i="27" s="1"/>
  <c r="T41" i="27"/>
  <c r="V41" i="27" s="1"/>
  <c r="S41" i="27"/>
  <c r="U41" i="27" s="1"/>
  <c r="P41" i="27"/>
  <c r="R41" i="27" s="1"/>
  <c r="O41" i="27"/>
  <c r="Q41" i="27" s="1"/>
  <c r="L41" i="27"/>
  <c r="N41" i="27" s="1"/>
  <c r="K41" i="27"/>
  <c r="M41" i="27" s="1"/>
  <c r="H41" i="27"/>
  <c r="J41" i="27" s="1"/>
  <c r="G41" i="27"/>
  <c r="I41" i="27" s="1"/>
  <c r="E41" i="27"/>
  <c r="D41" i="27"/>
  <c r="C41" i="27"/>
  <c r="AV40" i="27"/>
  <c r="AX40" i="27" s="1"/>
  <c r="AU40" i="27"/>
  <c r="AW40" i="27" s="1"/>
  <c r="AR40" i="27"/>
  <c r="AT40" i="27" s="1"/>
  <c r="AQ40" i="27"/>
  <c r="AS40" i="27" s="1"/>
  <c r="AN40" i="27"/>
  <c r="AP40" i="27" s="1"/>
  <c r="AM40" i="27"/>
  <c r="AO40" i="27" s="1"/>
  <c r="AJ40" i="27"/>
  <c r="AL40" i="27" s="1"/>
  <c r="AI40" i="27"/>
  <c r="AK40" i="27" s="1"/>
  <c r="AF40" i="27"/>
  <c r="AH40" i="27" s="1"/>
  <c r="AE40" i="27"/>
  <c r="AG40" i="27" s="1"/>
  <c r="AB40" i="27"/>
  <c r="AD40" i="27" s="1"/>
  <c r="AA40" i="27"/>
  <c r="AC40" i="27" s="1"/>
  <c r="X40" i="27"/>
  <c r="Z40" i="27" s="1"/>
  <c r="W40" i="27"/>
  <c r="Y40" i="27" s="1"/>
  <c r="T40" i="27"/>
  <c r="V40" i="27" s="1"/>
  <c r="S40" i="27"/>
  <c r="U40" i="27" s="1"/>
  <c r="P40" i="27"/>
  <c r="R40" i="27" s="1"/>
  <c r="O40" i="27"/>
  <c r="Q40" i="27" s="1"/>
  <c r="L40" i="27"/>
  <c r="N40" i="27" s="1"/>
  <c r="K40" i="27"/>
  <c r="M40" i="27" s="1"/>
  <c r="H40" i="27"/>
  <c r="J40" i="27" s="1"/>
  <c r="G40" i="27"/>
  <c r="I40" i="27" s="1"/>
  <c r="E40" i="27"/>
  <c r="D40" i="27"/>
  <c r="C40" i="27"/>
  <c r="AV39" i="27"/>
  <c r="AX39" i="27" s="1"/>
  <c r="AU39" i="27"/>
  <c r="AW39" i="27" s="1"/>
  <c r="AR39" i="27"/>
  <c r="AT39" i="27" s="1"/>
  <c r="AQ39" i="27"/>
  <c r="AS39" i="27" s="1"/>
  <c r="AN39" i="27"/>
  <c r="AP39" i="27" s="1"/>
  <c r="AM39" i="27"/>
  <c r="AO39" i="27" s="1"/>
  <c r="AJ39" i="27"/>
  <c r="AL39" i="27" s="1"/>
  <c r="AI39" i="27"/>
  <c r="AK39" i="27" s="1"/>
  <c r="AF39" i="27"/>
  <c r="AH39" i="27" s="1"/>
  <c r="AE39" i="27"/>
  <c r="AG39" i="27" s="1"/>
  <c r="AB39" i="27"/>
  <c r="AD39" i="27" s="1"/>
  <c r="AA39" i="27"/>
  <c r="AC39" i="27" s="1"/>
  <c r="X39" i="27"/>
  <c r="Z39" i="27" s="1"/>
  <c r="W39" i="27"/>
  <c r="Y39" i="27" s="1"/>
  <c r="T39" i="27"/>
  <c r="V39" i="27" s="1"/>
  <c r="S39" i="27"/>
  <c r="U39" i="27" s="1"/>
  <c r="P39" i="27"/>
  <c r="R39" i="27" s="1"/>
  <c r="O39" i="27"/>
  <c r="Q39" i="27" s="1"/>
  <c r="L39" i="27"/>
  <c r="N39" i="27" s="1"/>
  <c r="K39" i="27"/>
  <c r="M39" i="27" s="1"/>
  <c r="H39" i="27"/>
  <c r="J39" i="27" s="1"/>
  <c r="G39" i="27"/>
  <c r="I39" i="27" s="1"/>
  <c r="E39" i="27"/>
  <c r="D39" i="27"/>
  <c r="C39" i="27"/>
  <c r="AV38" i="27"/>
  <c r="AX38" i="27" s="1"/>
  <c r="AU38" i="27"/>
  <c r="AW38" i="27" s="1"/>
  <c r="AR38" i="27"/>
  <c r="AT38" i="27" s="1"/>
  <c r="AQ38" i="27"/>
  <c r="AS38" i="27" s="1"/>
  <c r="AN38" i="27"/>
  <c r="AP38" i="27" s="1"/>
  <c r="AM38" i="27"/>
  <c r="AO38" i="27" s="1"/>
  <c r="AJ38" i="27"/>
  <c r="AL38" i="27" s="1"/>
  <c r="AI38" i="27"/>
  <c r="AK38" i="27" s="1"/>
  <c r="AF38" i="27"/>
  <c r="AH38" i="27" s="1"/>
  <c r="AE38" i="27"/>
  <c r="AG38" i="27" s="1"/>
  <c r="AB38" i="27"/>
  <c r="AD38" i="27" s="1"/>
  <c r="AA38" i="27"/>
  <c r="AC38" i="27" s="1"/>
  <c r="X38" i="27"/>
  <c r="Z38" i="27" s="1"/>
  <c r="W38" i="27"/>
  <c r="Y38" i="27" s="1"/>
  <c r="T38" i="27"/>
  <c r="V38" i="27" s="1"/>
  <c r="S38" i="27"/>
  <c r="U38" i="27" s="1"/>
  <c r="P38" i="27"/>
  <c r="R38" i="27" s="1"/>
  <c r="O38" i="27"/>
  <c r="Q38" i="27" s="1"/>
  <c r="L38" i="27"/>
  <c r="N38" i="27" s="1"/>
  <c r="K38" i="27"/>
  <c r="M38" i="27" s="1"/>
  <c r="H38" i="27"/>
  <c r="J38" i="27" s="1"/>
  <c r="G38" i="27"/>
  <c r="I38" i="27" s="1"/>
  <c r="E38" i="27"/>
  <c r="D38" i="27"/>
  <c r="C38" i="27"/>
  <c r="AV37" i="27"/>
  <c r="AX37" i="27" s="1"/>
  <c r="AU37" i="27"/>
  <c r="AW37" i="27" s="1"/>
  <c r="AR37" i="27"/>
  <c r="AT37" i="27" s="1"/>
  <c r="AQ37" i="27"/>
  <c r="AS37" i="27" s="1"/>
  <c r="AN37" i="27"/>
  <c r="AP37" i="27" s="1"/>
  <c r="AM37" i="27"/>
  <c r="AO37" i="27" s="1"/>
  <c r="AJ37" i="27"/>
  <c r="AL37" i="27" s="1"/>
  <c r="AI37" i="27"/>
  <c r="AK37" i="27" s="1"/>
  <c r="AF37" i="27"/>
  <c r="AH37" i="27" s="1"/>
  <c r="AE37" i="27"/>
  <c r="AG37" i="27" s="1"/>
  <c r="AB37" i="27"/>
  <c r="AD37" i="27" s="1"/>
  <c r="AA37" i="27"/>
  <c r="AC37" i="27" s="1"/>
  <c r="X37" i="27"/>
  <c r="Z37" i="27" s="1"/>
  <c r="W37" i="27"/>
  <c r="Y37" i="27" s="1"/>
  <c r="T37" i="27"/>
  <c r="V37" i="27" s="1"/>
  <c r="S37" i="27"/>
  <c r="U37" i="27" s="1"/>
  <c r="P37" i="27"/>
  <c r="R37" i="27" s="1"/>
  <c r="O37" i="27"/>
  <c r="Q37" i="27" s="1"/>
  <c r="L37" i="27"/>
  <c r="N37" i="27" s="1"/>
  <c r="K37" i="27"/>
  <c r="M37" i="27" s="1"/>
  <c r="H37" i="27"/>
  <c r="J37" i="27" s="1"/>
  <c r="G37" i="27"/>
  <c r="I37" i="27" s="1"/>
  <c r="E37" i="27"/>
  <c r="D37" i="27"/>
  <c r="C37" i="27"/>
  <c r="AV36" i="27"/>
  <c r="AX36" i="27" s="1"/>
  <c r="AU36" i="27"/>
  <c r="AW36" i="27" s="1"/>
  <c r="AR36" i="27"/>
  <c r="AT36" i="27" s="1"/>
  <c r="AQ36" i="27"/>
  <c r="AS36" i="27" s="1"/>
  <c r="AN36" i="27"/>
  <c r="AP36" i="27" s="1"/>
  <c r="AM36" i="27"/>
  <c r="AO36" i="27" s="1"/>
  <c r="AJ36" i="27"/>
  <c r="AL36" i="27" s="1"/>
  <c r="AI36" i="27"/>
  <c r="AK36" i="27" s="1"/>
  <c r="AF36" i="27"/>
  <c r="AH36" i="27" s="1"/>
  <c r="AE36" i="27"/>
  <c r="AG36" i="27" s="1"/>
  <c r="AB36" i="27"/>
  <c r="AD36" i="27" s="1"/>
  <c r="AA36" i="27"/>
  <c r="AC36" i="27" s="1"/>
  <c r="X36" i="27"/>
  <c r="Z36" i="27" s="1"/>
  <c r="W36" i="27"/>
  <c r="Y36" i="27" s="1"/>
  <c r="T36" i="27"/>
  <c r="V36" i="27" s="1"/>
  <c r="S36" i="27"/>
  <c r="U36" i="27" s="1"/>
  <c r="P36" i="27"/>
  <c r="R36" i="27" s="1"/>
  <c r="O36" i="27"/>
  <c r="Q36" i="27" s="1"/>
  <c r="L36" i="27"/>
  <c r="N36" i="27" s="1"/>
  <c r="K36" i="27"/>
  <c r="M36" i="27" s="1"/>
  <c r="H36" i="27"/>
  <c r="J36" i="27" s="1"/>
  <c r="G36" i="27"/>
  <c r="I36" i="27" s="1"/>
  <c r="E36" i="27"/>
  <c r="D36" i="27"/>
  <c r="C36" i="27"/>
  <c r="AV35" i="27"/>
  <c r="AX35" i="27" s="1"/>
  <c r="AU35" i="27"/>
  <c r="AW35" i="27" s="1"/>
  <c r="AR35" i="27"/>
  <c r="AT35" i="27" s="1"/>
  <c r="AQ35" i="27"/>
  <c r="AS35" i="27" s="1"/>
  <c r="AN35" i="27"/>
  <c r="AP35" i="27" s="1"/>
  <c r="AM35" i="27"/>
  <c r="AO35" i="27" s="1"/>
  <c r="AJ35" i="27"/>
  <c r="AL35" i="27" s="1"/>
  <c r="AI35" i="27"/>
  <c r="AK35" i="27" s="1"/>
  <c r="AF35" i="27"/>
  <c r="AH35" i="27" s="1"/>
  <c r="AE35" i="27"/>
  <c r="AG35" i="27" s="1"/>
  <c r="AB35" i="27"/>
  <c r="AD35" i="27" s="1"/>
  <c r="AA35" i="27"/>
  <c r="AC35" i="27" s="1"/>
  <c r="X35" i="27"/>
  <c r="Z35" i="27" s="1"/>
  <c r="W35" i="27"/>
  <c r="Y35" i="27" s="1"/>
  <c r="T35" i="27"/>
  <c r="V35" i="27" s="1"/>
  <c r="S35" i="27"/>
  <c r="U35" i="27" s="1"/>
  <c r="P35" i="27"/>
  <c r="R35" i="27" s="1"/>
  <c r="O35" i="27"/>
  <c r="Q35" i="27" s="1"/>
  <c r="L35" i="27"/>
  <c r="N35" i="27" s="1"/>
  <c r="K35" i="27"/>
  <c r="M35" i="27" s="1"/>
  <c r="H35" i="27"/>
  <c r="J35" i="27" s="1"/>
  <c r="G35" i="27"/>
  <c r="I35" i="27" s="1"/>
  <c r="E35" i="27"/>
  <c r="D35" i="27"/>
  <c r="C35" i="27"/>
  <c r="AV34" i="27"/>
  <c r="AX34" i="27" s="1"/>
  <c r="AU34" i="27"/>
  <c r="AW34" i="27" s="1"/>
  <c r="AR34" i="27"/>
  <c r="AT34" i="27" s="1"/>
  <c r="AQ34" i="27"/>
  <c r="AS34" i="27" s="1"/>
  <c r="AN34" i="27"/>
  <c r="AP34" i="27" s="1"/>
  <c r="AM34" i="27"/>
  <c r="AO34" i="27" s="1"/>
  <c r="AJ34" i="27"/>
  <c r="AL34" i="27" s="1"/>
  <c r="AI34" i="27"/>
  <c r="AK34" i="27" s="1"/>
  <c r="AF34" i="27"/>
  <c r="AH34" i="27" s="1"/>
  <c r="AE34" i="27"/>
  <c r="AG34" i="27" s="1"/>
  <c r="AB34" i="27"/>
  <c r="AD34" i="27" s="1"/>
  <c r="AA34" i="27"/>
  <c r="AC34" i="27" s="1"/>
  <c r="X34" i="27"/>
  <c r="Z34" i="27" s="1"/>
  <c r="W34" i="27"/>
  <c r="Y34" i="27" s="1"/>
  <c r="T34" i="27"/>
  <c r="V34" i="27" s="1"/>
  <c r="S34" i="27"/>
  <c r="U34" i="27" s="1"/>
  <c r="P34" i="27"/>
  <c r="R34" i="27" s="1"/>
  <c r="O34" i="27"/>
  <c r="Q34" i="27" s="1"/>
  <c r="L34" i="27"/>
  <c r="N34" i="27" s="1"/>
  <c r="K34" i="27"/>
  <c r="M34" i="27" s="1"/>
  <c r="H34" i="27"/>
  <c r="J34" i="27" s="1"/>
  <c r="G34" i="27"/>
  <c r="I34" i="27" s="1"/>
  <c r="E34" i="27"/>
  <c r="D34" i="27"/>
  <c r="C34" i="27"/>
  <c r="AV33" i="27"/>
  <c r="AX33" i="27" s="1"/>
  <c r="AU33" i="27"/>
  <c r="AW33" i="27" s="1"/>
  <c r="AR33" i="27"/>
  <c r="AT33" i="27" s="1"/>
  <c r="AQ33" i="27"/>
  <c r="AS33" i="27" s="1"/>
  <c r="AN33" i="27"/>
  <c r="AP33" i="27" s="1"/>
  <c r="AM33" i="27"/>
  <c r="AO33" i="27" s="1"/>
  <c r="AJ33" i="27"/>
  <c r="AL33" i="27" s="1"/>
  <c r="AI33" i="27"/>
  <c r="AK33" i="27" s="1"/>
  <c r="AF33" i="27"/>
  <c r="AH33" i="27" s="1"/>
  <c r="AE33" i="27"/>
  <c r="AG33" i="27" s="1"/>
  <c r="AB33" i="27"/>
  <c r="AD33" i="27" s="1"/>
  <c r="AA33" i="27"/>
  <c r="AC33" i="27" s="1"/>
  <c r="X33" i="27"/>
  <c r="Z33" i="27" s="1"/>
  <c r="W33" i="27"/>
  <c r="Y33" i="27" s="1"/>
  <c r="T33" i="27"/>
  <c r="V33" i="27" s="1"/>
  <c r="S33" i="27"/>
  <c r="U33" i="27" s="1"/>
  <c r="P33" i="27"/>
  <c r="R33" i="27" s="1"/>
  <c r="O33" i="27"/>
  <c r="Q33" i="27" s="1"/>
  <c r="L33" i="27"/>
  <c r="N33" i="27" s="1"/>
  <c r="K33" i="27"/>
  <c r="M33" i="27" s="1"/>
  <c r="H33" i="27"/>
  <c r="J33" i="27" s="1"/>
  <c r="G33" i="27"/>
  <c r="I33" i="27" s="1"/>
  <c r="E33" i="27"/>
  <c r="D33" i="27"/>
  <c r="C33" i="27"/>
  <c r="AV32" i="27"/>
  <c r="AX32" i="27" s="1"/>
  <c r="AU32" i="27"/>
  <c r="AW32" i="27" s="1"/>
  <c r="AR32" i="27"/>
  <c r="AT32" i="27" s="1"/>
  <c r="AQ32" i="27"/>
  <c r="AS32" i="27" s="1"/>
  <c r="AN32" i="27"/>
  <c r="AP32" i="27" s="1"/>
  <c r="AM32" i="27"/>
  <c r="AO32" i="27" s="1"/>
  <c r="AJ32" i="27"/>
  <c r="AL32" i="27" s="1"/>
  <c r="AI32" i="27"/>
  <c r="AK32" i="27" s="1"/>
  <c r="AF32" i="27"/>
  <c r="AH32" i="27" s="1"/>
  <c r="AE32" i="27"/>
  <c r="AG32" i="27" s="1"/>
  <c r="AB32" i="27"/>
  <c r="AD32" i="27" s="1"/>
  <c r="AA32" i="27"/>
  <c r="AC32" i="27" s="1"/>
  <c r="X32" i="27"/>
  <c r="Z32" i="27" s="1"/>
  <c r="W32" i="27"/>
  <c r="Y32" i="27" s="1"/>
  <c r="T32" i="27"/>
  <c r="V32" i="27" s="1"/>
  <c r="S32" i="27"/>
  <c r="U32" i="27" s="1"/>
  <c r="P32" i="27"/>
  <c r="R32" i="27" s="1"/>
  <c r="O32" i="27"/>
  <c r="Q32" i="27" s="1"/>
  <c r="L32" i="27"/>
  <c r="N32" i="27" s="1"/>
  <c r="K32" i="27"/>
  <c r="M32" i="27" s="1"/>
  <c r="H32" i="27"/>
  <c r="J32" i="27" s="1"/>
  <c r="G32" i="27"/>
  <c r="I32" i="27" s="1"/>
  <c r="E32" i="27"/>
  <c r="D32" i="27"/>
  <c r="C32" i="27"/>
  <c r="AV31" i="27"/>
  <c r="AX31" i="27" s="1"/>
  <c r="AU31" i="27"/>
  <c r="AW31" i="27" s="1"/>
  <c r="AR31" i="27"/>
  <c r="AT31" i="27" s="1"/>
  <c r="AQ31" i="27"/>
  <c r="AS31" i="27" s="1"/>
  <c r="AN31" i="27"/>
  <c r="AP31" i="27" s="1"/>
  <c r="AM31" i="27"/>
  <c r="AO31" i="27" s="1"/>
  <c r="AJ31" i="27"/>
  <c r="AL31" i="27" s="1"/>
  <c r="AI31" i="27"/>
  <c r="AK31" i="27" s="1"/>
  <c r="AF31" i="27"/>
  <c r="AH31" i="27" s="1"/>
  <c r="AE31" i="27"/>
  <c r="AG31" i="27" s="1"/>
  <c r="AB31" i="27"/>
  <c r="AD31" i="27" s="1"/>
  <c r="AA31" i="27"/>
  <c r="AC31" i="27" s="1"/>
  <c r="X31" i="27"/>
  <c r="Z31" i="27" s="1"/>
  <c r="W31" i="27"/>
  <c r="Y31" i="27" s="1"/>
  <c r="T31" i="27"/>
  <c r="V31" i="27" s="1"/>
  <c r="S31" i="27"/>
  <c r="U31" i="27" s="1"/>
  <c r="P31" i="27"/>
  <c r="R31" i="27" s="1"/>
  <c r="O31" i="27"/>
  <c r="Q31" i="27" s="1"/>
  <c r="L31" i="27"/>
  <c r="N31" i="27" s="1"/>
  <c r="K31" i="27"/>
  <c r="M31" i="27" s="1"/>
  <c r="H31" i="27"/>
  <c r="J31" i="27" s="1"/>
  <c r="G31" i="27"/>
  <c r="I31" i="27" s="1"/>
  <c r="E31" i="27"/>
  <c r="D31" i="27"/>
  <c r="C31" i="27"/>
  <c r="AV30" i="27"/>
  <c r="AX30" i="27" s="1"/>
  <c r="AU30" i="27"/>
  <c r="AW30" i="27" s="1"/>
  <c r="AR30" i="27"/>
  <c r="AT30" i="27" s="1"/>
  <c r="AQ30" i="27"/>
  <c r="AS30" i="27" s="1"/>
  <c r="AN30" i="27"/>
  <c r="AP30" i="27" s="1"/>
  <c r="AM30" i="27"/>
  <c r="AO30" i="27" s="1"/>
  <c r="AJ30" i="27"/>
  <c r="AL30" i="27" s="1"/>
  <c r="AI30" i="27"/>
  <c r="AK30" i="27" s="1"/>
  <c r="AF30" i="27"/>
  <c r="AH30" i="27" s="1"/>
  <c r="AE30" i="27"/>
  <c r="AG30" i="27" s="1"/>
  <c r="AB30" i="27"/>
  <c r="AD30" i="27" s="1"/>
  <c r="AA30" i="27"/>
  <c r="AC30" i="27" s="1"/>
  <c r="X30" i="27"/>
  <c r="Z30" i="27" s="1"/>
  <c r="W30" i="27"/>
  <c r="Y30" i="27" s="1"/>
  <c r="T30" i="27"/>
  <c r="V30" i="27" s="1"/>
  <c r="S30" i="27"/>
  <c r="U30" i="27" s="1"/>
  <c r="P30" i="27"/>
  <c r="R30" i="27" s="1"/>
  <c r="O30" i="27"/>
  <c r="Q30" i="27" s="1"/>
  <c r="L30" i="27"/>
  <c r="N30" i="27" s="1"/>
  <c r="K30" i="27"/>
  <c r="M30" i="27" s="1"/>
  <c r="H30" i="27"/>
  <c r="J30" i="27" s="1"/>
  <c r="G30" i="27"/>
  <c r="I30" i="27" s="1"/>
  <c r="E30" i="27"/>
  <c r="D30" i="27"/>
  <c r="C30" i="27"/>
  <c r="AV29" i="27"/>
  <c r="AX29" i="27" s="1"/>
  <c r="AU29" i="27"/>
  <c r="AW29" i="27" s="1"/>
  <c r="AR29" i="27"/>
  <c r="AT29" i="27" s="1"/>
  <c r="AQ29" i="27"/>
  <c r="AS29" i="27" s="1"/>
  <c r="AN29" i="27"/>
  <c r="AP29" i="27" s="1"/>
  <c r="AM29" i="27"/>
  <c r="AO29" i="27" s="1"/>
  <c r="AJ29" i="27"/>
  <c r="AL29" i="27" s="1"/>
  <c r="AI29" i="27"/>
  <c r="AK29" i="27" s="1"/>
  <c r="AF29" i="27"/>
  <c r="AH29" i="27" s="1"/>
  <c r="AE29" i="27"/>
  <c r="AG29" i="27" s="1"/>
  <c r="AB29" i="27"/>
  <c r="AD29" i="27" s="1"/>
  <c r="AA29" i="27"/>
  <c r="AC29" i="27" s="1"/>
  <c r="X29" i="27"/>
  <c r="Z29" i="27" s="1"/>
  <c r="W29" i="27"/>
  <c r="Y29" i="27" s="1"/>
  <c r="T29" i="27"/>
  <c r="V29" i="27" s="1"/>
  <c r="S29" i="27"/>
  <c r="U29" i="27" s="1"/>
  <c r="P29" i="27"/>
  <c r="R29" i="27" s="1"/>
  <c r="O29" i="27"/>
  <c r="Q29" i="27" s="1"/>
  <c r="L29" i="27"/>
  <c r="N29" i="27" s="1"/>
  <c r="K29" i="27"/>
  <c r="M29" i="27" s="1"/>
  <c r="H29" i="27"/>
  <c r="J29" i="27" s="1"/>
  <c r="G29" i="27"/>
  <c r="I29" i="27" s="1"/>
  <c r="E29" i="27"/>
  <c r="D29" i="27"/>
  <c r="C29" i="27"/>
  <c r="AV28" i="27"/>
  <c r="AX28" i="27" s="1"/>
  <c r="AU28" i="27"/>
  <c r="AW28" i="27" s="1"/>
  <c r="AR28" i="27"/>
  <c r="AT28" i="27" s="1"/>
  <c r="AQ28" i="27"/>
  <c r="AS28" i="27" s="1"/>
  <c r="AN28" i="27"/>
  <c r="AP28" i="27" s="1"/>
  <c r="AM28" i="27"/>
  <c r="AO28" i="27" s="1"/>
  <c r="AJ28" i="27"/>
  <c r="AL28" i="27" s="1"/>
  <c r="AI28" i="27"/>
  <c r="AK28" i="27" s="1"/>
  <c r="AF28" i="27"/>
  <c r="AH28" i="27" s="1"/>
  <c r="AE28" i="27"/>
  <c r="AG28" i="27" s="1"/>
  <c r="AB28" i="27"/>
  <c r="AD28" i="27" s="1"/>
  <c r="AA28" i="27"/>
  <c r="AC28" i="27" s="1"/>
  <c r="X28" i="27"/>
  <c r="Z28" i="27" s="1"/>
  <c r="W28" i="27"/>
  <c r="Y28" i="27" s="1"/>
  <c r="T28" i="27"/>
  <c r="V28" i="27" s="1"/>
  <c r="S28" i="27"/>
  <c r="U28" i="27" s="1"/>
  <c r="P28" i="27"/>
  <c r="R28" i="27" s="1"/>
  <c r="O28" i="27"/>
  <c r="Q28" i="27" s="1"/>
  <c r="L28" i="27"/>
  <c r="N28" i="27" s="1"/>
  <c r="K28" i="27"/>
  <c r="M28" i="27" s="1"/>
  <c r="H28" i="27"/>
  <c r="J28" i="27" s="1"/>
  <c r="G28" i="27"/>
  <c r="I28" i="27" s="1"/>
  <c r="E28" i="27"/>
  <c r="D28" i="27"/>
  <c r="C28" i="27"/>
  <c r="AV27" i="27"/>
  <c r="AX27" i="27" s="1"/>
  <c r="AU27" i="27"/>
  <c r="AW27" i="27" s="1"/>
  <c r="AR27" i="27"/>
  <c r="AT27" i="27" s="1"/>
  <c r="AQ27" i="27"/>
  <c r="AS27" i="27" s="1"/>
  <c r="AN27" i="27"/>
  <c r="AP27" i="27" s="1"/>
  <c r="AM27" i="27"/>
  <c r="AO27" i="27" s="1"/>
  <c r="AJ27" i="27"/>
  <c r="AL27" i="27" s="1"/>
  <c r="AI27" i="27"/>
  <c r="AK27" i="27" s="1"/>
  <c r="AF27" i="27"/>
  <c r="AH27" i="27" s="1"/>
  <c r="AE27" i="27"/>
  <c r="AG27" i="27" s="1"/>
  <c r="AB27" i="27"/>
  <c r="AD27" i="27" s="1"/>
  <c r="AA27" i="27"/>
  <c r="AC27" i="27" s="1"/>
  <c r="X27" i="27"/>
  <c r="Z27" i="27" s="1"/>
  <c r="W27" i="27"/>
  <c r="Y27" i="27" s="1"/>
  <c r="T27" i="27"/>
  <c r="V27" i="27" s="1"/>
  <c r="S27" i="27"/>
  <c r="U27" i="27" s="1"/>
  <c r="P27" i="27"/>
  <c r="R27" i="27" s="1"/>
  <c r="O27" i="27"/>
  <c r="Q27" i="27" s="1"/>
  <c r="L27" i="27"/>
  <c r="N27" i="27" s="1"/>
  <c r="K27" i="27"/>
  <c r="M27" i="27" s="1"/>
  <c r="H27" i="27"/>
  <c r="J27" i="27" s="1"/>
  <c r="G27" i="27"/>
  <c r="I27" i="27" s="1"/>
  <c r="E27" i="27"/>
  <c r="D27" i="27"/>
  <c r="C27" i="27"/>
  <c r="AV26" i="27"/>
  <c r="AX26" i="27" s="1"/>
  <c r="AU26" i="27"/>
  <c r="AW26" i="27" s="1"/>
  <c r="AR26" i="27"/>
  <c r="AT26" i="27" s="1"/>
  <c r="AQ26" i="27"/>
  <c r="AS26" i="27" s="1"/>
  <c r="AN26" i="27"/>
  <c r="AP26" i="27" s="1"/>
  <c r="AM26" i="27"/>
  <c r="AO26" i="27" s="1"/>
  <c r="AJ26" i="27"/>
  <c r="AL26" i="27" s="1"/>
  <c r="AI26" i="27"/>
  <c r="AK26" i="27" s="1"/>
  <c r="AF26" i="27"/>
  <c r="AH26" i="27" s="1"/>
  <c r="AE26" i="27"/>
  <c r="AG26" i="27" s="1"/>
  <c r="AB26" i="27"/>
  <c r="AD26" i="27" s="1"/>
  <c r="AA26" i="27"/>
  <c r="AC26" i="27" s="1"/>
  <c r="X26" i="27"/>
  <c r="Z26" i="27" s="1"/>
  <c r="W26" i="27"/>
  <c r="Y26" i="27" s="1"/>
  <c r="T26" i="27"/>
  <c r="V26" i="27" s="1"/>
  <c r="S26" i="27"/>
  <c r="U26" i="27" s="1"/>
  <c r="P26" i="27"/>
  <c r="R26" i="27" s="1"/>
  <c r="O26" i="27"/>
  <c r="Q26" i="27" s="1"/>
  <c r="L26" i="27"/>
  <c r="N26" i="27" s="1"/>
  <c r="K26" i="27"/>
  <c r="M26" i="27" s="1"/>
  <c r="H26" i="27"/>
  <c r="J26" i="27" s="1"/>
  <c r="G26" i="27"/>
  <c r="I26" i="27" s="1"/>
  <c r="E26" i="27"/>
  <c r="D26" i="27"/>
  <c r="C26" i="27"/>
  <c r="AV25" i="27"/>
  <c r="AX25" i="27" s="1"/>
  <c r="AU25" i="27"/>
  <c r="AW25" i="27" s="1"/>
  <c r="AR25" i="27"/>
  <c r="AT25" i="27" s="1"/>
  <c r="AQ25" i="27"/>
  <c r="AS25" i="27" s="1"/>
  <c r="AN25" i="27"/>
  <c r="AP25" i="27" s="1"/>
  <c r="AM25" i="27"/>
  <c r="AO25" i="27" s="1"/>
  <c r="AJ25" i="27"/>
  <c r="AL25" i="27" s="1"/>
  <c r="AI25" i="27"/>
  <c r="AK25" i="27" s="1"/>
  <c r="AF25" i="27"/>
  <c r="AH25" i="27" s="1"/>
  <c r="AE25" i="27"/>
  <c r="AG25" i="27" s="1"/>
  <c r="AB25" i="27"/>
  <c r="AD25" i="27" s="1"/>
  <c r="AA25" i="27"/>
  <c r="AC25" i="27" s="1"/>
  <c r="X25" i="27"/>
  <c r="Z25" i="27" s="1"/>
  <c r="W25" i="27"/>
  <c r="Y25" i="27" s="1"/>
  <c r="T25" i="27"/>
  <c r="V25" i="27" s="1"/>
  <c r="S25" i="27"/>
  <c r="U25" i="27" s="1"/>
  <c r="P25" i="27"/>
  <c r="R25" i="27" s="1"/>
  <c r="O25" i="27"/>
  <c r="Q25" i="27" s="1"/>
  <c r="L25" i="27"/>
  <c r="N25" i="27" s="1"/>
  <c r="K25" i="27"/>
  <c r="M25" i="27" s="1"/>
  <c r="H25" i="27"/>
  <c r="J25" i="27" s="1"/>
  <c r="G25" i="27"/>
  <c r="I25" i="27" s="1"/>
  <c r="E25" i="27"/>
  <c r="D25" i="27"/>
  <c r="C25" i="27"/>
  <c r="AV24" i="27"/>
  <c r="AX24" i="27" s="1"/>
  <c r="AU24" i="27"/>
  <c r="AW24" i="27" s="1"/>
  <c r="AR24" i="27"/>
  <c r="AT24" i="27" s="1"/>
  <c r="AQ24" i="27"/>
  <c r="AS24" i="27" s="1"/>
  <c r="AN24" i="27"/>
  <c r="AP24" i="27" s="1"/>
  <c r="AM24" i="27"/>
  <c r="AO24" i="27" s="1"/>
  <c r="AJ24" i="27"/>
  <c r="AL24" i="27" s="1"/>
  <c r="AI24" i="27"/>
  <c r="AK24" i="27" s="1"/>
  <c r="AF24" i="27"/>
  <c r="AH24" i="27" s="1"/>
  <c r="AE24" i="27"/>
  <c r="AG24" i="27" s="1"/>
  <c r="AB24" i="27"/>
  <c r="AD24" i="27" s="1"/>
  <c r="AA24" i="27"/>
  <c r="AC24" i="27" s="1"/>
  <c r="X24" i="27"/>
  <c r="Z24" i="27" s="1"/>
  <c r="W24" i="27"/>
  <c r="Y24" i="27" s="1"/>
  <c r="T24" i="27"/>
  <c r="V24" i="27" s="1"/>
  <c r="S24" i="27"/>
  <c r="U24" i="27" s="1"/>
  <c r="P24" i="27"/>
  <c r="R24" i="27" s="1"/>
  <c r="O24" i="27"/>
  <c r="Q24" i="27" s="1"/>
  <c r="L24" i="27"/>
  <c r="N24" i="27" s="1"/>
  <c r="K24" i="27"/>
  <c r="M24" i="27" s="1"/>
  <c r="H24" i="27"/>
  <c r="J24" i="27" s="1"/>
  <c r="G24" i="27"/>
  <c r="I24" i="27" s="1"/>
  <c r="E24" i="27"/>
  <c r="D24" i="27"/>
  <c r="C24" i="27"/>
  <c r="AV23" i="27"/>
  <c r="AX23" i="27" s="1"/>
  <c r="AU23" i="27"/>
  <c r="AW23" i="27" s="1"/>
  <c r="AR23" i="27"/>
  <c r="AT23" i="27" s="1"/>
  <c r="AQ23" i="27"/>
  <c r="AS23" i="27" s="1"/>
  <c r="AN23" i="27"/>
  <c r="AP23" i="27" s="1"/>
  <c r="AM23" i="27"/>
  <c r="AO23" i="27" s="1"/>
  <c r="AJ23" i="27"/>
  <c r="AL23" i="27" s="1"/>
  <c r="AI23" i="27"/>
  <c r="AK23" i="27" s="1"/>
  <c r="AF23" i="27"/>
  <c r="AH23" i="27" s="1"/>
  <c r="AE23" i="27"/>
  <c r="AG23" i="27" s="1"/>
  <c r="AB23" i="27"/>
  <c r="AD23" i="27" s="1"/>
  <c r="AA23" i="27"/>
  <c r="AC23" i="27" s="1"/>
  <c r="X23" i="27"/>
  <c r="Z23" i="27" s="1"/>
  <c r="W23" i="27"/>
  <c r="Y23" i="27" s="1"/>
  <c r="T23" i="27"/>
  <c r="V23" i="27" s="1"/>
  <c r="S23" i="27"/>
  <c r="U23" i="27" s="1"/>
  <c r="P23" i="27"/>
  <c r="R23" i="27" s="1"/>
  <c r="O23" i="27"/>
  <c r="Q23" i="27" s="1"/>
  <c r="L23" i="27"/>
  <c r="N23" i="27" s="1"/>
  <c r="K23" i="27"/>
  <c r="M23" i="27" s="1"/>
  <c r="H23" i="27"/>
  <c r="J23" i="27" s="1"/>
  <c r="G23" i="27"/>
  <c r="I23" i="27" s="1"/>
  <c r="E23" i="27"/>
  <c r="D23" i="27"/>
  <c r="C23" i="27"/>
  <c r="AV22" i="27"/>
  <c r="AX22" i="27" s="1"/>
  <c r="AU22" i="27"/>
  <c r="AW22" i="27" s="1"/>
  <c r="AR22" i="27"/>
  <c r="AT22" i="27" s="1"/>
  <c r="AQ22" i="27"/>
  <c r="AS22" i="27" s="1"/>
  <c r="AN22" i="27"/>
  <c r="AP22" i="27" s="1"/>
  <c r="AM22" i="27"/>
  <c r="AO22" i="27" s="1"/>
  <c r="AJ22" i="27"/>
  <c r="AL22" i="27" s="1"/>
  <c r="AI22" i="27"/>
  <c r="AK22" i="27" s="1"/>
  <c r="AF22" i="27"/>
  <c r="AH22" i="27" s="1"/>
  <c r="AE22" i="27"/>
  <c r="AG22" i="27" s="1"/>
  <c r="AB22" i="27"/>
  <c r="AD22" i="27" s="1"/>
  <c r="AA22" i="27"/>
  <c r="AC22" i="27" s="1"/>
  <c r="X22" i="27"/>
  <c r="Z22" i="27" s="1"/>
  <c r="W22" i="27"/>
  <c r="Y22" i="27" s="1"/>
  <c r="T22" i="27"/>
  <c r="V22" i="27" s="1"/>
  <c r="S22" i="27"/>
  <c r="U22" i="27" s="1"/>
  <c r="P22" i="27"/>
  <c r="R22" i="27" s="1"/>
  <c r="O22" i="27"/>
  <c r="Q22" i="27" s="1"/>
  <c r="L22" i="27"/>
  <c r="N22" i="27" s="1"/>
  <c r="K22" i="27"/>
  <c r="M22" i="27" s="1"/>
  <c r="H22" i="27"/>
  <c r="J22" i="27" s="1"/>
  <c r="G22" i="27"/>
  <c r="I22" i="27" s="1"/>
  <c r="E22" i="27"/>
  <c r="D22" i="27"/>
  <c r="C22" i="27"/>
  <c r="AV21" i="27"/>
  <c r="AX21" i="27" s="1"/>
  <c r="AU21" i="27"/>
  <c r="AW21" i="27" s="1"/>
  <c r="AR21" i="27"/>
  <c r="AT21" i="27" s="1"/>
  <c r="AQ21" i="27"/>
  <c r="AS21" i="27" s="1"/>
  <c r="AN21" i="27"/>
  <c r="AP21" i="27" s="1"/>
  <c r="AM21" i="27"/>
  <c r="AO21" i="27" s="1"/>
  <c r="AJ21" i="27"/>
  <c r="AL21" i="27" s="1"/>
  <c r="AI21" i="27"/>
  <c r="AK21" i="27" s="1"/>
  <c r="AF21" i="27"/>
  <c r="AH21" i="27" s="1"/>
  <c r="AE21" i="27"/>
  <c r="AG21" i="27" s="1"/>
  <c r="AB21" i="27"/>
  <c r="AD21" i="27" s="1"/>
  <c r="AA21" i="27"/>
  <c r="AC21" i="27" s="1"/>
  <c r="X21" i="27"/>
  <c r="Z21" i="27" s="1"/>
  <c r="W21" i="27"/>
  <c r="Y21" i="27" s="1"/>
  <c r="T21" i="27"/>
  <c r="V21" i="27" s="1"/>
  <c r="S21" i="27"/>
  <c r="U21" i="27" s="1"/>
  <c r="P21" i="27"/>
  <c r="R21" i="27" s="1"/>
  <c r="O21" i="27"/>
  <c r="Q21" i="27" s="1"/>
  <c r="L21" i="27"/>
  <c r="N21" i="27" s="1"/>
  <c r="K21" i="27"/>
  <c r="M21" i="27" s="1"/>
  <c r="H21" i="27"/>
  <c r="J21" i="27" s="1"/>
  <c r="G21" i="27"/>
  <c r="I21" i="27" s="1"/>
  <c r="E21" i="27"/>
  <c r="D21" i="27"/>
  <c r="C21" i="27"/>
  <c r="AV20" i="27"/>
  <c r="AX20" i="27" s="1"/>
  <c r="AU20" i="27"/>
  <c r="AW20" i="27" s="1"/>
  <c r="AR20" i="27"/>
  <c r="AT20" i="27" s="1"/>
  <c r="AQ20" i="27"/>
  <c r="AS20" i="27" s="1"/>
  <c r="AN20" i="27"/>
  <c r="AP20" i="27" s="1"/>
  <c r="AM20" i="27"/>
  <c r="AO20" i="27" s="1"/>
  <c r="AJ20" i="27"/>
  <c r="AL20" i="27" s="1"/>
  <c r="AI20" i="27"/>
  <c r="AK20" i="27" s="1"/>
  <c r="AF20" i="27"/>
  <c r="AH20" i="27" s="1"/>
  <c r="AE20" i="27"/>
  <c r="AG20" i="27" s="1"/>
  <c r="AB20" i="27"/>
  <c r="AD20" i="27" s="1"/>
  <c r="AA20" i="27"/>
  <c r="AC20" i="27" s="1"/>
  <c r="X20" i="27"/>
  <c r="Z20" i="27" s="1"/>
  <c r="W20" i="27"/>
  <c r="Y20" i="27" s="1"/>
  <c r="T20" i="27"/>
  <c r="V20" i="27" s="1"/>
  <c r="S20" i="27"/>
  <c r="U20" i="27" s="1"/>
  <c r="P20" i="27"/>
  <c r="R20" i="27" s="1"/>
  <c r="O20" i="27"/>
  <c r="Q20" i="27" s="1"/>
  <c r="L20" i="27"/>
  <c r="N20" i="27" s="1"/>
  <c r="K20" i="27"/>
  <c r="M20" i="27" s="1"/>
  <c r="H20" i="27"/>
  <c r="J20" i="27" s="1"/>
  <c r="G20" i="27"/>
  <c r="I20" i="27" s="1"/>
  <c r="E20" i="27"/>
  <c r="D20" i="27"/>
  <c r="C20" i="27"/>
  <c r="AV19" i="27"/>
  <c r="AX19" i="27" s="1"/>
  <c r="AU19" i="27"/>
  <c r="AW19" i="27" s="1"/>
  <c r="AR19" i="27"/>
  <c r="AT19" i="27" s="1"/>
  <c r="AQ19" i="27"/>
  <c r="AS19" i="27" s="1"/>
  <c r="AN19" i="27"/>
  <c r="AP19" i="27" s="1"/>
  <c r="AM19" i="27"/>
  <c r="AO19" i="27" s="1"/>
  <c r="AJ19" i="27"/>
  <c r="AL19" i="27" s="1"/>
  <c r="AI19" i="27"/>
  <c r="AK19" i="27" s="1"/>
  <c r="AF19" i="27"/>
  <c r="AH19" i="27" s="1"/>
  <c r="AE19" i="27"/>
  <c r="AG19" i="27" s="1"/>
  <c r="AB19" i="27"/>
  <c r="AD19" i="27" s="1"/>
  <c r="AA19" i="27"/>
  <c r="AC19" i="27" s="1"/>
  <c r="X19" i="27"/>
  <c r="Z19" i="27" s="1"/>
  <c r="W19" i="27"/>
  <c r="Y19" i="27" s="1"/>
  <c r="T19" i="27"/>
  <c r="V19" i="27" s="1"/>
  <c r="S19" i="27"/>
  <c r="U19" i="27" s="1"/>
  <c r="P19" i="27"/>
  <c r="R19" i="27" s="1"/>
  <c r="O19" i="27"/>
  <c r="Q19" i="27" s="1"/>
  <c r="L19" i="27"/>
  <c r="N19" i="27" s="1"/>
  <c r="K19" i="27"/>
  <c r="M19" i="27" s="1"/>
  <c r="H19" i="27"/>
  <c r="J19" i="27" s="1"/>
  <c r="G19" i="27"/>
  <c r="I19" i="27" s="1"/>
  <c r="E19" i="27"/>
  <c r="D19" i="27"/>
  <c r="C19" i="27"/>
  <c r="AV18" i="27"/>
  <c r="AX18" i="27" s="1"/>
  <c r="AU18" i="27"/>
  <c r="AW18" i="27" s="1"/>
  <c r="AR18" i="27"/>
  <c r="AT18" i="27" s="1"/>
  <c r="AQ18" i="27"/>
  <c r="AS18" i="27" s="1"/>
  <c r="AN18" i="27"/>
  <c r="AP18" i="27" s="1"/>
  <c r="AM18" i="27"/>
  <c r="AO18" i="27" s="1"/>
  <c r="AJ18" i="27"/>
  <c r="AL18" i="27" s="1"/>
  <c r="AI18" i="27"/>
  <c r="AK18" i="27" s="1"/>
  <c r="AF18" i="27"/>
  <c r="AH18" i="27" s="1"/>
  <c r="AE18" i="27"/>
  <c r="AG18" i="27" s="1"/>
  <c r="AB18" i="27"/>
  <c r="AD18" i="27" s="1"/>
  <c r="AA18" i="27"/>
  <c r="AC18" i="27" s="1"/>
  <c r="X18" i="27"/>
  <c r="Z18" i="27" s="1"/>
  <c r="W18" i="27"/>
  <c r="Y18" i="27" s="1"/>
  <c r="T18" i="27"/>
  <c r="V18" i="27" s="1"/>
  <c r="S18" i="27"/>
  <c r="U18" i="27" s="1"/>
  <c r="P18" i="27"/>
  <c r="R18" i="27" s="1"/>
  <c r="O18" i="27"/>
  <c r="Q18" i="27" s="1"/>
  <c r="L18" i="27"/>
  <c r="N18" i="27" s="1"/>
  <c r="K18" i="27"/>
  <c r="M18" i="27" s="1"/>
  <c r="H18" i="27"/>
  <c r="J18" i="27" s="1"/>
  <c r="G18" i="27"/>
  <c r="I18" i="27" s="1"/>
  <c r="E18" i="27"/>
  <c r="D18" i="27"/>
  <c r="C18" i="27"/>
  <c r="AV17" i="27"/>
  <c r="AX17" i="27" s="1"/>
  <c r="AU17" i="27"/>
  <c r="AW17" i="27" s="1"/>
  <c r="AR17" i="27"/>
  <c r="AT17" i="27" s="1"/>
  <c r="AQ17" i="27"/>
  <c r="AS17" i="27" s="1"/>
  <c r="AN17" i="27"/>
  <c r="AP17" i="27" s="1"/>
  <c r="AM17" i="27"/>
  <c r="AO17" i="27" s="1"/>
  <c r="AJ17" i="27"/>
  <c r="AL17" i="27" s="1"/>
  <c r="AI17" i="27"/>
  <c r="AK17" i="27" s="1"/>
  <c r="AF17" i="27"/>
  <c r="AH17" i="27" s="1"/>
  <c r="AE17" i="27"/>
  <c r="AG17" i="27" s="1"/>
  <c r="AB17" i="27"/>
  <c r="AD17" i="27" s="1"/>
  <c r="AA17" i="27"/>
  <c r="AC17" i="27" s="1"/>
  <c r="X17" i="27"/>
  <c r="Z17" i="27" s="1"/>
  <c r="W17" i="27"/>
  <c r="Y17" i="27" s="1"/>
  <c r="T17" i="27"/>
  <c r="V17" i="27" s="1"/>
  <c r="S17" i="27"/>
  <c r="U17" i="27" s="1"/>
  <c r="P17" i="27"/>
  <c r="R17" i="27" s="1"/>
  <c r="O17" i="27"/>
  <c r="Q17" i="27" s="1"/>
  <c r="L17" i="27"/>
  <c r="N17" i="27" s="1"/>
  <c r="K17" i="27"/>
  <c r="M17" i="27" s="1"/>
  <c r="H17" i="27"/>
  <c r="J17" i="27" s="1"/>
  <c r="G17" i="27"/>
  <c r="I17" i="27" s="1"/>
  <c r="E17" i="27"/>
  <c r="D17" i="27"/>
  <c r="C17" i="27"/>
  <c r="AV16" i="27"/>
  <c r="AX16" i="27" s="1"/>
  <c r="AU16" i="27"/>
  <c r="AW16" i="27" s="1"/>
  <c r="AR16" i="27"/>
  <c r="AT16" i="27" s="1"/>
  <c r="AQ16" i="27"/>
  <c r="AS16" i="27" s="1"/>
  <c r="AN16" i="27"/>
  <c r="AP16" i="27" s="1"/>
  <c r="AM16" i="27"/>
  <c r="AO16" i="27" s="1"/>
  <c r="AJ16" i="27"/>
  <c r="AL16" i="27" s="1"/>
  <c r="AI16" i="27"/>
  <c r="AK16" i="27" s="1"/>
  <c r="AF16" i="27"/>
  <c r="AH16" i="27" s="1"/>
  <c r="AE16" i="27"/>
  <c r="AG16" i="27" s="1"/>
  <c r="AB16" i="27"/>
  <c r="AD16" i="27" s="1"/>
  <c r="AA16" i="27"/>
  <c r="AC16" i="27" s="1"/>
  <c r="X16" i="27"/>
  <c r="Z16" i="27" s="1"/>
  <c r="W16" i="27"/>
  <c r="Y16" i="27" s="1"/>
  <c r="T16" i="27"/>
  <c r="V16" i="27" s="1"/>
  <c r="S16" i="27"/>
  <c r="U16" i="27" s="1"/>
  <c r="P16" i="27"/>
  <c r="R16" i="27" s="1"/>
  <c r="O16" i="27"/>
  <c r="Q16" i="27" s="1"/>
  <c r="L16" i="27"/>
  <c r="N16" i="27" s="1"/>
  <c r="K16" i="27"/>
  <c r="M16" i="27" s="1"/>
  <c r="H16" i="27"/>
  <c r="J16" i="27" s="1"/>
  <c r="G16" i="27"/>
  <c r="I16" i="27" s="1"/>
  <c r="E16" i="27"/>
  <c r="D16" i="27"/>
  <c r="C16" i="27"/>
  <c r="AV15" i="27"/>
  <c r="AX15" i="27" s="1"/>
  <c r="AU15" i="27"/>
  <c r="AW15" i="27" s="1"/>
  <c r="AR15" i="27"/>
  <c r="AT15" i="27" s="1"/>
  <c r="AQ15" i="27"/>
  <c r="AS15" i="27" s="1"/>
  <c r="AN15" i="27"/>
  <c r="AP15" i="27" s="1"/>
  <c r="AM15" i="27"/>
  <c r="AO15" i="27" s="1"/>
  <c r="AJ15" i="27"/>
  <c r="AL15" i="27" s="1"/>
  <c r="AI15" i="27"/>
  <c r="AK15" i="27" s="1"/>
  <c r="AF15" i="27"/>
  <c r="AH15" i="27" s="1"/>
  <c r="AE15" i="27"/>
  <c r="AG15" i="27" s="1"/>
  <c r="AB15" i="27"/>
  <c r="AD15" i="27" s="1"/>
  <c r="AA15" i="27"/>
  <c r="AC15" i="27" s="1"/>
  <c r="X15" i="27"/>
  <c r="Z15" i="27" s="1"/>
  <c r="W15" i="27"/>
  <c r="Y15" i="27" s="1"/>
  <c r="T15" i="27"/>
  <c r="V15" i="27" s="1"/>
  <c r="S15" i="27"/>
  <c r="U15" i="27" s="1"/>
  <c r="P15" i="27"/>
  <c r="R15" i="27" s="1"/>
  <c r="O15" i="27"/>
  <c r="Q15" i="27" s="1"/>
  <c r="L15" i="27"/>
  <c r="N15" i="27" s="1"/>
  <c r="K15" i="27"/>
  <c r="M15" i="27" s="1"/>
  <c r="H15" i="27"/>
  <c r="J15" i="27" s="1"/>
  <c r="G15" i="27"/>
  <c r="I15" i="27" s="1"/>
  <c r="E15" i="27"/>
  <c r="D15" i="27"/>
  <c r="C15" i="27"/>
  <c r="AV14" i="27"/>
  <c r="AX14" i="27" s="1"/>
  <c r="AU14" i="27"/>
  <c r="AW14" i="27" s="1"/>
  <c r="AR14" i="27"/>
  <c r="AT14" i="27" s="1"/>
  <c r="AQ14" i="27"/>
  <c r="AS14" i="27" s="1"/>
  <c r="AN14" i="27"/>
  <c r="AP14" i="27" s="1"/>
  <c r="AM14" i="27"/>
  <c r="AO14" i="27" s="1"/>
  <c r="AJ14" i="27"/>
  <c r="AL14" i="27" s="1"/>
  <c r="AI14" i="27"/>
  <c r="AK14" i="27" s="1"/>
  <c r="AF14" i="27"/>
  <c r="AH14" i="27" s="1"/>
  <c r="AE14" i="27"/>
  <c r="AG14" i="27" s="1"/>
  <c r="AB14" i="27"/>
  <c r="AD14" i="27" s="1"/>
  <c r="AA14" i="27"/>
  <c r="AC14" i="27" s="1"/>
  <c r="X14" i="27"/>
  <c r="Z14" i="27" s="1"/>
  <c r="W14" i="27"/>
  <c r="Y14" i="27" s="1"/>
  <c r="T14" i="27"/>
  <c r="V14" i="27" s="1"/>
  <c r="S14" i="27"/>
  <c r="U14" i="27" s="1"/>
  <c r="P14" i="27"/>
  <c r="R14" i="27" s="1"/>
  <c r="O14" i="27"/>
  <c r="Q14" i="27" s="1"/>
  <c r="L14" i="27"/>
  <c r="N14" i="27" s="1"/>
  <c r="K14" i="27"/>
  <c r="M14" i="27" s="1"/>
  <c r="H14" i="27"/>
  <c r="J14" i="27" s="1"/>
  <c r="G14" i="27"/>
  <c r="I14" i="27" s="1"/>
  <c r="E14" i="27"/>
  <c r="D14" i="27"/>
  <c r="C14" i="27"/>
  <c r="AV13" i="27"/>
  <c r="AX13" i="27" s="1"/>
  <c r="AU13" i="27"/>
  <c r="AW13" i="27" s="1"/>
  <c r="AR13" i="27"/>
  <c r="AT13" i="27" s="1"/>
  <c r="AQ13" i="27"/>
  <c r="AS13" i="27" s="1"/>
  <c r="AN13" i="27"/>
  <c r="AP13" i="27" s="1"/>
  <c r="AM13" i="27"/>
  <c r="AO13" i="27" s="1"/>
  <c r="AJ13" i="27"/>
  <c r="AL13" i="27" s="1"/>
  <c r="AI13" i="27"/>
  <c r="AK13" i="27" s="1"/>
  <c r="AF13" i="27"/>
  <c r="AH13" i="27" s="1"/>
  <c r="AE13" i="27"/>
  <c r="AG13" i="27" s="1"/>
  <c r="AB13" i="27"/>
  <c r="AD13" i="27" s="1"/>
  <c r="AA13" i="27"/>
  <c r="AC13" i="27" s="1"/>
  <c r="X13" i="27"/>
  <c r="Z13" i="27" s="1"/>
  <c r="W13" i="27"/>
  <c r="Y13" i="27" s="1"/>
  <c r="T13" i="27"/>
  <c r="V13" i="27" s="1"/>
  <c r="S13" i="27"/>
  <c r="U13" i="27" s="1"/>
  <c r="P13" i="27"/>
  <c r="R13" i="27" s="1"/>
  <c r="O13" i="27"/>
  <c r="Q13" i="27" s="1"/>
  <c r="L13" i="27"/>
  <c r="N13" i="27" s="1"/>
  <c r="K13" i="27"/>
  <c r="M13" i="27" s="1"/>
  <c r="H13" i="27"/>
  <c r="J13" i="27" s="1"/>
  <c r="G13" i="27"/>
  <c r="I13" i="27" s="1"/>
  <c r="E13" i="27"/>
  <c r="D13" i="27"/>
  <c r="C13" i="27"/>
  <c r="AV12" i="27"/>
  <c r="AX12" i="27" s="1"/>
  <c r="AU12" i="27"/>
  <c r="AW12" i="27" s="1"/>
  <c r="AR12" i="27"/>
  <c r="AT12" i="27" s="1"/>
  <c r="AQ12" i="27"/>
  <c r="AS12" i="27" s="1"/>
  <c r="AN12" i="27"/>
  <c r="AP12" i="27" s="1"/>
  <c r="AM12" i="27"/>
  <c r="AO12" i="27" s="1"/>
  <c r="AJ12" i="27"/>
  <c r="AL12" i="27" s="1"/>
  <c r="AI12" i="27"/>
  <c r="AK12" i="27" s="1"/>
  <c r="AF12" i="27"/>
  <c r="AH12" i="27" s="1"/>
  <c r="AE12" i="27"/>
  <c r="AG12" i="27" s="1"/>
  <c r="AB12" i="27"/>
  <c r="AD12" i="27" s="1"/>
  <c r="AA12" i="27"/>
  <c r="AC12" i="27" s="1"/>
  <c r="X12" i="27"/>
  <c r="Z12" i="27" s="1"/>
  <c r="W12" i="27"/>
  <c r="Y12" i="27" s="1"/>
  <c r="T12" i="27"/>
  <c r="V12" i="27" s="1"/>
  <c r="S12" i="27"/>
  <c r="U12" i="27" s="1"/>
  <c r="P12" i="27"/>
  <c r="R12" i="27" s="1"/>
  <c r="O12" i="27"/>
  <c r="Q12" i="27" s="1"/>
  <c r="L12" i="27"/>
  <c r="N12" i="27" s="1"/>
  <c r="K12" i="27"/>
  <c r="M12" i="27" s="1"/>
  <c r="H12" i="27"/>
  <c r="J12" i="27" s="1"/>
  <c r="G12" i="27"/>
  <c r="I12" i="27" s="1"/>
  <c r="E12" i="27"/>
  <c r="D12" i="27"/>
  <c r="C12" i="27"/>
  <c r="AV11" i="27"/>
  <c r="AX11" i="27" s="1"/>
  <c r="AU11" i="27"/>
  <c r="AW11" i="27" s="1"/>
  <c r="AR11" i="27"/>
  <c r="AT11" i="27" s="1"/>
  <c r="AQ11" i="27"/>
  <c r="AS11" i="27" s="1"/>
  <c r="AN11" i="27"/>
  <c r="AP11" i="27" s="1"/>
  <c r="AM11" i="27"/>
  <c r="AO11" i="27" s="1"/>
  <c r="AJ11" i="27"/>
  <c r="AL11" i="27" s="1"/>
  <c r="AI11" i="27"/>
  <c r="AK11" i="27" s="1"/>
  <c r="AF11" i="27"/>
  <c r="AH11" i="27" s="1"/>
  <c r="AE11" i="27"/>
  <c r="AG11" i="27" s="1"/>
  <c r="AB11" i="27"/>
  <c r="AD11" i="27" s="1"/>
  <c r="AA11" i="27"/>
  <c r="AC11" i="27" s="1"/>
  <c r="X11" i="27"/>
  <c r="Z11" i="27" s="1"/>
  <c r="W11" i="27"/>
  <c r="Y11" i="27" s="1"/>
  <c r="T11" i="27"/>
  <c r="V11" i="27" s="1"/>
  <c r="S11" i="27"/>
  <c r="U11" i="27" s="1"/>
  <c r="P11" i="27"/>
  <c r="R11" i="27" s="1"/>
  <c r="O11" i="27"/>
  <c r="Q11" i="27" s="1"/>
  <c r="L11" i="27"/>
  <c r="N11" i="27" s="1"/>
  <c r="K11" i="27"/>
  <c r="M11" i="27" s="1"/>
  <c r="H11" i="27"/>
  <c r="J11" i="27" s="1"/>
  <c r="G11" i="27"/>
  <c r="I11" i="27" s="1"/>
  <c r="E11" i="27"/>
  <c r="D11" i="27"/>
  <c r="C11" i="27"/>
  <c r="AV10" i="27"/>
  <c r="AX10" i="27" s="1"/>
  <c r="AU10" i="27"/>
  <c r="AW10" i="27" s="1"/>
  <c r="AR10" i="27"/>
  <c r="AT10" i="27" s="1"/>
  <c r="AQ10" i="27"/>
  <c r="AS10" i="27" s="1"/>
  <c r="AN10" i="27"/>
  <c r="AP10" i="27" s="1"/>
  <c r="AM10" i="27"/>
  <c r="AO10" i="27" s="1"/>
  <c r="AJ10" i="27"/>
  <c r="AL10" i="27" s="1"/>
  <c r="AI10" i="27"/>
  <c r="AK10" i="27" s="1"/>
  <c r="AF10" i="27"/>
  <c r="AH10" i="27" s="1"/>
  <c r="AE10" i="27"/>
  <c r="AG10" i="27" s="1"/>
  <c r="AB10" i="27"/>
  <c r="AD10" i="27" s="1"/>
  <c r="AA10" i="27"/>
  <c r="AC10" i="27" s="1"/>
  <c r="X10" i="27"/>
  <c r="Z10" i="27" s="1"/>
  <c r="W10" i="27"/>
  <c r="Y10" i="27" s="1"/>
  <c r="T10" i="27"/>
  <c r="V10" i="27" s="1"/>
  <c r="S10" i="27"/>
  <c r="U10" i="27" s="1"/>
  <c r="P10" i="27"/>
  <c r="R10" i="27" s="1"/>
  <c r="O10" i="27"/>
  <c r="Q10" i="27" s="1"/>
  <c r="L10" i="27"/>
  <c r="N10" i="27" s="1"/>
  <c r="K10" i="27"/>
  <c r="M10" i="27" s="1"/>
  <c r="H10" i="27"/>
  <c r="J10" i="27" s="1"/>
  <c r="G10" i="27"/>
  <c r="I10" i="27" s="1"/>
  <c r="E10" i="27"/>
  <c r="D10" i="27"/>
  <c r="C10" i="27"/>
  <c r="AW9" i="27"/>
  <c r="AV9" i="27"/>
  <c r="AX9" i="27" s="1"/>
  <c r="AU9" i="27"/>
  <c r="AR9" i="27"/>
  <c r="AT9" i="27" s="1"/>
  <c r="AQ9" i="27"/>
  <c r="AS9" i="27" s="1"/>
  <c r="AN9" i="27"/>
  <c r="AP9" i="27" s="1"/>
  <c r="AM9" i="27"/>
  <c r="AO9" i="27" s="1"/>
  <c r="AJ9" i="27"/>
  <c r="AL9" i="27" s="1"/>
  <c r="AI9" i="27"/>
  <c r="AK9" i="27" s="1"/>
  <c r="AF9" i="27"/>
  <c r="AH9" i="27" s="1"/>
  <c r="AE9" i="27"/>
  <c r="AG9" i="27" s="1"/>
  <c r="AB9" i="27"/>
  <c r="AD9" i="27" s="1"/>
  <c r="AA9" i="27"/>
  <c r="AC9" i="27" s="1"/>
  <c r="X9" i="27"/>
  <c r="Z9" i="27" s="1"/>
  <c r="W9" i="27"/>
  <c r="Y9" i="27" s="1"/>
  <c r="T9" i="27"/>
  <c r="V9" i="27" s="1"/>
  <c r="S9" i="27"/>
  <c r="U9" i="27" s="1"/>
  <c r="P9" i="27"/>
  <c r="R9" i="27" s="1"/>
  <c r="O9" i="27"/>
  <c r="Q9" i="27" s="1"/>
  <c r="L9" i="27"/>
  <c r="N9" i="27" s="1"/>
  <c r="K9" i="27"/>
  <c r="M9" i="27" s="1"/>
  <c r="H9" i="27"/>
  <c r="J9" i="27" s="1"/>
  <c r="G9" i="27"/>
  <c r="I9" i="27" s="1"/>
  <c r="E9" i="27"/>
  <c r="D9" i="27"/>
  <c r="C9" i="27"/>
  <c r="AV8" i="27"/>
  <c r="AX8" i="27" s="1"/>
  <c r="AU8" i="27"/>
  <c r="AW8" i="27" s="1"/>
  <c r="AR8" i="27"/>
  <c r="AT8" i="27" s="1"/>
  <c r="AQ8" i="27"/>
  <c r="AS8" i="27" s="1"/>
  <c r="AN8" i="27"/>
  <c r="AP8" i="27" s="1"/>
  <c r="AM8" i="27"/>
  <c r="AO8" i="27" s="1"/>
  <c r="AJ8" i="27"/>
  <c r="AL8" i="27" s="1"/>
  <c r="AI8" i="27"/>
  <c r="AK8" i="27" s="1"/>
  <c r="AF8" i="27"/>
  <c r="AH8" i="27" s="1"/>
  <c r="AE8" i="27"/>
  <c r="AG8" i="27" s="1"/>
  <c r="AB8" i="27"/>
  <c r="AD8" i="27" s="1"/>
  <c r="AA8" i="27"/>
  <c r="AC8" i="27" s="1"/>
  <c r="X8" i="27"/>
  <c r="Z8" i="27" s="1"/>
  <c r="W8" i="27"/>
  <c r="Y8" i="27" s="1"/>
  <c r="T8" i="27"/>
  <c r="V8" i="27" s="1"/>
  <c r="S8" i="27"/>
  <c r="U8" i="27" s="1"/>
  <c r="P8" i="27"/>
  <c r="R8" i="27" s="1"/>
  <c r="O8" i="27"/>
  <c r="Q8" i="27" s="1"/>
  <c r="L8" i="27"/>
  <c r="N8" i="27" s="1"/>
  <c r="K8" i="27"/>
  <c r="M8" i="27" s="1"/>
  <c r="H8" i="27"/>
  <c r="J8" i="27" s="1"/>
  <c r="G8" i="27"/>
  <c r="I8" i="27" s="1"/>
  <c r="E8" i="27"/>
  <c r="D8" i="27"/>
  <c r="C8" i="27"/>
  <c r="AV7" i="27"/>
  <c r="AX7" i="27" s="1"/>
  <c r="AU7" i="27"/>
  <c r="AW7" i="27" s="1"/>
  <c r="AR7" i="27"/>
  <c r="AT7" i="27" s="1"/>
  <c r="AQ7" i="27"/>
  <c r="AS7" i="27" s="1"/>
  <c r="AN7" i="27"/>
  <c r="AP7" i="27" s="1"/>
  <c r="AM7" i="27"/>
  <c r="AO7" i="27" s="1"/>
  <c r="AJ7" i="27"/>
  <c r="AL7" i="27" s="1"/>
  <c r="AI7" i="27"/>
  <c r="AK7" i="27" s="1"/>
  <c r="AF7" i="27"/>
  <c r="AH7" i="27" s="1"/>
  <c r="AE7" i="27"/>
  <c r="AG7" i="27" s="1"/>
  <c r="AB7" i="27"/>
  <c r="AD7" i="27" s="1"/>
  <c r="AA7" i="27"/>
  <c r="AC7" i="27" s="1"/>
  <c r="X7" i="27"/>
  <c r="Z7" i="27" s="1"/>
  <c r="W7" i="27"/>
  <c r="Y7" i="27" s="1"/>
  <c r="T7" i="27"/>
  <c r="V7" i="27" s="1"/>
  <c r="S7" i="27"/>
  <c r="U7" i="27" s="1"/>
  <c r="P7" i="27"/>
  <c r="R7" i="27" s="1"/>
  <c r="O7" i="27"/>
  <c r="Q7" i="27" s="1"/>
  <c r="L7" i="27"/>
  <c r="N7" i="27" s="1"/>
  <c r="K7" i="27"/>
  <c r="M7" i="27" s="1"/>
  <c r="H7" i="27"/>
  <c r="J7" i="27" s="1"/>
  <c r="G7" i="27"/>
  <c r="I7" i="27" s="1"/>
  <c r="E7" i="27"/>
  <c r="D7" i="27"/>
  <c r="C7" i="27"/>
  <c r="AV6" i="27"/>
  <c r="AX6" i="27" s="1"/>
  <c r="AU6" i="27"/>
  <c r="AW6" i="27" s="1"/>
  <c r="AR6" i="27"/>
  <c r="AT6" i="27" s="1"/>
  <c r="AQ6" i="27"/>
  <c r="AS6" i="27" s="1"/>
  <c r="AN6" i="27"/>
  <c r="AP6" i="27" s="1"/>
  <c r="AM6" i="27"/>
  <c r="AO6" i="27" s="1"/>
  <c r="AJ6" i="27"/>
  <c r="AL6" i="27" s="1"/>
  <c r="AI6" i="27"/>
  <c r="AK6" i="27" s="1"/>
  <c r="AF6" i="27"/>
  <c r="AH6" i="27" s="1"/>
  <c r="AE6" i="27"/>
  <c r="AG6" i="27" s="1"/>
  <c r="AB6" i="27"/>
  <c r="AD6" i="27" s="1"/>
  <c r="AA6" i="27"/>
  <c r="AC6" i="27" s="1"/>
  <c r="X6" i="27"/>
  <c r="Z6" i="27" s="1"/>
  <c r="W6" i="27"/>
  <c r="Y6" i="27" s="1"/>
  <c r="T6" i="27"/>
  <c r="V6" i="27" s="1"/>
  <c r="S6" i="27"/>
  <c r="U6" i="27" s="1"/>
  <c r="P6" i="27"/>
  <c r="R6" i="27" s="1"/>
  <c r="O6" i="27"/>
  <c r="Q6" i="27" s="1"/>
  <c r="L6" i="27"/>
  <c r="N6" i="27" s="1"/>
  <c r="K6" i="27"/>
  <c r="M6" i="27" s="1"/>
  <c r="H6" i="27"/>
  <c r="J6" i="27" s="1"/>
  <c r="G6" i="27"/>
  <c r="I6" i="27" s="1"/>
  <c r="E6" i="27"/>
  <c r="D6" i="27"/>
  <c r="C6" i="27"/>
  <c r="AV5" i="27"/>
  <c r="AX5" i="27" s="1"/>
  <c r="AU5" i="27"/>
  <c r="AW5" i="27" s="1"/>
  <c r="AR5" i="27"/>
  <c r="AT5" i="27" s="1"/>
  <c r="AQ5" i="27"/>
  <c r="AS5" i="27" s="1"/>
  <c r="AN5" i="27"/>
  <c r="AP5" i="27" s="1"/>
  <c r="AM5" i="27"/>
  <c r="AO5" i="27" s="1"/>
  <c r="AJ5" i="27"/>
  <c r="AL5" i="27" s="1"/>
  <c r="AI5" i="27"/>
  <c r="AK5" i="27" s="1"/>
  <c r="AF5" i="27"/>
  <c r="AH5" i="27" s="1"/>
  <c r="AE5" i="27"/>
  <c r="AG5" i="27" s="1"/>
  <c r="AB5" i="27"/>
  <c r="AD5" i="27" s="1"/>
  <c r="AA5" i="27"/>
  <c r="AC5" i="27" s="1"/>
  <c r="X5" i="27"/>
  <c r="Z5" i="27" s="1"/>
  <c r="W5" i="27"/>
  <c r="Y5" i="27" s="1"/>
  <c r="T5" i="27"/>
  <c r="V5" i="27" s="1"/>
  <c r="S5" i="27"/>
  <c r="U5" i="27" s="1"/>
  <c r="P5" i="27"/>
  <c r="R5" i="27" s="1"/>
  <c r="O5" i="27"/>
  <c r="Q5" i="27" s="1"/>
  <c r="L5" i="27"/>
  <c r="N5" i="27" s="1"/>
  <c r="K5" i="27"/>
  <c r="M5" i="27" s="1"/>
  <c r="H5" i="27"/>
  <c r="J5" i="27" s="1"/>
  <c r="G5" i="27"/>
  <c r="I5" i="27" s="1"/>
  <c r="E5" i="27"/>
  <c r="D5" i="27"/>
  <c r="C5" i="27"/>
  <c r="AV4" i="27"/>
  <c r="AX4" i="27" s="1"/>
  <c r="AU4" i="27"/>
  <c r="AW4" i="27" s="1"/>
  <c r="AR4" i="27"/>
  <c r="AT4" i="27" s="1"/>
  <c r="AQ4" i="27"/>
  <c r="AS4" i="27" s="1"/>
  <c r="AN4" i="27"/>
  <c r="AP4" i="27" s="1"/>
  <c r="AM4" i="27"/>
  <c r="AO4" i="27" s="1"/>
  <c r="AJ4" i="27"/>
  <c r="AL4" i="27" s="1"/>
  <c r="AI4" i="27"/>
  <c r="AK4" i="27" s="1"/>
  <c r="AF4" i="27"/>
  <c r="AH4" i="27" s="1"/>
  <c r="AE4" i="27"/>
  <c r="AG4" i="27" s="1"/>
  <c r="AB4" i="27"/>
  <c r="AD4" i="27" s="1"/>
  <c r="AA4" i="27"/>
  <c r="AC4" i="27" s="1"/>
  <c r="X4" i="27"/>
  <c r="Z4" i="27" s="1"/>
  <c r="W4" i="27"/>
  <c r="Y4" i="27" s="1"/>
  <c r="T4" i="27"/>
  <c r="V4" i="27" s="1"/>
  <c r="S4" i="27"/>
  <c r="U4" i="27" s="1"/>
  <c r="P4" i="27"/>
  <c r="R4" i="27" s="1"/>
  <c r="O4" i="27"/>
  <c r="Q4" i="27" s="1"/>
  <c r="L4" i="27"/>
  <c r="N4" i="27" s="1"/>
  <c r="K4" i="27"/>
  <c r="M4" i="27" s="1"/>
  <c r="H4" i="27"/>
  <c r="J4" i="27" s="1"/>
  <c r="G4" i="27"/>
  <c r="I4" i="27" s="1"/>
  <c r="E4" i="27"/>
  <c r="D4" i="27"/>
  <c r="C4" i="27"/>
  <c r="AV3" i="27"/>
  <c r="AX3" i="27" s="1"/>
  <c r="AU3" i="27"/>
  <c r="AW3" i="27" s="1"/>
  <c r="AR3" i="27"/>
  <c r="AT3" i="27" s="1"/>
  <c r="AQ3" i="27"/>
  <c r="AS3" i="27" s="1"/>
  <c r="AN3" i="27"/>
  <c r="AP3" i="27" s="1"/>
  <c r="AM3" i="27"/>
  <c r="AO3" i="27" s="1"/>
  <c r="AJ3" i="27"/>
  <c r="AL3" i="27" s="1"/>
  <c r="AI3" i="27"/>
  <c r="AK3" i="27" s="1"/>
  <c r="AF3" i="27"/>
  <c r="AH3" i="27" s="1"/>
  <c r="AE3" i="27"/>
  <c r="AG3" i="27" s="1"/>
  <c r="AB3" i="27"/>
  <c r="AD3" i="27" s="1"/>
  <c r="AA3" i="27"/>
  <c r="AC3" i="27" s="1"/>
  <c r="X3" i="27"/>
  <c r="Z3" i="27" s="1"/>
  <c r="W3" i="27"/>
  <c r="Y3" i="27" s="1"/>
  <c r="T3" i="27"/>
  <c r="V3" i="27" s="1"/>
  <c r="S3" i="27"/>
  <c r="U3" i="27" s="1"/>
  <c r="P3" i="27"/>
  <c r="R3" i="27" s="1"/>
  <c r="O3" i="27"/>
  <c r="Q3" i="27" s="1"/>
  <c r="L3" i="27"/>
  <c r="N3" i="27" s="1"/>
  <c r="K3" i="27"/>
  <c r="M3" i="27" s="1"/>
  <c r="H3" i="27"/>
  <c r="J3" i="27" s="1"/>
  <c r="G3" i="27"/>
  <c r="I3" i="27" s="1"/>
  <c r="E3" i="27"/>
  <c r="D3" i="27"/>
  <c r="C3" i="27"/>
  <c r="AV50" i="26"/>
  <c r="AX50" i="26" s="1"/>
  <c r="AU50" i="26"/>
  <c r="AW50" i="26" s="1"/>
  <c r="AR50" i="26"/>
  <c r="AT50" i="26" s="1"/>
  <c r="AQ50" i="26"/>
  <c r="AS50" i="26" s="1"/>
  <c r="AN50" i="26"/>
  <c r="AP50" i="26" s="1"/>
  <c r="AM50" i="26"/>
  <c r="AO50" i="26" s="1"/>
  <c r="AJ50" i="26"/>
  <c r="AL50" i="26" s="1"/>
  <c r="AI50" i="26"/>
  <c r="AK50" i="26" s="1"/>
  <c r="AF50" i="26"/>
  <c r="AH50" i="26" s="1"/>
  <c r="AE50" i="26"/>
  <c r="AG50" i="26" s="1"/>
  <c r="AB50" i="26"/>
  <c r="AD50" i="26" s="1"/>
  <c r="AA50" i="26"/>
  <c r="AC50" i="26" s="1"/>
  <c r="X50" i="26"/>
  <c r="Z50" i="26" s="1"/>
  <c r="W50" i="26"/>
  <c r="Y50" i="26" s="1"/>
  <c r="T50" i="26"/>
  <c r="V50" i="26" s="1"/>
  <c r="S50" i="26"/>
  <c r="U50" i="26" s="1"/>
  <c r="P50" i="26"/>
  <c r="R50" i="26" s="1"/>
  <c r="O50" i="26"/>
  <c r="Q50" i="26" s="1"/>
  <c r="L50" i="26"/>
  <c r="N50" i="26" s="1"/>
  <c r="K50" i="26"/>
  <c r="M50" i="26" s="1"/>
  <c r="H50" i="26"/>
  <c r="J50" i="26" s="1"/>
  <c r="G50" i="26"/>
  <c r="I50" i="26" s="1"/>
  <c r="E50" i="26"/>
  <c r="D50" i="26"/>
  <c r="C50" i="26"/>
  <c r="AV49" i="26"/>
  <c r="AX49" i="26" s="1"/>
  <c r="AU49" i="26"/>
  <c r="AW49" i="26" s="1"/>
  <c r="AR49" i="26"/>
  <c r="AT49" i="26" s="1"/>
  <c r="AQ49" i="26"/>
  <c r="AS49" i="26" s="1"/>
  <c r="AN49" i="26"/>
  <c r="AP49" i="26" s="1"/>
  <c r="AM49" i="26"/>
  <c r="AO49" i="26" s="1"/>
  <c r="AJ49" i="26"/>
  <c r="AL49" i="26" s="1"/>
  <c r="AI49" i="26"/>
  <c r="AK49" i="26" s="1"/>
  <c r="AF49" i="26"/>
  <c r="AH49" i="26" s="1"/>
  <c r="AE49" i="26"/>
  <c r="AG49" i="26" s="1"/>
  <c r="AB49" i="26"/>
  <c r="AD49" i="26" s="1"/>
  <c r="AA49" i="26"/>
  <c r="AC49" i="26" s="1"/>
  <c r="X49" i="26"/>
  <c r="Z49" i="26" s="1"/>
  <c r="W49" i="26"/>
  <c r="Y49" i="26" s="1"/>
  <c r="T49" i="26"/>
  <c r="V49" i="26" s="1"/>
  <c r="S49" i="26"/>
  <c r="U49" i="26" s="1"/>
  <c r="P49" i="26"/>
  <c r="R49" i="26" s="1"/>
  <c r="O49" i="26"/>
  <c r="Q49" i="26" s="1"/>
  <c r="N49" i="26"/>
  <c r="L49" i="26"/>
  <c r="K49" i="26"/>
  <c r="M49" i="26" s="1"/>
  <c r="H49" i="26"/>
  <c r="J49" i="26" s="1"/>
  <c r="G49" i="26"/>
  <c r="I49" i="26" s="1"/>
  <c r="E49" i="26"/>
  <c r="D49" i="26"/>
  <c r="C49" i="26"/>
  <c r="AV48" i="26"/>
  <c r="AX48" i="26" s="1"/>
  <c r="AU48" i="26"/>
  <c r="AW48" i="26" s="1"/>
  <c r="AR48" i="26"/>
  <c r="AT48" i="26" s="1"/>
  <c r="AQ48" i="26"/>
  <c r="AS48" i="26" s="1"/>
  <c r="AN48" i="26"/>
  <c r="AP48" i="26" s="1"/>
  <c r="AM48" i="26"/>
  <c r="AO48" i="26" s="1"/>
  <c r="AJ48" i="26"/>
  <c r="AL48" i="26" s="1"/>
  <c r="AI48" i="26"/>
  <c r="AK48" i="26" s="1"/>
  <c r="AF48" i="26"/>
  <c r="AH48" i="26" s="1"/>
  <c r="AE48" i="26"/>
  <c r="AG48" i="26" s="1"/>
  <c r="AB48" i="26"/>
  <c r="AD48" i="26" s="1"/>
  <c r="AA48" i="26"/>
  <c r="AC48" i="26" s="1"/>
  <c r="X48" i="26"/>
  <c r="Z48" i="26" s="1"/>
  <c r="W48" i="26"/>
  <c r="Y48" i="26" s="1"/>
  <c r="T48" i="26"/>
  <c r="V48" i="26" s="1"/>
  <c r="S48" i="26"/>
  <c r="U48" i="26" s="1"/>
  <c r="P48" i="26"/>
  <c r="R48" i="26" s="1"/>
  <c r="O48" i="26"/>
  <c r="Q48" i="26" s="1"/>
  <c r="L48" i="26"/>
  <c r="N48" i="26" s="1"/>
  <c r="K48" i="26"/>
  <c r="M48" i="26" s="1"/>
  <c r="H48" i="26"/>
  <c r="J48" i="26" s="1"/>
  <c r="G48" i="26"/>
  <c r="I48" i="26" s="1"/>
  <c r="E48" i="26"/>
  <c r="D48" i="26"/>
  <c r="C48" i="26"/>
  <c r="AV47" i="26"/>
  <c r="AX47" i="26" s="1"/>
  <c r="AU47" i="26"/>
  <c r="AW47" i="26" s="1"/>
  <c r="AR47" i="26"/>
  <c r="AT47" i="26" s="1"/>
  <c r="AQ47" i="26"/>
  <c r="AS47" i="26" s="1"/>
  <c r="AN47" i="26"/>
  <c r="AP47" i="26" s="1"/>
  <c r="AM47" i="26"/>
  <c r="AO47" i="26" s="1"/>
  <c r="AJ47" i="26"/>
  <c r="AL47" i="26" s="1"/>
  <c r="AI47" i="26"/>
  <c r="AK47" i="26" s="1"/>
  <c r="AF47" i="26"/>
  <c r="AH47" i="26" s="1"/>
  <c r="AE47" i="26"/>
  <c r="AG47" i="26" s="1"/>
  <c r="AB47" i="26"/>
  <c r="AD47" i="26" s="1"/>
  <c r="AA47" i="26"/>
  <c r="AC47" i="26" s="1"/>
  <c r="X47" i="26"/>
  <c r="Z47" i="26" s="1"/>
  <c r="W47" i="26"/>
  <c r="Y47" i="26" s="1"/>
  <c r="T47" i="26"/>
  <c r="V47" i="26" s="1"/>
  <c r="S47" i="26"/>
  <c r="U47" i="26" s="1"/>
  <c r="P47" i="26"/>
  <c r="R47" i="26" s="1"/>
  <c r="O47" i="26"/>
  <c r="Q47" i="26" s="1"/>
  <c r="L47" i="26"/>
  <c r="N47" i="26" s="1"/>
  <c r="K47" i="26"/>
  <c r="M47" i="26" s="1"/>
  <c r="H47" i="26"/>
  <c r="J47" i="26" s="1"/>
  <c r="G47" i="26"/>
  <c r="I47" i="26" s="1"/>
  <c r="E47" i="26"/>
  <c r="D47" i="26"/>
  <c r="C47" i="26"/>
  <c r="AV46" i="26"/>
  <c r="AX46" i="26" s="1"/>
  <c r="AU46" i="26"/>
  <c r="AW46" i="26" s="1"/>
  <c r="AR46" i="26"/>
  <c r="AT46" i="26" s="1"/>
  <c r="AQ46" i="26"/>
  <c r="AS46" i="26" s="1"/>
  <c r="AN46" i="26"/>
  <c r="AP46" i="26" s="1"/>
  <c r="AM46" i="26"/>
  <c r="AO46" i="26" s="1"/>
  <c r="AJ46" i="26"/>
  <c r="AL46" i="26" s="1"/>
  <c r="AI46" i="26"/>
  <c r="AK46" i="26" s="1"/>
  <c r="AF46" i="26"/>
  <c r="AH46" i="26" s="1"/>
  <c r="AE46" i="26"/>
  <c r="AG46" i="26" s="1"/>
  <c r="AB46" i="26"/>
  <c r="AD46" i="26" s="1"/>
  <c r="AA46" i="26"/>
  <c r="AC46" i="26" s="1"/>
  <c r="X46" i="26"/>
  <c r="Z46" i="26" s="1"/>
  <c r="W46" i="26"/>
  <c r="Y46" i="26" s="1"/>
  <c r="T46" i="26"/>
  <c r="V46" i="26" s="1"/>
  <c r="S46" i="26"/>
  <c r="U46" i="26" s="1"/>
  <c r="P46" i="26"/>
  <c r="R46" i="26" s="1"/>
  <c r="O46" i="26"/>
  <c r="Q46" i="26" s="1"/>
  <c r="L46" i="26"/>
  <c r="N46" i="26" s="1"/>
  <c r="K46" i="26"/>
  <c r="M46" i="26" s="1"/>
  <c r="H46" i="26"/>
  <c r="J46" i="26" s="1"/>
  <c r="G46" i="26"/>
  <c r="I46" i="26" s="1"/>
  <c r="E46" i="26"/>
  <c r="D46" i="26"/>
  <c r="C46" i="26"/>
  <c r="AV45" i="26"/>
  <c r="AX45" i="26" s="1"/>
  <c r="AU45" i="26"/>
  <c r="AW45" i="26" s="1"/>
  <c r="AR45" i="26"/>
  <c r="AT45" i="26" s="1"/>
  <c r="AQ45" i="26"/>
  <c r="AS45" i="26" s="1"/>
  <c r="AN45" i="26"/>
  <c r="AP45" i="26" s="1"/>
  <c r="AM45" i="26"/>
  <c r="AO45" i="26" s="1"/>
  <c r="AJ45" i="26"/>
  <c r="AL45" i="26" s="1"/>
  <c r="AI45" i="26"/>
  <c r="AK45" i="26" s="1"/>
  <c r="AF45" i="26"/>
  <c r="AH45" i="26" s="1"/>
  <c r="AE45" i="26"/>
  <c r="AG45" i="26" s="1"/>
  <c r="AB45" i="26"/>
  <c r="AD45" i="26" s="1"/>
  <c r="AA45" i="26"/>
  <c r="AC45" i="26" s="1"/>
  <c r="X45" i="26"/>
  <c r="Z45" i="26" s="1"/>
  <c r="W45" i="26"/>
  <c r="Y45" i="26" s="1"/>
  <c r="T45" i="26"/>
  <c r="V45" i="26" s="1"/>
  <c r="S45" i="26"/>
  <c r="U45" i="26" s="1"/>
  <c r="P45" i="26"/>
  <c r="R45" i="26" s="1"/>
  <c r="O45" i="26"/>
  <c r="Q45" i="26" s="1"/>
  <c r="L45" i="26"/>
  <c r="N45" i="26" s="1"/>
  <c r="K45" i="26"/>
  <c r="M45" i="26" s="1"/>
  <c r="H45" i="26"/>
  <c r="J45" i="26" s="1"/>
  <c r="G45" i="26"/>
  <c r="I45" i="26" s="1"/>
  <c r="E45" i="26"/>
  <c r="D45" i="26"/>
  <c r="C45" i="26"/>
  <c r="AV44" i="26"/>
  <c r="AX44" i="26" s="1"/>
  <c r="AU44" i="26"/>
  <c r="AW44" i="26" s="1"/>
  <c r="AR44" i="26"/>
  <c r="AT44" i="26" s="1"/>
  <c r="AQ44" i="26"/>
  <c r="AS44" i="26" s="1"/>
  <c r="AN44" i="26"/>
  <c r="AP44" i="26" s="1"/>
  <c r="AM44" i="26"/>
  <c r="AO44" i="26" s="1"/>
  <c r="AJ44" i="26"/>
  <c r="AL44" i="26" s="1"/>
  <c r="AI44" i="26"/>
  <c r="AK44" i="26" s="1"/>
  <c r="AF44" i="26"/>
  <c r="AH44" i="26" s="1"/>
  <c r="AE44" i="26"/>
  <c r="AG44" i="26" s="1"/>
  <c r="AB44" i="26"/>
  <c r="AD44" i="26" s="1"/>
  <c r="AA44" i="26"/>
  <c r="AC44" i="26" s="1"/>
  <c r="X44" i="26"/>
  <c r="Z44" i="26" s="1"/>
  <c r="W44" i="26"/>
  <c r="Y44" i="26" s="1"/>
  <c r="T44" i="26"/>
  <c r="V44" i="26" s="1"/>
  <c r="S44" i="26"/>
  <c r="U44" i="26" s="1"/>
  <c r="P44" i="26"/>
  <c r="R44" i="26" s="1"/>
  <c r="O44" i="26"/>
  <c r="Q44" i="26" s="1"/>
  <c r="L44" i="26"/>
  <c r="N44" i="26" s="1"/>
  <c r="K44" i="26"/>
  <c r="M44" i="26" s="1"/>
  <c r="H44" i="26"/>
  <c r="J44" i="26" s="1"/>
  <c r="G44" i="26"/>
  <c r="I44" i="26" s="1"/>
  <c r="E44" i="26"/>
  <c r="D44" i="26"/>
  <c r="C44" i="26"/>
  <c r="AV43" i="26"/>
  <c r="AX43" i="26" s="1"/>
  <c r="AU43" i="26"/>
  <c r="AW43" i="26" s="1"/>
  <c r="AR43" i="26"/>
  <c r="AT43" i="26" s="1"/>
  <c r="AQ43" i="26"/>
  <c r="AS43" i="26" s="1"/>
  <c r="AN43" i="26"/>
  <c r="AP43" i="26" s="1"/>
  <c r="AM43" i="26"/>
  <c r="AO43" i="26" s="1"/>
  <c r="AJ43" i="26"/>
  <c r="AL43" i="26" s="1"/>
  <c r="AI43" i="26"/>
  <c r="AK43" i="26" s="1"/>
  <c r="AF43" i="26"/>
  <c r="AH43" i="26" s="1"/>
  <c r="AE43" i="26"/>
  <c r="AG43" i="26" s="1"/>
  <c r="AB43" i="26"/>
  <c r="AD43" i="26" s="1"/>
  <c r="AA43" i="26"/>
  <c r="AC43" i="26" s="1"/>
  <c r="X43" i="26"/>
  <c r="Z43" i="26" s="1"/>
  <c r="W43" i="26"/>
  <c r="Y43" i="26" s="1"/>
  <c r="T43" i="26"/>
  <c r="V43" i="26" s="1"/>
  <c r="S43" i="26"/>
  <c r="U43" i="26" s="1"/>
  <c r="P43" i="26"/>
  <c r="R43" i="26" s="1"/>
  <c r="O43" i="26"/>
  <c r="Q43" i="26" s="1"/>
  <c r="L43" i="26"/>
  <c r="N43" i="26" s="1"/>
  <c r="K43" i="26"/>
  <c r="M43" i="26" s="1"/>
  <c r="H43" i="26"/>
  <c r="J43" i="26" s="1"/>
  <c r="G43" i="26"/>
  <c r="I43" i="26" s="1"/>
  <c r="E43" i="26"/>
  <c r="D43" i="26"/>
  <c r="C43" i="26"/>
  <c r="AV42" i="26"/>
  <c r="AX42" i="26" s="1"/>
  <c r="AU42" i="26"/>
  <c r="AW42" i="26" s="1"/>
  <c r="AR42" i="26"/>
  <c r="AT42" i="26" s="1"/>
  <c r="AQ42" i="26"/>
  <c r="AS42" i="26" s="1"/>
  <c r="AN42" i="26"/>
  <c r="AP42" i="26" s="1"/>
  <c r="AM42" i="26"/>
  <c r="AO42" i="26" s="1"/>
  <c r="AJ42" i="26"/>
  <c r="AL42" i="26" s="1"/>
  <c r="AI42" i="26"/>
  <c r="AK42" i="26" s="1"/>
  <c r="AF42" i="26"/>
  <c r="AH42" i="26" s="1"/>
  <c r="AE42" i="26"/>
  <c r="AG42" i="26" s="1"/>
  <c r="AB42" i="26"/>
  <c r="AD42" i="26" s="1"/>
  <c r="AA42" i="26"/>
  <c r="AC42" i="26" s="1"/>
  <c r="X42" i="26"/>
  <c r="Z42" i="26" s="1"/>
  <c r="W42" i="26"/>
  <c r="Y42" i="26" s="1"/>
  <c r="T42" i="26"/>
  <c r="V42" i="26" s="1"/>
  <c r="S42" i="26"/>
  <c r="U42" i="26" s="1"/>
  <c r="P42" i="26"/>
  <c r="R42" i="26" s="1"/>
  <c r="O42" i="26"/>
  <c r="Q42" i="26" s="1"/>
  <c r="L42" i="26"/>
  <c r="N42" i="26" s="1"/>
  <c r="K42" i="26"/>
  <c r="M42" i="26" s="1"/>
  <c r="H42" i="26"/>
  <c r="J42" i="26" s="1"/>
  <c r="G42" i="26"/>
  <c r="I42" i="26" s="1"/>
  <c r="E42" i="26"/>
  <c r="D42" i="26"/>
  <c r="C42" i="26"/>
  <c r="AV41" i="26"/>
  <c r="AX41" i="26" s="1"/>
  <c r="AU41" i="26"/>
  <c r="AW41" i="26" s="1"/>
  <c r="AR41" i="26"/>
  <c r="AT41" i="26" s="1"/>
  <c r="AQ41" i="26"/>
  <c r="AS41" i="26" s="1"/>
  <c r="AN41" i="26"/>
  <c r="AP41" i="26" s="1"/>
  <c r="AM41" i="26"/>
  <c r="AO41" i="26" s="1"/>
  <c r="AJ41" i="26"/>
  <c r="AL41" i="26" s="1"/>
  <c r="AI41" i="26"/>
  <c r="AK41" i="26" s="1"/>
  <c r="AF41" i="26"/>
  <c r="AH41" i="26" s="1"/>
  <c r="AE41" i="26"/>
  <c r="AG41" i="26" s="1"/>
  <c r="AB41" i="26"/>
  <c r="AD41" i="26" s="1"/>
  <c r="AA41" i="26"/>
  <c r="AC41" i="26" s="1"/>
  <c r="X41" i="26"/>
  <c r="Z41" i="26" s="1"/>
  <c r="W41" i="26"/>
  <c r="Y41" i="26" s="1"/>
  <c r="T41" i="26"/>
  <c r="V41" i="26" s="1"/>
  <c r="S41" i="26"/>
  <c r="U41" i="26" s="1"/>
  <c r="P41" i="26"/>
  <c r="R41" i="26" s="1"/>
  <c r="O41" i="26"/>
  <c r="Q41" i="26" s="1"/>
  <c r="L41" i="26"/>
  <c r="N41" i="26" s="1"/>
  <c r="K41" i="26"/>
  <c r="M41" i="26" s="1"/>
  <c r="H41" i="26"/>
  <c r="J41" i="26" s="1"/>
  <c r="G41" i="26"/>
  <c r="I41" i="26" s="1"/>
  <c r="E41" i="26"/>
  <c r="D41" i="26"/>
  <c r="C41" i="26"/>
  <c r="AV40" i="26"/>
  <c r="AX40" i="26" s="1"/>
  <c r="AU40" i="26"/>
  <c r="AW40" i="26" s="1"/>
  <c r="AR40" i="26"/>
  <c r="AT40" i="26" s="1"/>
  <c r="AQ40" i="26"/>
  <c r="AS40" i="26" s="1"/>
  <c r="AN40" i="26"/>
  <c r="AP40" i="26" s="1"/>
  <c r="AM40" i="26"/>
  <c r="AO40" i="26" s="1"/>
  <c r="AJ40" i="26"/>
  <c r="AL40" i="26" s="1"/>
  <c r="AI40" i="26"/>
  <c r="AK40" i="26" s="1"/>
  <c r="AF40" i="26"/>
  <c r="AH40" i="26" s="1"/>
  <c r="AE40" i="26"/>
  <c r="AG40" i="26" s="1"/>
  <c r="AB40" i="26"/>
  <c r="AD40" i="26" s="1"/>
  <c r="AA40" i="26"/>
  <c r="AC40" i="26" s="1"/>
  <c r="X40" i="26"/>
  <c r="Z40" i="26" s="1"/>
  <c r="W40" i="26"/>
  <c r="Y40" i="26" s="1"/>
  <c r="T40" i="26"/>
  <c r="V40" i="26" s="1"/>
  <c r="S40" i="26"/>
  <c r="U40" i="26" s="1"/>
  <c r="P40" i="26"/>
  <c r="R40" i="26" s="1"/>
  <c r="O40" i="26"/>
  <c r="Q40" i="26" s="1"/>
  <c r="L40" i="26"/>
  <c r="N40" i="26" s="1"/>
  <c r="K40" i="26"/>
  <c r="M40" i="26" s="1"/>
  <c r="H40" i="26"/>
  <c r="J40" i="26" s="1"/>
  <c r="G40" i="26"/>
  <c r="I40" i="26" s="1"/>
  <c r="E40" i="26"/>
  <c r="D40" i="26"/>
  <c r="C40" i="26"/>
  <c r="AV39" i="26"/>
  <c r="AX39" i="26" s="1"/>
  <c r="AU39" i="26"/>
  <c r="AW39" i="26" s="1"/>
  <c r="AR39" i="26"/>
  <c r="AT39" i="26" s="1"/>
  <c r="AQ39" i="26"/>
  <c r="AS39" i="26" s="1"/>
  <c r="AN39" i="26"/>
  <c r="AP39" i="26" s="1"/>
  <c r="AM39" i="26"/>
  <c r="AO39" i="26" s="1"/>
  <c r="AJ39" i="26"/>
  <c r="AL39" i="26" s="1"/>
  <c r="AI39" i="26"/>
  <c r="AK39" i="26" s="1"/>
  <c r="AF39" i="26"/>
  <c r="AH39" i="26" s="1"/>
  <c r="AE39" i="26"/>
  <c r="AG39" i="26" s="1"/>
  <c r="AB39" i="26"/>
  <c r="AD39" i="26" s="1"/>
  <c r="AA39" i="26"/>
  <c r="AC39" i="26" s="1"/>
  <c r="X39" i="26"/>
  <c r="Z39" i="26" s="1"/>
  <c r="W39" i="26"/>
  <c r="Y39" i="26" s="1"/>
  <c r="T39" i="26"/>
  <c r="V39" i="26" s="1"/>
  <c r="S39" i="26"/>
  <c r="U39" i="26" s="1"/>
  <c r="P39" i="26"/>
  <c r="R39" i="26" s="1"/>
  <c r="O39" i="26"/>
  <c r="Q39" i="26" s="1"/>
  <c r="L39" i="26"/>
  <c r="N39" i="26" s="1"/>
  <c r="K39" i="26"/>
  <c r="M39" i="26" s="1"/>
  <c r="H39" i="26"/>
  <c r="J39" i="26" s="1"/>
  <c r="G39" i="26"/>
  <c r="I39" i="26" s="1"/>
  <c r="E39" i="26"/>
  <c r="D39" i="26"/>
  <c r="C39" i="26"/>
  <c r="AV38" i="26"/>
  <c r="AX38" i="26" s="1"/>
  <c r="AU38" i="26"/>
  <c r="AW38" i="26" s="1"/>
  <c r="AR38" i="26"/>
  <c r="AT38" i="26" s="1"/>
  <c r="AQ38" i="26"/>
  <c r="AS38" i="26" s="1"/>
  <c r="AN38" i="26"/>
  <c r="AP38" i="26" s="1"/>
  <c r="AM38" i="26"/>
  <c r="AO38" i="26" s="1"/>
  <c r="AJ38" i="26"/>
  <c r="AL38" i="26" s="1"/>
  <c r="AI38" i="26"/>
  <c r="AK38" i="26" s="1"/>
  <c r="AF38" i="26"/>
  <c r="AH38" i="26" s="1"/>
  <c r="AE38" i="26"/>
  <c r="AG38" i="26" s="1"/>
  <c r="AB38" i="26"/>
  <c r="AD38" i="26" s="1"/>
  <c r="AA38" i="26"/>
  <c r="AC38" i="26" s="1"/>
  <c r="X38" i="26"/>
  <c r="Z38" i="26" s="1"/>
  <c r="W38" i="26"/>
  <c r="Y38" i="26" s="1"/>
  <c r="T38" i="26"/>
  <c r="V38" i="26" s="1"/>
  <c r="S38" i="26"/>
  <c r="U38" i="26" s="1"/>
  <c r="P38" i="26"/>
  <c r="R38" i="26" s="1"/>
  <c r="O38" i="26"/>
  <c r="Q38" i="26" s="1"/>
  <c r="L38" i="26"/>
  <c r="N38" i="26" s="1"/>
  <c r="K38" i="26"/>
  <c r="M38" i="26" s="1"/>
  <c r="H38" i="26"/>
  <c r="J38" i="26" s="1"/>
  <c r="G38" i="26"/>
  <c r="I38" i="26" s="1"/>
  <c r="E38" i="26"/>
  <c r="D38" i="26"/>
  <c r="C38" i="26"/>
  <c r="AV37" i="26"/>
  <c r="AX37" i="26" s="1"/>
  <c r="AU37" i="26"/>
  <c r="AW37" i="26" s="1"/>
  <c r="AR37" i="26"/>
  <c r="AT37" i="26" s="1"/>
  <c r="AQ37" i="26"/>
  <c r="AS37" i="26" s="1"/>
  <c r="AN37" i="26"/>
  <c r="AP37" i="26" s="1"/>
  <c r="AM37" i="26"/>
  <c r="AO37" i="26" s="1"/>
  <c r="AJ37" i="26"/>
  <c r="AL37" i="26" s="1"/>
  <c r="AI37" i="26"/>
  <c r="AK37" i="26" s="1"/>
  <c r="AF37" i="26"/>
  <c r="AH37" i="26" s="1"/>
  <c r="AE37" i="26"/>
  <c r="AG37" i="26" s="1"/>
  <c r="AB37" i="26"/>
  <c r="AD37" i="26" s="1"/>
  <c r="AA37" i="26"/>
  <c r="AC37" i="26" s="1"/>
  <c r="X37" i="26"/>
  <c r="Z37" i="26" s="1"/>
  <c r="W37" i="26"/>
  <c r="Y37" i="26" s="1"/>
  <c r="T37" i="26"/>
  <c r="V37" i="26" s="1"/>
  <c r="S37" i="26"/>
  <c r="U37" i="26" s="1"/>
  <c r="P37" i="26"/>
  <c r="R37" i="26" s="1"/>
  <c r="O37" i="26"/>
  <c r="Q37" i="26" s="1"/>
  <c r="L37" i="26"/>
  <c r="N37" i="26" s="1"/>
  <c r="K37" i="26"/>
  <c r="M37" i="26" s="1"/>
  <c r="I37" i="26"/>
  <c r="H37" i="26"/>
  <c r="J37" i="26" s="1"/>
  <c r="G37" i="26"/>
  <c r="E37" i="26"/>
  <c r="D37" i="26"/>
  <c r="C37" i="26"/>
  <c r="AV36" i="26"/>
  <c r="AX36" i="26" s="1"/>
  <c r="AU36" i="26"/>
  <c r="AW36" i="26" s="1"/>
  <c r="AR36" i="26"/>
  <c r="AT36" i="26" s="1"/>
  <c r="AQ36" i="26"/>
  <c r="AS36" i="26" s="1"/>
  <c r="AN36" i="26"/>
  <c r="AP36" i="26" s="1"/>
  <c r="AM36" i="26"/>
  <c r="AO36" i="26" s="1"/>
  <c r="AJ36" i="26"/>
  <c r="AL36" i="26" s="1"/>
  <c r="AI36" i="26"/>
  <c r="AK36" i="26" s="1"/>
  <c r="AF36" i="26"/>
  <c r="AH36" i="26" s="1"/>
  <c r="AE36" i="26"/>
  <c r="AG36" i="26" s="1"/>
  <c r="AB36" i="26"/>
  <c r="AD36" i="26" s="1"/>
  <c r="AA36" i="26"/>
  <c r="AC36" i="26" s="1"/>
  <c r="X36" i="26"/>
  <c r="Z36" i="26" s="1"/>
  <c r="W36" i="26"/>
  <c r="Y36" i="26" s="1"/>
  <c r="T36" i="26"/>
  <c r="V36" i="26" s="1"/>
  <c r="S36" i="26"/>
  <c r="U36" i="26" s="1"/>
  <c r="P36" i="26"/>
  <c r="R36" i="26" s="1"/>
  <c r="O36" i="26"/>
  <c r="Q36" i="26" s="1"/>
  <c r="L36" i="26"/>
  <c r="N36" i="26" s="1"/>
  <c r="K36" i="26"/>
  <c r="M36" i="26" s="1"/>
  <c r="H36" i="26"/>
  <c r="J36" i="26" s="1"/>
  <c r="G36" i="26"/>
  <c r="I36" i="26" s="1"/>
  <c r="E36" i="26"/>
  <c r="D36" i="26"/>
  <c r="C36" i="26"/>
  <c r="AV35" i="26"/>
  <c r="AX35" i="26" s="1"/>
  <c r="AU35" i="26"/>
  <c r="AW35" i="26" s="1"/>
  <c r="AR35" i="26"/>
  <c r="AT35" i="26" s="1"/>
  <c r="AQ35" i="26"/>
  <c r="AS35" i="26" s="1"/>
  <c r="AN35" i="26"/>
  <c r="AP35" i="26" s="1"/>
  <c r="AM35" i="26"/>
  <c r="AO35" i="26" s="1"/>
  <c r="AJ35" i="26"/>
  <c r="AL35" i="26" s="1"/>
  <c r="AI35" i="26"/>
  <c r="AK35" i="26" s="1"/>
  <c r="AF35" i="26"/>
  <c r="AH35" i="26" s="1"/>
  <c r="AE35" i="26"/>
  <c r="AG35" i="26" s="1"/>
  <c r="AB35" i="26"/>
  <c r="AD35" i="26" s="1"/>
  <c r="AA35" i="26"/>
  <c r="AC35" i="26" s="1"/>
  <c r="X35" i="26"/>
  <c r="Z35" i="26" s="1"/>
  <c r="W35" i="26"/>
  <c r="Y35" i="26" s="1"/>
  <c r="T35" i="26"/>
  <c r="V35" i="26" s="1"/>
  <c r="S35" i="26"/>
  <c r="U35" i="26" s="1"/>
  <c r="P35" i="26"/>
  <c r="R35" i="26" s="1"/>
  <c r="O35" i="26"/>
  <c r="Q35" i="26" s="1"/>
  <c r="L35" i="26"/>
  <c r="N35" i="26" s="1"/>
  <c r="K35" i="26"/>
  <c r="M35" i="26" s="1"/>
  <c r="H35" i="26"/>
  <c r="J35" i="26" s="1"/>
  <c r="G35" i="26"/>
  <c r="I35" i="26" s="1"/>
  <c r="E35" i="26"/>
  <c r="D35" i="26"/>
  <c r="C35" i="26"/>
  <c r="AV34" i="26"/>
  <c r="AX34" i="26" s="1"/>
  <c r="AU34" i="26"/>
  <c r="AW34" i="26" s="1"/>
  <c r="AR34" i="26"/>
  <c r="AT34" i="26" s="1"/>
  <c r="AQ34" i="26"/>
  <c r="AS34" i="26" s="1"/>
  <c r="AN34" i="26"/>
  <c r="AP34" i="26" s="1"/>
  <c r="AM34" i="26"/>
  <c r="AO34" i="26" s="1"/>
  <c r="AJ34" i="26"/>
  <c r="AL34" i="26" s="1"/>
  <c r="AI34" i="26"/>
  <c r="AK34" i="26" s="1"/>
  <c r="AF34" i="26"/>
  <c r="AH34" i="26" s="1"/>
  <c r="AE34" i="26"/>
  <c r="AG34" i="26" s="1"/>
  <c r="AB34" i="26"/>
  <c r="AD34" i="26" s="1"/>
  <c r="AA34" i="26"/>
  <c r="AC34" i="26" s="1"/>
  <c r="X34" i="26"/>
  <c r="Z34" i="26" s="1"/>
  <c r="W34" i="26"/>
  <c r="Y34" i="26" s="1"/>
  <c r="T34" i="26"/>
  <c r="V34" i="26" s="1"/>
  <c r="S34" i="26"/>
  <c r="U34" i="26" s="1"/>
  <c r="P34" i="26"/>
  <c r="R34" i="26" s="1"/>
  <c r="O34" i="26"/>
  <c r="Q34" i="26" s="1"/>
  <c r="L34" i="26"/>
  <c r="N34" i="26" s="1"/>
  <c r="K34" i="26"/>
  <c r="M34" i="26" s="1"/>
  <c r="H34" i="26"/>
  <c r="J34" i="26" s="1"/>
  <c r="G34" i="26"/>
  <c r="I34" i="26" s="1"/>
  <c r="E34" i="26"/>
  <c r="D34" i="26"/>
  <c r="C34" i="26"/>
  <c r="AV33" i="26"/>
  <c r="AX33" i="26" s="1"/>
  <c r="AU33" i="26"/>
  <c r="AW33" i="26" s="1"/>
  <c r="AR33" i="26"/>
  <c r="AT33" i="26" s="1"/>
  <c r="AQ33" i="26"/>
  <c r="AS33" i="26" s="1"/>
  <c r="AN33" i="26"/>
  <c r="AP33" i="26" s="1"/>
  <c r="AM33" i="26"/>
  <c r="AO33" i="26" s="1"/>
  <c r="AJ33" i="26"/>
  <c r="AL33" i="26" s="1"/>
  <c r="AI33" i="26"/>
  <c r="AK33" i="26" s="1"/>
  <c r="AF33" i="26"/>
  <c r="AH33" i="26" s="1"/>
  <c r="AE33" i="26"/>
  <c r="AG33" i="26" s="1"/>
  <c r="AB33" i="26"/>
  <c r="AD33" i="26" s="1"/>
  <c r="AA33" i="26"/>
  <c r="AC33" i="26" s="1"/>
  <c r="X33" i="26"/>
  <c r="Z33" i="26" s="1"/>
  <c r="W33" i="26"/>
  <c r="Y33" i="26" s="1"/>
  <c r="T33" i="26"/>
  <c r="V33" i="26" s="1"/>
  <c r="S33" i="26"/>
  <c r="U33" i="26" s="1"/>
  <c r="P33" i="26"/>
  <c r="R33" i="26" s="1"/>
  <c r="O33" i="26"/>
  <c r="Q33" i="26" s="1"/>
  <c r="L33" i="26"/>
  <c r="N33" i="26" s="1"/>
  <c r="K33" i="26"/>
  <c r="M33" i="26" s="1"/>
  <c r="H33" i="26"/>
  <c r="J33" i="26" s="1"/>
  <c r="G33" i="26"/>
  <c r="I33" i="26" s="1"/>
  <c r="E33" i="26"/>
  <c r="D33" i="26"/>
  <c r="C33" i="26"/>
  <c r="AV32" i="26"/>
  <c r="AX32" i="26" s="1"/>
  <c r="AU32" i="26"/>
  <c r="AW32" i="26" s="1"/>
  <c r="AR32" i="26"/>
  <c r="AT32" i="26" s="1"/>
  <c r="AQ32" i="26"/>
  <c r="AS32" i="26" s="1"/>
  <c r="AN32" i="26"/>
  <c r="AP32" i="26" s="1"/>
  <c r="AM32" i="26"/>
  <c r="AO32" i="26" s="1"/>
  <c r="AJ32" i="26"/>
  <c r="AL32" i="26" s="1"/>
  <c r="AI32" i="26"/>
  <c r="AK32" i="26" s="1"/>
  <c r="AF32" i="26"/>
  <c r="AH32" i="26" s="1"/>
  <c r="AE32" i="26"/>
  <c r="AG32" i="26" s="1"/>
  <c r="AB32" i="26"/>
  <c r="AD32" i="26" s="1"/>
  <c r="AA32" i="26"/>
  <c r="AC32" i="26" s="1"/>
  <c r="X32" i="26"/>
  <c r="Z32" i="26" s="1"/>
  <c r="W32" i="26"/>
  <c r="Y32" i="26" s="1"/>
  <c r="T32" i="26"/>
  <c r="V32" i="26" s="1"/>
  <c r="S32" i="26"/>
  <c r="U32" i="26" s="1"/>
  <c r="P32" i="26"/>
  <c r="R32" i="26" s="1"/>
  <c r="O32" i="26"/>
  <c r="Q32" i="26" s="1"/>
  <c r="L32" i="26"/>
  <c r="N32" i="26" s="1"/>
  <c r="K32" i="26"/>
  <c r="M32" i="26" s="1"/>
  <c r="H32" i="26"/>
  <c r="J32" i="26" s="1"/>
  <c r="G32" i="26"/>
  <c r="I32" i="26" s="1"/>
  <c r="E32" i="26"/>
  <c r="D32" i="26"/>
  <c r="C32" i="26"/>
  <c r="AV31" i="26"/>
  <c r="AX31" i="26" s="1"/>
  <c r="AU31" i="26"/>
  <c r="AW31" i="26" s="1"/>
  <c r="AR31" i="26"/>
  <c r="AT31" i="26" s="1"/>
  <c r="AQ31" i="26"/>
  <c r="AS31" i="26" s="1"/>
  <c r="AN31" i="26"/>
  <c r="AP31" i="26" s="1"/>
  <c r="AM31" i="26"/>
  <c r="AO31" i="26" s="1"/>
  <c r="AJ31" i="26"/>
  <c r="AL31" i="26" s="1"/>
  <c r="AI31" i="26"/>
  <c r="AK31" i="26" s="1"/>
  <c r="AF31" i="26"/>
  <c r="AH31" i="26" s="1"/>
  <c r="AE31" i="26"/>
  <c r="AG31" i="26" s="1"/>
  <c r="AB31" i="26"/>
  <c r="AD31" i="26" s="1"/>
  <c r="AA31" i="26"/>
  <c r="AC31" i="26" s="1"/>
  <c r="X31" i="26"/>
  <c r="Z31" i="26" s="1"/>
  <c r="W31" i="26"/>
  <c r="Y31" i="26" s="1"/>
  <c r="T31" i="26"/>
  <c r="V31" i="26" s="1"/>
  <c r="S31" i="26"/>
  <c r="U31" i="26" s="1"/>
  <c r="P31" i="26"/>
  <c r="R31" i="26" s="1"/>
  <c r="O31" i="26"/>
  <c r="Q31" i="26" s="1"/>
  <c r="L31" i="26"/>
  <c r="N31" i="26" s="1"/>
  <c r="K31" i="26"/>
  <c r="M31" i="26" s="1"/>
  <c r="H31" i="26"/>
  <c r="J31" i="26" s="1"/>
  <c r="G31" i="26"/>
  <c r="I31" i="26" s="1"/>
  <c r="E31" i="26"/>
  <c r="D31" i="26"/>
  <c r="C31" i="26"/>
  <c r="AV30" i="26"/>
  <c r="AX30" i="26" s="1"/>
  <c r="AU30" i="26"/>
  <c r="AW30" i="26" s="1"/>
  <c r="AR30" i="26"/>
  <c r="AT30" i="26" s="1"/>
  <c r="AQ30" i="26"/>
  <c r="AS30" i="26" s="1"/>
  <c r="AN30" i="26"/>
  <c r="AP30" i="26" s="1"/>
  <c r="AM30" i="26"/>
  <c r="AO30" i="26" s="1"/>
  <c r="AJ30" i="26"/>
  <c r="AL30" i="26" s="1"/>
  <c r="AI30" i="26"/>
  <c r="AK30" i="26" s="1"/>
  <c r="AF30" i="26"/>
  <c r="AH30" i="26" s="1"/>
  <c r="AE30" i="26"/>
  <c r="AG30" i="26" s="1"/>
  <c r="AB30" i="26"/>
  <c r="AD30" i="26" s="1"/>
  <c r="AA30" i="26"/>
  <c r="AC30" i="26" s="1"/>
  <c r="X30" i="26"/>
  <c r="Z30" i="26" s="1"/>
  <c r="W30" i="26"/>
  <c r="Y30" i="26" s="1"/>
  <c r="T30" i="26"/>
  <c r="V30" i="26" s="1"/>
  <c r="S30" i="26"/>
  <c r="U30" i="26" s="1"/>
  <c r="P30" i="26"/>
  <c r="R30" i="26" s="1"/>
  <c r="O30" i="26"/>
  <c r="Q30" i="26" s="1"/>
  <c r="L30" i="26"/>
  <c r="N30" i="26" s="1"/>
  <c r="K30" i="26"/>
  <c r="M30" i="26" s="1"/>
  <c r="H30" i="26"/>
  <c r="J30" i="26" s="1"/>
  <c r="G30" i="26"/>
  <c r="I30" i="26" s="1"/>
  <c r="E30" i="26"/>
  <c r="D30" i="26"/>
  <c r="C30" i="26"/>
  <c r="AV29" i="26"/>
  <c r="AX29" i="26" s="1"/>
  <c r="AU29" i="26"/>
  <c r="AW29" i="26" s="1"/>
  <c r="AR29" i="26"/>
  <c r="AT29" i="26" s="1"/>
  <c r="AQ29" i="26"/>
  <c r="AS29" i="26" s="1"/>
  <c r="AN29" i="26"/>
  <c r="AP29" i="26" s="1"/>
  <c r="AM29" i="26"/>
  <c r="AO29" i="26" s="1"/>
  <c r="AJ29" i="26"/>
  <c r="AL29" i="26" s="1"/>
  <c r="AI29" i="26"/>
  <c r="AK29" i="26" s="1"/>
  <c r="AF29" i="26"/>
  <c r="AH29" i="26" s="1"/>
  <c r="AE29" i="26"/>
  <c r="AG29" i="26" s="1"/>
  <c r="AB29" i="26"/>
  <c r="AD29" i="26" s="1"/>
  <c r="AA29" i="26"/>
  <c r="AC29" i="26" s="1"/>
  <c r="X29" i="26"/>
  <c r="Z29" i="26" s="1"/>
  <c r="W29" i="26"/>
  <c r="Y29" i="26" s="1"/>
  <c r="T29" i="26"/>
  <c r="V29" i="26" s="1"/>
  <c r="S29" i="26"/>
  <c r="U29" i="26" s="1"/>
  <c r="P29" i="26"/>
  <c r="R29" i="26" s="1"/>
  <c r="O29" i="26"/>
  <c r="Q29" i="26" s="1"/>
  <c r="L29" i="26"/>
  <c r="N29" i="26" s="1"/>
  <c r="K29" i="26"/>
  <c r="M29" i="26" s="1"/>
  <c r="H29" i="26"/>
  <c r="J29" i="26" s="1"/>
  <c r="G29" i="26"/>
  <c r="I29" i="26" s="1"/>
  <c r="E29" i="26"/>
  <c r="D29" i="26"/>
  <c r="C29" i="26"/>
  <c r="AV28" i="26"/>
  <c r="AX28" i="26" s="1"/>
  <c r="AU28" i="26"/>
  <c r="AW28" i="26" s="1"/>
  <c r="AR28" i="26"/>
  <c r="AT28" i="26" s="1"/>
  <c r="AQ28" i="26"/>
  <c r="AS28" i="26" s="1"/>
  <c r="AN28" i="26"/>
  <c r="AP28" i="26" s="1"/>
  <c r="AM28" i="26"/>
  <c r="AO28" i="26" s="1"/>
  <c r="AJ28" i="26"/>
  <c r="AL28" i="26" s="1"/>
  <c r="AI28" i="26"/>
  <c r="AK28" i="26" s="1"/>
  <c r="AF28" i="26"/>
  <c r="AH28" i="26" s="1"/>
  <c r="AE28" i="26"/>
  <c r="AG28" i="26" s="1"/>
  <c r="AB28" i="26"/>
  <c r="AD28" i="26" s="1"/>
  <c r="AA28" i="26"/>
  <c r="AC28" i="26" s="1"/>
  <c r="X28" i="26"/>
  <c r="Z28" i="26" s="1"/>
  <c r="W28" i="26"/>
  <c r="Y28" i="26" s="1"/>
  <c r="T28" i="26"/>
  <c r="V28" i="26" s="1"/>
  <c r="S28" i="26"/>
  <c r="U28" i="26" s="1"/>
  <c r="P28" i="26"/>
  <c r="R28" i="26" s="1"/>
  <c r="O28" i="26"/>
  <c r="Q28" i="26" s="1"/>
  <c r="L28" i="26"/>
  <c r="N28" i="26" s="1"/>
  <c r="K28" i="26"/>
  <c r="M28" i="26" s="1"/>
  <c r="H28" i="26"/>
  <c r="J28" i="26" s="1"/>
  <c r="G28" i="26"/>
  <c r="I28" i="26" s="1"/>
  <c r="E28" i="26"/>
  <c r="D28" i="26"/>
  <c r="C28" i="26"/>
  <c r="AV27" i="26"/>
  <c r="AX27" i="26" s="1"/>
  <c r="AU27" i="26"/>
  <c r="AW27" i="26" s="1"/>
  <c r="AR27" i="26"/>
  <c r="AT27" i="26" s="1"/>
  <c r="AQ27" i="26"/>
  <c r="AS27" i="26" s="1"/>
  <c r="AN27" i="26"/>
  <c r="AP27" i="26" s="1"/>
  <c r="AM27" i="26"/>
  <c r="AO27" i="26" s="1"/>
  <c r="AJ27" i="26"/>
  <c r="AL27" i="26" s="1"/>
  <c r="AI27" i="26"/>
  <c r="AK27" i="26" s="1"/>
  <c r="AF27" i="26"/>
  <c r="AH27" i="26" s="1"/>
  <c r="AE27" i="26"/>
  <c r="AG27" i="26" s="1"/>
  <c r="AB27" i="26"/>
  <c r="AD27" i="26" s="1"/>
  <c r="AA27" i="26"/>
  <c r="AC27" i="26" s="1"/>
  <c r="X27" i="26"/>
  <c r="Z27" i="26" s="1"/>
  <c r="W27" i="26"/>
  <c r="Y27" i="26" s="1"/>
  <c r="T27" i="26"/>
  <c r="V27" i="26" s="1"/>
  <c r="S27" i="26"/>
  <c r="U27" i="26" s="1"/>
  <c r="P27" i="26"/>
  <c r="R27" i="26" s="1"/>
  <c r="O27" i="26"/>
  <c r="Q27" i="26" s="1"/>
  <c r="L27" i="26"/>
  <c r="N27" i="26" s="1"/>
  <c r="K27" i="26"/>
  <c r="M27" i="26" s="1"/>
  <c r="H27" i="26"/>
  <c r="J27" i="26" s="1"/>
  <c r="G27" i="26"/>
  <c r="I27" i="26" s="1"/>
  <c r="E27" i="26"/>
  <c r="D27" i="26"/>
  <c r="C27" i="26"/>
  <c r="AV26" i="26"/>
  <c r="AX26" i="26" s="1"/>
  <c r="AU26" i="26"/>
  <c r="AW26" i="26" s="1"/>
  <c r="AR26" i="26"/>
  <c r="AT26" i="26" s="1"/>
  <c r="AQ26" i="26"/>
  <c r="AS26" i="26" s="1"/>
  <c r="AN26" i="26"/>
  <c r="AP26" i="26" s="1"/>
  <c r="AM26" i="26"/>
  <c r="AO26" i="26" s="1"/>
  <c r="AJ26" i="26"/>
  <c r="AL26" i="26" s="1"/>
  <c r="AI26" i="26"/>
  <c r="AK26" i="26" s="1"/>
  <c r="AF26" i="26"/>
  <c r="AH26" i="26" s="1"/>
  <c r="AE26" i="26"/>
  <c r="AG26" i="26" s="1"/>
  <c r="AB26" i="26"/>
  <c r="AD26" i="26" s="1"/>
  <c r="AA26" i="26"/>
  <c r="AC26" i="26" s="1"/>
  <c r="X26" i="26"/>
  <c r="Z26" i="26" s="1"/>
  <c r="W26" i="26"/>
  <c r="Y26" i="26" s="1"/>
  <c r="T26" i="26"/>
  <c r="V26" i="26" s="1"/>
  <c r="S26" i="26"/>
  <c r="U26" i="26" s="1"/>
  <c r="P26" i="26"/>
  <c r="R26" i="26" s="1"/>
  <c r="O26" i="26"/>
  <c r="Q26" i="26" s="1"/>
  <c r="L26" i="26"/>
  <c r="N26" i="26" s="1"/>
  <c r="K26" i="26"/>
  <c r="M26" i="26" s="1"/>
  <c r="H26" i="26"/>
  <c r="J26" i="26" s="1"/>
  <c r="G26" i="26"/>
  <c r="I26" i="26" s="1"/>
  <c r="E26" i="26"/>
  <c r="D26" i="26"/>
  <c r="C26" i="26"/>
  <c r="AV25" i="26"/>
  <c r="AX25" i="26" s="1"/>
  <c r="AU25" i="26"/>
  <c r="AW25" i="26" s="1"/>
  <c r="AR25" i="26"/>
  <c r="AT25" i="26" s="1"/>
  <c r="AQ25" i="26"/>
  <c r="AS25" i="26" s="1"/>
  <c r="AN25" i="26"/>
  <c r="AP25" i="26" s="1"/>
  <c r="AM25" i="26"/>
  <c r="AO25" i="26" s="1"/>
  <c r="AJ25" i="26"/>
  <c r="AL25" i="26" s="1"/>
  <c r="AI25" i="26"/>
  <c r="AK25" i="26" s="1"/>
  <c r="AF25" i="26"/>
  <c r="AH25" i="26" s="1"/>
  <c r="AE25" i="26"/>
  <c r="AG25" i="26" s="1"/>
  <c r="AB25" i="26"/>
  <c r="AD25" i="26" s="1"/>
  <c r="AA25" i="26"/>
  <c r="AC25" i="26" s="1"/>
  <c r="X25" i="26"/>
  <c r="Z25" i="26" s="1"/>
  <c r="W25" i="26"/>
  <c r="Y25" i="26" s="1"/>
  <c r="T25" i="26"/>
  <c r="V25" i="26" s="1"/>
  <c r="S25" i="26"/>
  <c r="U25" i="26" s="1"/>
  <c r="P25" i="26"/>
  <c r="R25" i="26" s="1"/>
  <c r="O25" i="26"/>
  <c r="Q25" i="26" s="1"/>
  <c r="L25" i="26"/>
  <c r="N25" i="26" s="1"/>
  <c r="K25" i="26"/>
  <c r="M25" i="26" s="1"/>
  <c r="H25" i="26"/>
  <c r="J25" i="26" s="1"/>
  <c r="G25" i="26"/>
  <c r="I25" i="26" s="1"/>
  <c r="E25" i="26"/>
  <c r="D25" i="26"/>
  <c r="C25" i="26"/>
  <c r="AV24" i="26"/>
  <c r="AX24" i="26" s="1"/>
  <c r="AU24" i="26"/>
  <c r="AW24" i="26" s="1"/>
  <c r="AR24" i="26"/>
  <c r="AT24" i="26" s="1"/>
  <c r="AQ24" i="26"/>
  <c r="AS24" i="26" s="1"/>
  <c r="AN24" i="26"/>
  <c r="AP24" i="26" s="1"/>
  <c r="AM24" i="26"/>
  <c r="AO24" i="26" s="1"/>
  <c r="AJ24" i="26"/>
  <c r="AL24" i="26" s="1"/>
  <c r="AI24" i="26"/>
  <c r="AK24" i="26" s="1"/>
  <c r="AF24" i="26"/>
  <c r="AH24" i="26" s="1"/>
  <c r="AE24" i="26"/>
  <c r="AG24" i="26" s="1"/>
  <c r="AB24" i="26"/>
  <c r="AD24" i="26" s="1"/>
  <c r="AA24" i="26"/>
  <c r="AC24" i="26" s="1"/>
  <c r="Z24" i="26"/>
  <c r="X24" i="26"/>
  <c r="W24" i="26"/>
  <c r="Y24" i="26" s="1"/>
  <c r="T24" i="26"/>
  <c r="V24" i="26" s="1"/>
  <c r="S24" i="26"/>
  <c r="U24" i="26" s="1"/>
  <c r="P24" i="26"/>
  <c r="R24" i="26" s="1"/>
  <c r="O24" i="26"/>
  <c r="Q24" i="26" s="1"/>
  <c r="L24" i="26"/>
  <c r="N24" i="26" s="1"/>
  <c r="K24" i="26"/>
  <c r="M24" i="26" s="1"/>
  <c r="H24" i="26"/>
  <c r="J24" i="26" s="1"/>
  <c r="G24" i="26"/>
  <c r="I24" i="26" s="1"/>
  <c r="E24" i="26"/>
  <c r="D24" i="26"/>
  <c r="C24" i="26"/>
  <c r="AV23" i="26"/>
  <c r="AX23" i="26" s="1"/>
  <c r="AU23" i="26"/>
  <c r="AW23" i="26" s="1"/>
  <c r="AR23" i="26"/>
  <c r="AT23" i="26" s="1"/>
  <c r="AQ23" i="26"/>
  <c r="AS23" i="26" s="1"/>
  <c r="AN23" i="26"/>
  <c r="AP23" i="26" s="1"/>
  <c r="AM23" i="26"/>
  <c r="AO23" i="26" s="1"/>
  <c r="AJ23" i="26"/>
  <c r="AL23" i="26" s="1"/>
  <c r="AI23" i="26"/>
  <c r="AK23" i="26" s="1"/>
  <c r="AF23" i="26"/>
  <c r="AH23" i="26" s="1"/>
  <c r="AE23" i="26"/>
  <c r="AG23" i="26" s="1"/>
  <c r="AB23" i="26"/>
  <c r="AD23" i="26" s="1"/>
  <c r="AA23" i="26"/>
  <c r="AC23" i="26" s="1"/>
  <c r="X23" i="26"/>
  <c r="Z23" i="26" s="1"/>
  <c r="W23" i="26"/>
  <c r="Y23" i="26" s="1"/>
  <c r="T23" i="26"/>
  <c r="V23" i="26" s="1"/>
  <c r="S23" i="26"/>
  <c r="U23" i="26" s="1"/>
  <c r="P23" i="26"/>
  <c r="R23" i="26" s="1"/>
  <c r="O23" i="26"/>
  <c r="Q23" i="26" s="1"/>
  <c r="L23" i="26"/>
  <c r="N23" i="26" s="1"/>
  <c r="K23" i="26"/>
  <c r="M23" i="26" s="1"/>
  <c r="H23" i="26"/>
  <c r="J23" i="26" s="1"/>
  <c r="G23" i="26"/>
  <c r="I23" i="26" s="1"/>
  <c r="E23" i="26"/>
  <c r="D23" i="26"/>
  <c r="C23" i="26"/>
  <c r="AV22" i="26"/>
  <c r="AX22" i="26" s="1"/>
  <c r="AU22" i="26"/>
  <c r="AW22" i="26" s="1"/>
  <c r="AR22" i="26"/>
  <c r="AT22" i="26" s="1"/>
  <c r="AQ22" i="26"/>
  <c r="AS22" i="26" s="1"/>
  <c r="AN22" i="26"/>
  <c r="AP22" i="26" s="1"/>
  <c r="AM22" i="26"/>
  <c r="AO22" i="26" s="1"/>
  <c r="AJ22" i="26"/>
  <c r="AL22" i="26" s="1"/>
  <c r="AI22" i="26"/>
  <c r="AK22" i="26" s="1"/>
  <c r="AF22" i="26"/>
  <c r="AH22" i="26" s="1"/>
  <c r="AE22" i="26"/>
  <c r="AG22" i="26" s="1"/>
  <c r="AB22" i="26"/>
  <c r="AD22" i="26" s="1"/>
  <c r="AA22" i="26"/>
  <c r="AC22" i="26" s="1"/>
  <c r="X22" i="26"/>
  <c r="Z22" i="26" s="1"/>
  <c r="W22" i="26"/>
  <c r="Y22" i="26" s="1"/>
  <c r="T22" i="26"/>
  <c r="V22" i="26" s="1"/>
  <c r="S22" i="26"/>
  <c r="U22" i="26" s="1"/>
  <c r="P22" i="26"/>
  <c r="R22" i="26" s="1"/>
  <c r="O22" i="26"/>
  <c r="Q22" i="26" s="1"/>
  <c r="L22" i="26"/>
  <c r="N22" i="26" s="1"/>
  <c r="K22" i="26"/>
  <c r="M22" i="26" s="1"/>
  <c r="H22" i="26"/>
  <c r="J22" i="26" s="1"/>
  <c r="G22" i="26"/>
  <c r="I22" i="26" s="1"/>
  <c r="E22" i="26"/>
  <c r="D22" i="26"/>
  <c r="C22" i="26"/>
  <c r="AV21" i="26"/>
  <c r="AX21" i="26" s="1"/>
  <c r="AU21" i="26"/>
  <c r="AW21" i="26" s="1"/>
  <c r="AR21" i="26"/>
  <c r="AT21" i="26" s="1"/>
  <c r="AQ21" i="26"/>
  <c r="AS21" i="26" s="1"/>
  <c r="AN21" i="26"/>
  <c r="AP21" i="26" s="1"/>
  <c r="AM21" i="26"/>
  <c r="AO21" i="26" s="1"/>
  <c r="AJ21" i="26"/>
  <c r="AL21" i="26" s="1"/>
  <c r="AI21" i="26"/>
  <c r="AK21" i="26" s="1"/>
  <c r="AF21" i="26"/>
  <c r="AH21" i="26" s="1"/>
  <c r="AE21" i="26"/>
  <c r="AG21" i="26" s="1"/>
  <c r="AB21" i="26"/>
  <c r="AD21" i="26" s="1"/>
  <c r="AA21" i="26"/>
  <c r="AC21" i="26" s="1"/>
  <c r="X21" i="26"/>
  <c r="Z21" i="26" s="1"/>
  <c r="W21" i="26"/>
  <c r="Y21" i="26" s="1"/>
  <c r="T21" i="26"/>
  <c r="V21" i="26" s="1"/>
  <c r="S21" i="26"/>
  <c r="U21" i="26" s="1"/>
  <c r="P21" i="26"/>
  <c r="R21" i="26" s="1"/>
  <c r="O21" i="26"/>
  <c r="Q21" i="26" s="1"/>
  <c r="L21" i="26"/>
  <c r="N21" i="26" s="1"/>
  <c r="K21" i="26"/>
  <c r="M21" i="26" s="1"/>
  <c r="H21" i="26"/>
  <c r="J21" i="26" s="1"/>
  <c r="G21" i="26"/>
  <c r="I21" i="26" s="1"/>
  <c r="E21" i="26"/>
  <c r="D21" i="26"/>
  <c r="C21" i="26"/>
  <c r="AV20" i="26"/>
  <c r="AX20" i="26" s="1"/>
  <c r="AU20" i="26"/>
  <c r="AW20" i="26" s="1"/>
  <c r="AR20" i="26"/>
  <c r="AT20" i="26" s="1"/>
  <c r="AQ20" i="26"/>
  <c r="AS20" i="26" s="1"/>
  <c r="AN20" i="26"/>
  <c r="AP20" i="26" s="1"/>
  <c r="AM20" i="26"/>
  <c r="AO20" i="26" s="1"/>
  <c r="AJ20" i="26"/>
  <c r="AL20" i="26" s="1"/>
  <c r="AI20" i="26"/>
  <c r="AK20" i="26" s="1"/>
  <c r="AF20" i="26"/>
  <c r="AH20" i="26" s="1"/>
  <c r="AE20" i="26"/>
  <c r="AG20" i="26" s="1"/>
  <c r="AB20" i="26"/>
  <c r="AD20" i="26" s="1"/>
  <c r="AA20" i="26"/>
  <c r="AC20" i="26" s="1"/>
  <c r="X20" i="26"/>
  <c r="Z20" i="26" s="1"/>
  <c r="W20" i="26"/>
  <c r="Y20" i="26" s="1"/>
  <c r="T20" i="26"/>
  <c r="V20" i="26" s="1"/>
  <c r="S20" i="26"/>
  <c r="U20" i="26" s="1"/>
  <c r="P20" i="26"/>
  <c r="R20" i="26" s="1"/>
  <c r="O20" i="26"/>
  <c r="Q20" i="26" s="1"/>
  <c r="L20" i="26"/>
  <c r="N20" i="26" s="1"/>
  <c r="K20" i="26"/>
  <c r="M20" i="26" s="1"/>
  <c r="H20" i="26"/>
  <c r="J20" i="26" s="1"/>
  <c r="G20" i="26"/>
  <c r="I20" i="26" s="1"/>
  <c r="E20" i="26"/>
  <c r="D20" i="26"/>
  <c r="C20" i="26"/>
  <c r="AV19" i="26"/>
  <c r="AX19" i="26" s="1"/>
  <c r="AU19" i="26"/>
  <c r="AW19" i="26" s="1"/>
  <c r="AR19" i="26"/>
  <c r="AT19" i="26" s="1"/>
  <c r="AQ19" i="26"/>
  <c r="AS19" i="26" s="1"/>
  <c r="AN19" i="26"/>
  <c r="AP19" i="26" s="1"/>
  <c r="AM19" i="26"/>
  <c r="AO19" i="26" s="1"/>
  <c r="AJ19" i="26"/>
  <c r="AL19" i="26" s="1"/>
  <c r="AI19" i="26"/>
  <c r="AK19" i="26" s="1"/>
  <c r="AF19" i="26"/>
  <c r="AH19" i="26" s="1"/>
  <c r="AE19" i="26"/>
  <c r="AG19" i="26" s="1"/>
  <c r="AB19" i="26"/>
  <c r="AD19" i="26" s="1"/>
  <c r="AA19" i="26"/>
  <c r="AC19" i="26" s="1"/>
  <c r="X19" i="26"/>
  <c r="Z19" i="26" s="1"/>
  <c r="W19" i="26"/>
  <c r="Y19" i="26" s="1"/>
  <c r="T19" i="26"/>
  <c r="V19" i="26" s="1"/>
  <c r="S19" i="26"/>
  <c r="U19" i="26" s="1"/>
  <c r="P19" i="26"/>
  <c r="R19" i="26" s="1"/>
  <c r="O19" i="26"/>
  <c r="Q19" i="26" s="1"/>
  <c r="L19" i="26"/>
  <c r="N19" i="26" s="1"/>
  <c r="K19" i="26"/>
  <c r="M19" i="26" s="1"/>
  <c r="H19" i="26"/>
  <c r="J19" i="26" s="1"/>
  <c r="G19" i="26"/>
  <c r="I19" i="26" s="1"/>
  <c r="E19" i="26"/>
  <c r="D19" i="26"/>
  <c r="C19" i="26"/>
  <c r="AV18" i="26"/>
  <c r="AX18" i="26" s="1"/>
  <c r="AU18" i="26"/>
  <c r="AW18" i="26" s="1"/>
  <c r="AR18" i="26"/>
  <c r="AT18" i="26" s="1"/>
  <c r="AQ18" i="26"/>
  <c r="AS18" i="26" s="1"/>
  <c r="AN18" i="26"/>
  <c r="AP18" i="26" s="1"/>
  <c r="AM18" i="26"/>
  <c r="AO18" i="26" s="1"/>
  <c r="AJ18" i="26"/>
  <c r="AL18" i="26" s="1"/>
  <c r="AI18" i="26"/>
  <c r="AK18" i="26" s="1"/>
  <c r="AF18" i="26"/>
  <c r="AH18" i="26" s="1"/>
  <c r="AE18" i="26"/>
  <c r="AG18" i="26" s="1"/>
  <c r="AB18" i="26"/>
  <c r="AD18" i="26" s="1"/>
  <c r="AA18" i="26"/>
  <c r="AC18" i="26" s="1"/>
  <c r="X18" i="26"/>
  <c r="Z18" i="26" s="1"/>
  <c r="W18" i="26"/>
  <c r="Y18" i="26" s="1"/>
  <c r="T18" i="26"/>
  <c r="V18" i="26" s="1"/>
  <c r="S18" i="26"/>
  <c r="U18" i="26" s="1"/>
  <c r="P18" i="26"/>
  <c r="R18" i="26" s="1"/>
  <c r="O18" i="26"/>
  <c r="Q18" i="26" s="1"/>
  <c r="L18" i="26"/>
  <c r="N18" i="26" s="1"/>
  <c r="K18" i="26"/>
  <c r="M18" i="26" s="1"/>
  <c r="H18" i="26"/>
  <c r="J18" i="26" s="1"/>
  <c r="G18" i="26"/>
  <c r="I18" i="26" s="1"/>
  <c r="E18" i="26"/>
  <c r="D18" i="26"/>
  <c r="C18" i="26"/>
  <c r="AV17" i="26"/>
  <c r="AX17" i="26" s="1"/>
  <c r="AU17" i="26"/>
  <c r="AW17" i="26" s="1"/>
  <c r="AR17" i="26"/>
  <c r="AT17" i="26" s="1"/>
  <c r="AQ17" i="26"/>
  <c r="AS17" i="26" s="1"/>
  <c r="AN17" i="26"/>
  <c r="AP17" i="26" s="1"/>
  <c r="AM17" i="26"/>
  <c r="AO17" i="26" s="1"/>
  <c r="AJ17" i="26"/>
  <c r="AL17" i="26" s="1"/>
  <c r="AI17" i="26"/>
  <c r="AK17" i="26" s="1"/>
  <c r="AF17" i="26"/>
  <c r="AH17" i="26" s="1"/>
  <c r="AE17" i="26"/>
  <c r="AG17" i="26" s="1"/>
  <c r="AB17" i="26"/>
  <c r="AD17" i="26" s="1"/>
  <c r="AA17" i="26"/>
  <c r="AC17" i="26" s="1"/>
  <c r="X17" i="26"/>
  <c r="Z17" i="26" s="1"/>
  <c r="W17" i="26"/>
  <c r="Y17" i="26" s="1"/>
  <c r="T17" i="26"/>
  <c r="V17" i="26" s="1"/>
  <c r="S17" i="26"/>
  <c r="U17" i="26" s="1"/>
  <c r="P17" i="26"/>
  <c r="R17" i="26" s="1"/>
  <c r="O17" i="26"/>
  <c r="Q17" i="26" s="1"/>
  <c r="L17" i="26"/>
  <c r="N17" i="26" s="1"/>
  <c r="K17" i="26"/>
  <c r="M17" i="26" s="1"/>
  <c r="H17" i="26"/>
  <c r="J17" i="26" s="1"/>
  <c r="G17" i="26"/>
  <c r="I17" i="26" s="1"/>
  <c r="E17" i="26"/>
  <c r="D17" i="26"/>
  <c r="C17" i="26"/>
  <c r="AV16" i="26"/>
  <c r="AX16" i="26" s="1"/>
  <c r="AU16" i="26"/>
  <c r="AW16" i="26" s="1"/>
  <c r="AR16" i="26"/>
  <c r="AT16" i="26" s="1"/>
  <c r="AQ16" i="26"/>
  <c r="AS16" i="26" s="1"/>
  <c r="AN16" i="26"/>
  <c r="AP16" i="26" s="1"/>
  <c r="AM16" i="26"/>
  <c r="AO16" i="26" s="1"/>
  <c r="AJ16" i="26"/>
  <c r="AL16" i="26" s="1"/>
  <c r="AI16" i="26"/>
  <c r="AK16" i="26" s="1"/>
  <c r="AF16" i="26"/>
  <c r="AH16" i="26" s="1"/>
  <c r="AE16" i="26"/>
  <c r="AG16" i="26" s="1"/>
  <c r="AB16" i="26"/>
  <c r="AD16" i="26" s="1"/>
  <c r="AA16" i="26"/>
  <c r="AC16" i="26" s="1"/>
  <c r="X16" i="26"/>
  <c r="Z16" i="26" s="1"/>
  <c r="W16" i="26"/>
  <c r="Y16" i="26" s="1"/>
  <c r="T16" i="26"/>
  <c r="V16" i="26" s="1"/>
  <c r="S16" i="26"/>
  <c r="U16" i="26" s="1"/>
  <c r="P16" i="26"/>
  <c r="R16" i="26" s="1"/>
  <c r="O16" i="26"/>
  <c r="Q16" i="26" s="1"/>
  <c r="L16" i="26"/>
  <c r="N16" i="26" s="1"/>
  <c r="K16" i="26"/>
  <c r="M16" i="26" s="1"/>
  <c r="H16" i="26"/>
  <c r="J16" i="26" s="1"/>
  <c r="G16" i="26"/>
  <c r="I16" i="26" s="1"/>
  <c r="E16" i="26"/>
  <c r="D16" i="26"/>
  <c r="C16" i="26"/>
  <c r="AV15" i="26"/>
  <c r="AX15" i="26" s="1"/>
  <c r="AU15" i="26"/>
  <c r="AW15" i="26" s="1"/>
  <c r="AR15" i="26"/>
  <c r="AT15" i="26" s="1"/>
  <c r="AQ15" i="26"/>
  <c r="AS15" i="26" s="1"/>
  <c r="AN15" i="26"/>
  <c r="AP15" i="26" s="1"/>
  <c r="AM15" i="26"/>
  <c r="AO15" i="26" s="1"/>
  <c r="AJ15" i="26"/>
  <c r="AL15" i="26" s="1"/>
  <c r="AI15" i="26"/>
  <c r="AK15" i="26" s="1"/>
  <c r="AF15" i="26"/>
  <c r="AH15" i="26" s="1"/>
  <c r="AE15" i="26"/>
  <c r="AG15" i="26" s="1"/>
  <c r="AB15" i="26"/>
  <c r="AD15" i="26" s="1"/>
  <c r="AA15" i="26"/>
  <c r="AC15" i="26" s="1"/>
  <c r="X15" i="26"/>
  <c r="Z15" i="26" s="1"/>
  <c r="W15" i="26"/>
  <c r="Y15" i="26" s="1"/>
  <c r="T15" i="26"/>
  <c r="V15" i="26" s="1"/>
  <c r="S15" i="26"/>
  <c r="U15" i="26" s="1"/>
  <c r="P15" i="26"/>
  <c r="R15" i="26" s="1"/>
  <c r="O15" i="26"/>
  <c r="Q15" i="26" s="1"/>
  <c r="L15" i="26"/>
  <c r="N15" i="26" s="1"/>
  <c r="K15" i="26"/>
  <c r="M15" i="26" s="1"/>
  <c r="H15" i="26"/>
  <c r="J15" i="26" s="1"/>
  <c r="G15" i="26"/>
  <c r="I15" i="26" s="1"/>
  <c r="E15" i="26"/>
  <c r="D15" i="26"/>
  <c r="C15" i="26"/>
  <c r="AV14" i="26"/>
  <c r="AX14" i="26" s="1"/>
  <c r="AU14" i="26"/>
  <c r="AW14" i="26" s="1"/>
  <c r="AR14" i="26"/>
  <c r="AT14" i="26" s="1"/>
  <c r="AQ14" i="26"/>
  <c r="AS14" i="26" s="1"/>
  <c r="AN14" i="26"/>
  <c r="AP14" i="26" s="1"/>
  <c r="AM14" i="26"/>
  <c r="AO14" i="26" s="1"/>
  <c r="AJ14" i="26"/>
  <c r="AL14" i="26" s="1"/>
  <c r="AI14" i="26"/>
  <c r="AK14" i="26" s="1"/>
  <c r="AF14" i="26"/>
  <c r="AH14" i="26" s="1"/>
  <c r="AE14" i="26"/>
  <c r="AG14" i="26" s="1"/>
  <c r="AB14" i="26"/>
  <c r="AD14" i="26" s="1"/>
  <c r="AA14" i="26"/>
  <c r="AC14" i="26" s="1"/>
  <c r="X14" i="26"/>
  <c r="Z14" i="26" s="1"/>
  <c r="W14" i="26"/>
  <c r="Y14" i="26" s="1"/>
  <c r="T14" i="26"/>
  <c r="V14" i="26" s="1"/>
  <c r="S14" i="26"/>
  <c r="U14" i="26" s="1"/>
  <c r="P14" i="26"/>
  <c r="R14" i="26" s="1"/>
  <c r="O14" i="26"/>
  <c r="Q14" i="26" s="1"/>
  <c r="L14" i="26"/>
  <c r="N14" i="26" s="1"/>
  <c r="K14" i="26"/>
  <c r="M14" i="26" s="1"/>
  <c r="H14" i="26"/>
  <c r="J14" i="26" s="1"/>
  <c r="G14" i="26"/>
  <c r="I14" i="26" s="1"/>
  <c r="E14" i="26"/>
  <c r="D14" i="26"/>
  <c r="C14" i="26"/>
  <c r="AV13" i="26"/>
  <c r="AX13" i="26" s="1"/>
  <c r="AU13" i="26"/>
  <c r="AW13" i="26" s="1"/>
  <c r="AR13" i="26"/>
  <c r="AT13" i="26" s="1"/>
  <c r="AQ13" i="26"/>
  <c r="AS13" i="26" s="1"/>
  <c r="AN13" i="26"/>
  <c r="AP13" i="26" s="1"/>
  <c r="AM13" i="26"/>
  <c r="AO13" i="26" s="1"/>
  <c r="AJ13" i="26"/>
  <c r="AL13" i="26" s="1"/>
  <c r="AI13" i="26"/>
  <c r="AK13" i="26" s="1"/>
  <c r="AF13" i="26"/>
  <c r="AH13" i="26" s="1"/>
  <c r="AE13" i="26"/>
  <c r="AG13" i="26" s="1"/>
  <c r="AB13" i="26"/>
  <c r="AD13" i="26" s="1"/>
  <c r="AA13" i="26"/>
  <c r="AC13" i="26" s="1"/>
  <c r="X13" i="26"/>
  <c r="Z13" i="26" s="1"/>
  <c r="W13" i="26"/>
  <c r="Y13" i="26" s="1"/>
  <c r="T13" i="26"/>
  <c r="V13" i="26" s="1"/>
  <c r="S13" i="26"/>
  <c r="U13" i="26" s="1"/>
  <c r="P13" i="26"/>
  <c r="R13" i="26" s="1"/>
  <c r="O13" i="26"/>
  <c r="Q13" i="26" s="1"/>
  <c r="L13" i="26"/>
  <c r="N13" i="26" s="1"/>
  <c r="K13" i="26"/>
  <c r="M13" i="26" s="1"/>
  <c r="H13" i="26"/>
  <c r="J13" i="26" s="1"/>
  <c r="G13" i="26"/>
  <c r="I13" i="26" s="1"/>
  <c r="E13" i="26"/>
  <c r="D13" i="26"/>
  <c r="C13" i="26"/>
  <c r="AV12" i="26"/>
  <c r="AX12" i="26" s="1"/>
  <c r="AU12" i="26"/>
  <c r="AW12" i="26" s="1"/>
  <c r="AR12" i="26"/>
  <c r="AT12" i="26" s="1"/>
  <c r="AQ12" i="26"/>
  <c r="AS12" i="26" s="1"/>
  <c r="AN12" i="26"/>
  <c r="AP12" i="26" s="1"/>
  <c r="AM12" i="26"/>
  <c r="AO12" i="26" s="1"/>
  <c r="AJ12" i="26"/>
  <c r="AL12" i="26" s="1"/>
  <c r="AI12" i="26"/>
  <c r="AK12" i="26" s="1"/>
  <c r="AF12" i="26"/>
  <c r="AH12" i="26" s="1"/>
  <c r="AE12" i="26"/>
  <c r="AG12" i="26" s="1"/>
  <c r="AB12" i="26"/>
  <c r="AD12" i="26" s="1"/>
  <c r="AA12" i="26"/>
  <c r="AC12" i="26" s="1"/>
  <c r="X12" i="26"/>
  <c r="Z12" i="26" s="1"/>
  <c r="W12" i="26"/>
  <c r="Y12" i="26" s="1"/>
  <c r="T12" i="26"/>
  <c r="V12" i="26" s="1"/>
  <c r="S12" i="26"/>
  <c r="U12" i="26" s="1"/>
  <c r="P12" i="26"/>
  <c r="R12" i="26" s="1"/>
  <c r="O12" i="26"/>
  <c r="Q12" i="26" s="1"/>
  <c r="L12" i="26"/>
  <c r="N12" i="26" s="1"/>
  <c r="K12" i="26"/>
  <c r="M12" i="26" s="1"/>
  <c r="H12" i="26"/>
  <c r="J12" i="26" s="1"/>
  <c r="G12" i="26"/>
  <c r="I12" i="26" s="1"/>
  <c r="E12" i="26"/>
  <c r="D12" i="26"/>
  <c r="C12" i="26"/>
  <c r="AV11" i="26"/>
  <c r="AX11" i="26" s="1"/>
  <c r="AU11" i="26"/>
  <c r="AW11" i="26" s="1"/>
  <c r="AR11" i="26"/>
  <c r="AT11" i="26" s="1"/>
  <c r="AQ11" i="26"/>
  <c r="AS11" i="26" s="1"/>
  <c r="AN11" i="26"/>
  <c r="AP11" i="26" s="1"/>
  <c r="AM11" i="26"/>
  <c r="AO11" i="26" s="1"/>
  <c r="AJ11" i="26"/>
  <c r="AL11" i="26" s="1"/>
  <c r="AI11" i="26"/>
  <c r="AK11" i="26" s="1"/>
  <c r="AF11" i="26"/>
  <c r="AH11" i="26" s="1"/>
  <c r="AE11" i="26"/>
  <c r="AG11" i="26" s="1"/>
  <c r="AB11" i="26"/>
  <c r="AD11" i="26" s="1"/>
  <c r="AA11" i="26"/>
  <c r="AC11" i="26" s="1"/>
  <c r="X11" i="26"/>
  <c r="Z11" i="26" s="1"/>
  <c r="W11" i="26"/>
  <c r="Y11" i="26" s="1"/>
  <c r="T11" i="26"/>
  <c r="V11" i="26" s="1"/>
  <c r="S11" i="26"/>
  <c r="U11" i="26" s="1"/>
  <c r="P11" i="26"/>
  <c r="R11" i="26" s="1"/>
  <c r="O11" i="26"/>
  <c r="Q11" i="26" s="1"/>
  <c r="L11" i="26"/>
  <c r="N11" i="26" s="1"/>
  <c r="K11" i="26"/>
  <c r="M11" i="26" s="1"/>
  <c r="H11" i="26"/>
  <c r="J11" i="26" s="1"/>
  <c r="G11" i="26"/>
  <c r="I11" i="26" s="1"/>
  <c r="E11" i="26"/>
  <c r="D11" i="26"/>
  <c r="C11" i="26"/>
  <c r="AV10" i="26"/>
  <c r="AX10" i="26" s="1"/>
  <c r="AU10" i="26"/>
  <c r="AW10" i="26" s="1"/>
  <c r="AR10" i="26"/>
  <c r="AT10" i="26" s="1"/>
  <c r="AQ10" i="26"/>
  <c r="AS10" i="26" s="1"/>
  <c r="AN10" i="26"/>
  <c r="AP10" i="26" s="1"/>
  <c r="AM10" i="26"/>
  <c r="AO10" i="26" s="1"/>
  <c r="AJ10" i="26"/>
  <c r="AL10" i="26" s="1"/>
  <c r="AI10" i="26"/>
  <c r="AK10" i="26" s="1"/>
  <c r="AF10" i="26"/>
  <c r="AH10" i="26" s="1"/>
  <c r="AE10" i="26"/>
  <c r="AG10" i="26" s="1"/>
  <c r="AB10" i="26"/>
  <c r="AD10" i="26" s="1"/>
  <c r="AA10" i="26"/>
  <c r="AC10" i="26" s="1"/>
  <c r="X10" i="26"/>
  <c r="Z10" i="26" s="1"/>
  <c r="W10" i="26"/>
  <c r="Y10" i="26" s="1"/>
  <c r="T10" i="26"/>
  <c r="V10" i="26" s="1"/>
  <c r="S10" i="26"/>
  <c r="U10" i="26" s="1"/>
  <c r="P10" i="26"/>
  <c r="R10" i="26" s="1"/>
  <c r="O10" i="26"/>
  <c r="Q10" i="26" s="1"/>
  <c r="N10" i="26"/>
  <c r="L10" i="26"/>
  <c r="K10" i="26"/>
  <c r="M10" i="26" s="1"/>
  <c r="H10" i="26"/>
  <c r="J10" i="26" s="1"/>
  <c r="G10" i="26"/>
  <c r="I10" i="26" s="1"/>
  <c r="E10" i="26"/>
  <c r="D10" i="26"/>
  <c r="C10" i="26"/>
  <c r="AV9" i="26"/>
  <c r="AX9" i="26" s="1"/>
  <c r="AU9" i="26"/>
  <c r="AW9" i="26" s="1"/>
  <c r="AR9" i="26"/>
  <c r="AT9" i="26" s="1"/>
  <c r="AQ9" i="26"/>
  <c r="AS9" i="26" s="1"/>
  <c r="AN9" i="26"/>
  <c r="AP9" i="26" s="1"/>
  <c r="AM9" i="26"/>
  <c r="AO9" i="26" s="1"/>
  <c r="AJ9" i="26"/>
  <c r="AL9" i="26" s="1"/>
  <c r="AI9" i="26"/>
  <c r="AK9" i="26" s="1"/>
  <c r="AF9" i="26"/>
  <c r="AH9" i="26" s="1"/>
  <c r="AE9" i="26"/>
  <c r="AG9" i="26" s="1"/>
  <c r="AB9" i="26"/>
  <c r="AD9" i="26" s="1"/>
  <c r="AA9" i="26"/>
  <c r="AC9" i="26" s="1"/>
  <c r="X9" i="26"/>
  <c r="Z9" i="26" s="1"/>
  <c r="W9" i="26"/>
  <c r="Y9" i="26" s="1"/>
  <c r="T9" i="26"/>
  <c r="V9" i="26" s="1"/>
  <c r="S9" i="26"/>
  <c r="U9" i="26" s="1"/>
  <c r="P9" i="26"/>
  <c r="R9" i="26" s="1"/>
  <c r="O9" i="26"/>
  <c r="Q9" i="26" s="1"/>
  <c r="L9" i="26"/>
  <c r="N9" i="26" s="1"/>
  <c r="K9" i="26"/>
  <c r="M9" i="26" s="1"/>
  <c r="H9" i="26"/>
  <c r="J9" i="26" s="1"/>
  <c r="G9" i="26"/>
  <c r="I9" i="26" s="1"/>
  <c r="E9" i="26"/>
  <c r="D9" i="26"/>
  <c r="C9" i="26"/>
  <c r="AV8" i="26"/>
  <c r="AX8" i="26" s="1"/>
  <c r="AU8" i="26"/>
  <c r="AW8" i="26" s="1"/>
  <c r="AR8" i="26"/>
  <c r="AT8" i="26" s="1"/>
  <c r="AQ8" i="26"/>
  <c r="AS8" i="26" s="1"/>
  <c r="AN8" i="26"/>
  <c r="AP8" i="26" s="1"/>
  <c r="AM8" i="26"/>
  <c r="AO8" i="26" s="1"/>
  <c r="AJ8" i="26"/>
  <c r="AL8" i="26" s="1"/>
  <c r="AI8" i="26"/>
  <c r="AK8" i="26" s="1"/>
  <c r="AF8" i="26"/>
  <c r="AH8" i="26" s="1"/>
  <c r="AE8" i="26"/>
  <c r="AG8" i="26" s="1"/>
  <c r="AB8" i="26"/>
  <c r="AD8" i="26" s="1"/>
  <c r="AA8" i="26"/>
  <c r="AC8" i="26" s="1"/>
  <c r="X8" i="26"/>
  <c r="Z8" i="26" s="1"/>
  <c r="W8" i="26"/>
  <c r="Y8" i="26" s="1"/>
  <c r="T8" i="26"/>
  <c r="V8" i="26" s="1"/>
  <c r="S8" i="26"/>
  <c r="U8" i="26" s="1"/>
  <c r="P8" i="26"/>
  <c r="R8" i="26" s="1"/>
  <c r="O8" i="26"/>
  <c r="Q8" i="26" s="1"/>
  <c r="L8" i="26"/>
  <c r="N8" i="26" s="1"/>
  <c r="K8" i="26"/>
  <c r="M8" i="26" s="1"/>
  <c r="H8" i="26"/>
  <c r="J8" i="26" s="1"/>
  <c r="G8" i="26"/>
  <c r="I8" i="26" s="1"/>
  <c r="E8" i="26"/>
  <c r="D8" i="26"/>
  <c r="C8" i="26"/>
  <c r="AV7" i="26"/>
  <c r="AX7" i="26" s="1"/>
  <c r="AU7" i="26"/>
  <c r="AW7" i="26" s="1"/>
  <c r="AR7" i="26"/>
  <c r="AT7" i="26" s="1"/>
  <c r="AQ7" i="26"/>
  <c r="AS7" i="26" s="1"/>
  <c r="AN7" i="26"/>
  <c r="AP7" i="26" s="1"/>
  <c r="AM7" i="26"/>
  <c r="AO7" i="26" s="1"/>
  <c r="AJ7" i="26"/>
  <c r="AL7" i="26" s="1"/>
  <c r="AI7" i="26"/>
  <c r="AK7" i="26" s="1"/>
  <c r="AF7" i="26"/>
  <c r="AH7" i="26" s="1"/>
  <c r="AE7" i="26"/>
  <c r="AG7" i="26" s="1"/>
  <c r="AB7" i="26"/>
  <c r="AD7" i="26" s="1"/>
  <c r="AA7" i="26"/>
  <c r="AC7" i="26" s="1"/>
  <c r="X7" i="26"/>
  <c r="Z7" i="26" s="1"/>
  <c r="W7" i="26"/>
  <c r="Y7" i="26" s="1"/>
  <c r="T7" i="26"/>
  <c r="V7" i="26" s="1"/>
  <c r="S7" i="26"/>
  <c r="U7" i="26" s="1"/>
  <c r="P7" i="26"/>
  <c r="R7" i="26" s="1"/>
  <c r="O7" i="26"/>
  <c r="Q7" i="26" s="1"/>
  <c r="L7" i="26"/>
  <c r="N7" i="26" s="1"/>
  <c r="K7" i="26"/>
  <c r="M7" i="26" s="1"/>
  <c r="H7" i="26"/>
  <c r="J7" i="26" s="1"/>
  <c r="G7" i="26"/>
  <c r="I7" i="26" s="1"/>
  <c r="E7" i="26"/>
  <c r="D7" i="26"/>
  <c r="C7" i="26"/>
  <c r="AV6" i="26"/>
  <c r="AX6" i="26" s="1"/>
  <c r="AU6" i="26"/>
  <c r="AW6" i="26" s="1"/>
  <c r="AR6" i="26"/>
  <c r="AT6" i="26" s="1"/>
  <c r="AQ6" i="26"/>
  <c r="AS6" i="26" s="1"/>
  <c r="AN6" i="26"/>
  <c r="AP6" i="26" s="1"/>
  <c r="AM6" i="26"/>
  <c r="AO6" i="26" s="1"/>
  <c r="AJ6" i="26"/>
  <c r="AL6" i="26" s="1"/>
  <c r="AI6" i="26"/>
  <c r="AK6" i="26" s="1"/>
  <c r="AF6" i="26"/>
  <c r="AH6" i="26" s="1"/>
  <c r="AE6" i="26"/>
  <c r="AG6" i="26" s="1"/>
  <c r="AB6" i="26"/>
  <c r="AD6" i="26" s="1"/>
  <c r="AA6" i="26"/>
  <c r="AC6" i="26" s="1"/>
  <c r="X6" i="26"/>
  <c r="Z6" i="26" s="1"/>
  <c r="W6" i="26"/>
  <c r="Y6" i="26" s="1"/>
  <c r="T6" i="26"/>
  <c r="V6" i="26" s="1"/>
  <c r="S6" i="26"/>
  <c r="U6" i="26" s="1"/>
  <c r="P6" i="26"/>
  <c r="R6" i="26" s="1"/>
  <c r="O6" i="26"/>
  <c r="Q6" i="26" s="1"/>
  <c r="L6" i="26"/>
  <c r="N6" i="26" s="1"/>
  <c r="K6" i="26"/>
  <c r="M6" i="26" s="1"/>
  <c r="H6" i="26"/>
  <c r="J6" i="26" s="1"/>
  <c r="G6" i="26"/>
  <c r="I6" i="26" s="1"/>
  <c r="E6" i="26"/>
  <c r="D6" i="26"/>
  <c r="C6" i="26"/>
  <c r="AV5" i="26"/>
  <c r="AX5" i="26" s="1"/>
  <c r="AU5" i="26"/>
  <c r="AW5" i="26" s="1"/>
  <c r="AR5" i="26"/>
  <c r="AT5" i="26" s="1"/>
  <c r="AQ5" i="26"/>
  <c r="AS5" i="26" s="1"/>
  <c r="AN5" i="26"/>
  <c r="AP5" i="26" s="1"/>
  <c r="AM5" i="26"/>
  <c r="AO5" i="26" s="1"/>
  <c r="AJ5" i="26"/>
  <c r="AL5" i="26" s="1"/>
  <c r="AI5" i="26"/>
  <c r="AK5" i="26" s="1"/>
  <c r="AF5" i="26"/>
  <c r="AH5" i="26" s="1"/>
  <c r="AE5" i="26"/>
  <c r="AG5" i="26" s="1"/>
  <c r="AB5" i="26"/>
  <c r="AD5" i="26" s="1"/>
  <c r="AA5" i="26"/>
  <c r="AC5" i="26" s="1"/>
  <c r="X5" i="26"/>
  <c r="Z5" i="26" s="1"/>
  <c r="W5" i="26"/>
  <c r="Y5" i="26" s="1"/>
  <c r="T5" i="26"/>
  <c r="V5" i="26" s="1"/>
  <c r="S5" i="26"/>
  <c r="U5" i="26" s="1"/>
  <c r="P5" i="26"/>
  <c r="R5" i="26" s="1"/>
  <c r="O5" i="26"/>
  <c r="Q5" i="26" s="1"/>
  <c r="L5" i="26"/>
  <c r="N5" i="26" s="1"/>
  <c r="K5" i="26"/>
  <c r="M5" i="26" s="1"/>
  <c r="H5" i="26"/>
  <c r="J5" i="26" s="1"/>
  <c r="G5" i="26"/>
  <c r="I5" i="26" s="1"/>
  <c r="E5" i="26"/>
  <c r="D5" i="26"/>
  <c r="C5" i="26"/>
  <c r="AV4" i="26"/>
  <c r="AX4" i="26" s="1"/>
  <c r="AU4" i="26"/>
  <c r="AW4" i="26" s="1"/>
  <c r="AR4" i="26"/>
  <c r="AT4" i="26" s="1"/>
  <c r="AQ4" i="26"/>
  <c r="AS4" i="26" s="1"/>
  <c r="AN4" i="26"/>
  <c r="AP4" i="26" s="1"/>
  <c r="AM4" i="26"/>
  <c r="AO4" i="26" s="1"/>
  <c r="AJ4" i="26"/>
  <c r="AL4" i="26" s="1"/>
  <c r="AI4" i="26"/>
  <c r="AK4" i="26" s="1"/>
  <c r="AF4" i="26"/>
  <c r="AH4" i="26" s="1"/>
  <c r="AE4" i="26"/>
  <c r="AG4" i="26" s="1"/>
  <c r="AB4" i="26"/>
  <c r="AD4" i="26" s="1"/>
  <c r="AA4" i="26"/>
  <c r="AC4" i="26" s="1"/>
  <c r="X4" i="26"/>
  <c r="Z4" i="26" s="1"/>
  <c r="W4" i="26"/>
  <c r="Y4" i="26" s="1"/>
  <c r="T4" i="26"/>
  <c r="V4" i="26" s="1"/>
  <c r="S4" i="26"/>
  <c r="U4" i="26" s="1"/>
  <c r="P4" i="26"/>
  <c r="R4" i="26" s="1"/>
  <c r="O4" i="26"/>
  <c r="Q4" i="26" s="1"/>
  <c r="L4" i="26"/>
  <c r="N4" i="26" s="1"/>
  <c r="K4" i="26"/>
  <c r="M4" i="26" s="1"/>
  <c r="H4" i="26"/>
  <c r="J4" i="26" s="1"/>
  <c r="G4" i="26"/>
  <c r="I4" i="26" s="1"/>
  <c r="E4" i="26"/>
  <c r="D4" i="26"/>
  <c r="C4" i="26"/>
  <c r="AV3" i="26"/>
  <c r="AX3" i="26" s="1"/>
  <c r="AU3" i="26"/>
  <c r="AW3" i="26" s="1"/>
  <c r="AR3" i="26"/>
  <c r="AT3" i="26" s="1"/>
  <c r="AQ3" i="26"/>
  <c r="AS3" i="26" s="1"/>
  <c r="AN3" i="26"/>
  <c r="AP3" i="26" s="1"/>
  <c r="AM3" i="26"/>
  <c r="AO3" i="26" s="1"/>
  <c r="AJ3" i="26"/>
  <c r="AL3" i="26" s="1"/>
  <c r="AI3" i="26"/>
  <c r="AK3" i="26" s="1"/>
  <c r="AF3" i="26"/>
  <c r="AH3" i="26" s="1"/>
  <c r="AE3" i="26"/>
  <c r="AG3" i="26" s="1"/>
  <c r="AB3" i="26"/>
  <c r="AD3" i="26" s="1"/>
  <c r="AA3" i="26"/>
  <c r="AC3" i="26" s="1"/>
  <c r="X3" i="26"/>
  <c r="Z3" i="26" s="1"/>
  <c r="W3" i="26"/>
  <c r="Y3" i="26" s="1"/>
  <c r="T3" i="26"/>
  <c r="V3" i="26" s="1"/>
  <c r="S3" i="26"/>
  <c r="U3" i="26" s="1"/>
  <c r="P3" i="26"/>
  <c r="R3" i="26" s="1"/>
  <c r="O3" i="26"/>
  <c r="Q3" i="26" s="1"/>
  <c r="L3" i="26"/>
  <c r="N3" i="26" s="1"/>
  <c r="K3" i="26"/>
  <c r="M3" i="26" s="1"/>
  <c r="H3" i="26"/>
  <c r="J3" i="26" s="1"/>
  <c r="G3" i="26"/>
  <c r="I3" i="26" s="1"/>
  <c r="E3" i="26"/>
  <c r="D3" i="26"/>
  <c r="C3" i="26"/>
  <c r="AV50" i="25"/>
  <c r="AX50" i="25" s="1"/>
  <c r="AU50" i="25"/>
  <c r="AW50" i="25" s="1"/>
  <c r="AR50" i="25"/>
  <c r="AT50" i="25" s="1"/>
  <c r="AQ50" i="25"/>
  <c r="AS50" i="25" s="1"/>
  <c r="AN50" i="25"/>
  <c r="AP50" i="25" s="1"/>
  <c r="AM50" i="25"/>
  <c r="AO50" i="25" s="1"/>
  <c r="AJ50" i="25"/>
  <c r="AL50" i="25" s="1"/>
  <c r="AI50" i="25"/>
  <c r="AK50" i="25" s="1"/>
  <c r="AF50" i="25"/>
  <c r="AH50" i="25" s="1"/>
  <c r="AE50" i="25"/>
  <c r="AG50" i="25" s="1"/>
  <c r="AB50" i="25"/>
  <c r="AD50" i="25" s="1"/>
  <c r="AA50" i="25"/>
  <c r="AC50" i="25" s="1"/>
  <c r="X50" i="25"/>
  <c r="Z50" i="25" s="1"/>
  <c r="W50" i="25"/>
  <c r="Y50" i="25" s="1"/>
  <c r="T50" i="25"/>
  <c r="V50" i="25" s="1"/>
  <c r="S50" i="25"/>
  <c r="U50" i="25" s="1"/>
  <c r="P50" i="25"/>
  <c r="R50" i="25" s="1"/>
  <c r="O50" i="25"/>
  <c r="Q50" i="25" s="1"/>
  <c r="L50" i="25"/>
  <c r="N50" i="25" s="1"/>
  <c r="K50" i="25"/>
  <c r="M50" i="25" s="1"/>
  <c r="H50" i="25"/>
  <c r="J50" i="25" s="1"/>
  <c r="G50" i="25"/>
  <c r="I50" i="25" s="1"/>
  <c r="E50" i="25"/>
  <c r="D50" i="25"/>
  <c r="C50" i="25"/>
  <c r="AV49" i="25"/>
  <c r="AX49" i="25" s="1"/>
  <c r="AU49" i="25"/>
  <c r="AW49" i="25" s="1"/>
  <c r="AR49" i="25"/>
  <c r="AT49" i="25" s="1"/>
  <c r="AQ49" i="25"/>
  <c r="AS49" i="25" s="1"/>
  <c r="AN49" i="25"/>
  <c r="AP49" i="25" s="1"/>
  <c r="AM49" i="25"/>
  <c r="AO49" i="25" s="1"/>
  <c r="AJ49" i="25"/>
  <c r="AL49" i="25" s="1"/>
  <c r="AI49" i="25"/>
  <c r="AK49" i="25" s="1"/>
  <c r="AF49" i="25"/>
  <c r="AH49" i="25" s="1"/>
  <c r="AE49" i="25"/>
  <c r="AG49" i="25" s="1"/>
  <c r="AB49" i="25"/>
  <c r="AD49" i="25" s="1"/>
  <c r="AA49" i="25"/>
  <c r="AC49" i="25" s="1"/>
  <c r="X49" i="25"/>
  <c r="Z49" i="25" s="1"/>
  <c r="W49" i="25"/>
  <c r="Y49" i="25" s="1"/>
  <c r="T49" i="25"/>
  <c r="V49" i="25" s="1"/>
  <c r="S49" i="25"/>
  <c r="U49" i="25" s="1"/>
  <c r="P49" i="25"/>
  <c r="R49" i="25" s="1"/>
  <c r="O49" i="25"/>
  <c r="Q49" i="25" s="1"/>
  <c r="L49" i="25"/>
  <c r="N49" i="25" s="1"/>
  <c r="K49" i="25"/>
  <c r="M49" i="25" s="1"/>
  <c r="H49" i="25"/>
  <c r="J49" i="25" s="1"/>
  <c r="G49" i="25"/>
  <c r="I49" i="25" s="1"/>
  <c r="E49" i="25"/>
  <c r="D49" i="25"/>
  <c r="C49" i="25"/>
  <c r="AV48" i="25"/>
  <c r="AX48" i="25" s="1"/>
  <c r="AU48" i="25"/>
  <c r="AW48" i="25" s="1"/>
  <c r="AR48" i="25"/>
  <c r="AT48" i="25" s="1"/>
  <c r="AQ48" i="25"/>
  <c r="AS48" i="25" s="1"/>
  <c r="AN48" i="25"/>
  <c r="AP48" i="25" s="1"/>
  <c r="AM48" i="25"/>
  <c r="AO48" i="25" s="1"/>
  <c r="AJ48" i="25"/>
  <c r="AL48" i="25" s="1"/>
  <c r="AI48" i="25"/>
  <c r="AK48" i="25" s="1"/>
  <c r="AF48" i="25"/>
  <c r="AH48" i="25" s="1"/>
  <c r="AE48" i="25"/>
  <c r="AG48" i="25" s="1"/>
  <c r="AB48" i="25"/>
  <c r="AD48" i="25" s="1"/>
  <c r="AA48" i="25"/>
  <c r="AC48" i="25" s="1"/>
  <c r="X48" i="25"/>
  <c r="Z48" i="25" s="1"/>
  <c r="W48" i="25"/>
  <c r="Y48" i="25" s="1"/>
  <c r="T48" i="25"/>
  <c r="V48" i="25" s="1"/>
  <c r="S48" i="25"/>
  <c r="U48" i="25" s="1"/>
  <c r="P48" i="25"/>
  <c r="R48" i="25" s="1"/>
  <c r="O48" i="25"/>
  <c r="Q48" i="25" s="1"/>
  <c r="L48" i="25"/>
  <c r="N48" i="25" s="1"/>
  <c r="K48" i="25"/>
  <c r="M48" i="25" s="1"/>
  <c r="H48" i="25"/>
  <c r="J48" i="25" s="1"/>
  <c r="G48" i="25"/>
  <c r="I48" i="25" s="1"/>
  <c r="E48" i="25"/>
  <c r="D48" i="25"/>
  <c r="C48" i="25"/>
  <c r="AV47" i="25"/>
  <c r="AX47" i="25" s="1"/>
  <c r="AU47" i="25"/>
  <c r="AW47" i="25" s="1"/>
  <c r="AR47" i="25"/>
  <c r="AT47" i="25" s="1"/>
  <c r="AQ47" i="25"/>
  <c r="AS47" i="25" s="1"/>
  <c r="AN47" i="25"/>
  <c r="AP47" i="25" s="1"/>
  <c r="AM47" i="25"/>
  <c r="AO47" i="25" s="1"/>
  <c r="AJ47" i="25"/>
  <c r="AL47" i="25" s="1"/>
  <c r="AI47" i="25"/>
  <c r="AK47" i="25" s="1"/>
  <c r="AF47" i="25"/>
  <c r="AH47" i="25" s="1"/>
  <c r="AE47" i="25"/>
  <c r="AG47" i="25" s="1"/>
  <c r="AB47" i="25"/>
  <c r="AD47" i="25" s="1"/>
  <c r="AA47" i="25"/>
  <c r="AC47" i="25" s="1"/>
  <c r="X47" i="25"/>
  <c r="Z47" i="25" s="1"/>
  <c r="W47" i="25"/>
  <c r="Y47" i="25" s="1"/>
  <c r="T47" i="25"/>
  <c r="V47" i="25" s="1"/>
  <c r="S47" i="25"/>
  <c r="U47" i="25" s="1"/>
  <c r="P47" i="25"/>
  <c r="R47" i="25" s="1"/>
  <c r="O47" i="25"/>
  <c r="Q47" i="25" s="1"/>
  <c r="L47" i="25"/>
  <c r="N47" i="25" s="1"/>
  <c r="K47" i="25"/>
  <c r="M47" i="25" s="1"/>
  <c r="H47" i="25"/>
  <c r="J47" i="25" s="1"/>
  <c r="G47" i="25"/>
  <c r="I47" i="25" s="1"/>
  <c r="E47" i="25"/>
  <c r="D47" i="25"/>
  <c r="C47" i="25"/>
  <c r="AV46" i="25"/>
  <c r="AX46" i="25" s="1"/>
  <c r="AU46" i="25"/>
  <c r="AW46" i="25" s="1"/>
  <c r="AR46" i="25"/>
  <c r="AT46" i="25" s="1"/>
  <c r="AQ46" i="25"/>
  <c r="AS46" i="25" s="1"/>
  <c r="AN46" i="25"/>
  <c r="AP46" i="25" s="1"/>
  <c r="AM46" i="25"/>
  <c r="AO46" i="25" s="1"/>
  <c r="AJ46" i="25"/>
  <c r="AL46" i="25" s="1"/>
  <c r="AI46" i="25"/>
  <c r="AK46" i="25" s="1"/>
  <c r="AF46" i="25"/>
  <c r="AH46" i="25" s="1"/>
  <c r="AE46" i="25"/>
  <c r="AG46" i="25" s="1"/>
  <c r="AB46" i="25"/>
  <c r="AD46" i="25" s="1"/>
  <c r="AA46" i="25"/>
  <c r="AC46" i="25" s="1"/>
  <c r="X46" i="25"/>
  <c r="Z46" i="25" s="1"/>
  <c r="W46" i="25"/>
  <c r="Y46" i="25" s="1"/>
  <c r="T46" i="25"/>
  <c r="V46" i="25" s="1"/>
  <c r="S46" i="25"/>
  <c r="U46" i="25" s="1"/>
  <c r="P46" i="25"/>
  <c r="R46" i="25" s="1"/>
  <c r="O46" i="25"/>
  <c r="Q46" i="25" s="1"/>
  <c r="L46" i="25"/>
  <c r="N46" i="25" s="1"/>
  <c r="K46" i="25"/>
  <c r="M46" i="25" s="1"/>
  <c r="H46" i="25"/>
  <c r="J46" i="25" s="1"/>
  <c r="G46" i="25"/>
  <c r="I46" i="25" s="1"/>
  <c r="E46" i="25"/>
  <c r="D46" i="25"/>
  <c r="C46" i="25"/>
  <c r="AV45" i="25"/>
  <c r="AX45" i="25" s="1"/>
  <c r="AU45" i="25"/>
  <c r="AW45" i="25" s="1"/>
  <c r="AR45" i="25"/>
  <c r="AT45" i="25" s="1"/>
  <c r="AQ45" i="25"/>
  <c r="AS45" i="25" s="1"/>
  <c r="AN45" i="25"/>
  <c r="AP45" i="25" s="1"/>
  <c r="AM45" i="25"/>
  <c r="AO45" i="25" s="1"/>
  <c r="AJ45" i="25"/>
  <c r="AL45" i="25" s="1"/>
  <c r="AI45" i="25"/>
  <c r="AK45" i="25" s="1"/>
  <c r="AF45" i="25"/>
  <c r="AH45" i="25" s="1"/>
  <c r="AE45" i="25"/>
  <c r="AG45" i="25" s="1"/>
  <c r="AB45" i="25"/>
  <c r="AD45" i="25" s="1"/>
  <c r="AA45" i="25"/>
  <c r="AC45" i="25" s="1"/>
  <c r="X45" i="25"/>
  <c r="Z45" i="25" s="1"/>
  <c r="W45" i="25"/>
  <c r="Y45" i="25" s="1"/>
  <c r="T45" i="25"/>
  <c r="V45" i="25" s="1"/>
  <c r="S45" i="25"/>
  <c r="U45" i="25" s="1"/>
  <c r="P45" i="25"/>
  <c r="R45" i="25" s="1"/>
  <c r="O45" i="25"/>
  <c r="Q45" i="25" s="1"/>
  <c r="L45" i="25"/>
  <c r="N45" i="25" s="1"/>
  <c r="K45" i="25"/>
  <c r="M45" i="25" s="1"/>
  <c r="H45" i="25"/>
  <c r="J45" i="25" s="1"/>
  <c r="G45" i="25"/>
  <c r="I45" i="25" s="1"/>
  <c r="E45" i="25"/>
  <c r="D45" i="25"/>
  <c r="C45" i="25"/>
  <c r="AV44" i="25"/>
  <c r="AX44" i="25" s="1"/>
  <c r="AU44" i="25"/>
  <c r="AW44" i="25" s="1"/>
  <c r="AR44" i="25"/>
  <c r="AT44" i="25" s="1"/>
  <c r="AQ44" i="25"/>
  <c r="AS44" i="25" s="1"/>
  <c r="AN44" i="25"/>
  <c r="AP44" i="25" s="1"/>
  <c r="AM44" i="25"/>
  <c r="AO44" i="25" s="1"/>
  <c r="AJ44" i="25"/>
  <c r="AL44" i="25" s="1"/>
  <c r="AI44" i="25"/>
  <c r="AK44" i="25" s="1"/>
  <c r="AF44" i="25"/>
  <c r="AH44" i="25" s="1"/>
  <c r="AE44" i="25"/>
  <c r="AG44" i="25" s="1"/>
  <c r="AB44" i="25"/>
  <c r="AD44" i="25" s="1"/>
  <c r="AA44" i="25"/>
  <c r="AC44" i="25" s="1"/>
  <c r="X44" i="25"/>
  <c r="Z44" i="25" s="1"/>
  <c r="W44" i="25"/>
  <c r="Y44" i="25" s="1"/>
  <c r="T44" i="25"/>
  <c r="V44" i="25" s="1"/>
  <c r="S44" i="25"/>
  <c r="U44" i="25" s="1"/>
  <c r="P44" i="25"/>
  <c r="R44" i="25" s="1"/>
  <c r="O44" i="25"/>
  <c r="Q44" i="25" s="1"/>
  <c r="L44" i="25"/>
  <c r="N44" i="25" s="1"/>
  <c r="K44" i="25"/>
  <c r="M44" i="25" s="1"/>
  <c r="H44" i="25"/>
  <c r="J44" i="25" s="1"/>
  <c r="G44" i="25"/>
  <c r="I44" i="25" s="1"/>
  <c r="E44" i="25"/>
  <c r="D44" i="25"/>
  <c r="C44" i="25"/>
  <c r="AV43" i="25"/>
  <c r="AX43" i="25" s="1"/>
  <c r="AU43" i="25"/>
  <c r="AW43" i="25" s="1"/>
  <c r="AR43" i="25"/>
  <c r="AT43" i="25" s="1"/>
  <c r="AQ43" i="25"/>
  <c r="AS43" i="25" s="1"/>
  <c r="AN43" i="25"/>
  <c r="AP43" i="25" s="1"/>
  <c r="AM43" i="25"/>
  <c r="AO43" i="25" s="1"/>
  <c r="AJ43" i="25"/>
  <c r="AL43" i="25" s="1"/>
  <c r="AI43" i="25"/>
  <c r="AK43" i="25" s="1"/>
  <c r="AF43" i="25"/>
  <c r="AH43" i="25" s="1"/>
  <c r="AE43" i="25"/>
  <c r="AG43" i="25" s="1"/>
  <c r="AB43" i="25"/>
  <c r="AD43" i="25" s="1"/>
  <c r="AA43" i="25"/>
  <c r="AC43" i="25" s="1"/>
  <c r="X43" i="25"/>
  <c r="Z43" i="25" s="1"/>
  <c r="W43" i="25"/>
  <c r="Y43" i="25" s="1"/>
  <c r="T43" i="25"/>
  <c r="V43" i="25" s="1"/>
  <c r="S43" i="25"/>
  <c r="U43" i="25" s="1"/>
  <c r="P43" i="25"/>
  <c r="R43" i="25" s="1"/>
  <c r="O43" i="25"/>
  <c r="Q43" i="25" s="1"/>
  <c r="L43" i="25"/>
  <c r="N43" i="25" s="1"/>
  <c r="K43" i="25"/>
  <c r="M43" i="25" s="1"/>
  <c r="H43" i="25"/>
  <c r="J43" i="25" s="1"/>
  <c r="G43" i="25"/>
  <c r="I43" i="25" s="1"/>
  <c r="E43" i="25"/>
  <c r="D43" i="25"/>
  <c r="C43" i="25"/>
  <c r="AV42" i="25"/>
  <c r="AX42" i="25" s="1"/>
  <c r="AU42" i="25"/>
  <c r="AW42" i="25" s="1"/>
  <c r="AR42" i="25"/>
  <c r="AT42" i="25" s="1"/>
  <c r="AQ42" i="25"/>
  <c r="AS42" i="25" s="1"/>
  <c r="AN42" i="25"/>
  <c r="AP42" i="25" s="1"/>
  <c r="AM42" i="25"/>
  <c r="AO42" i="25" s="1"/>
  <c r="AJ42" i="25"/>
  <c r="AL42" i="25" s="1"/>
  <c r="AI42" i="25"/>
  <c r="AK42" i="25" s="1"/>
  <c r="AF42" i="25"/>
  <c r="AH42" i="25" s="1"/>
  <c r="AE42" i="25"/>
  <c r="AG42" i="25" s="1"/>
  <c r="AB42" i="25"/>
  <c r="AD42" i="25" s="1"/>
  <c r="AA42" i="25"/>
  <c r="AC42" i="25" s="1"/>
  <c r="X42" i="25"/>
  <c r="Z42" i="25" s="1"/>
  <c r="W42" i="25"/>
  <c r="Y42" i="25" s="1"/>
  <c r="T42" i="25"/>
  <c r="V42" i="25" s="1"/>
  <c r="S42" i="25"/>
  <c r="U42" i="25" s="1"/>
  <c r="P42" i="25"/>
  <c r="R42" i="25" s="1"/>
  <c r="O42" i="25"/>
  <c r="Q42" i="25" s="1"/>
  <c r="L42" i="25"/>
  <c r="N42" i="25" s="1"/>
  <c r="K42" i="25"/>
  <c r="M42" i="25" s="1"/>
  <c r="H42" i="25"/>
  <c r="J42" i="25" s="1"/>
  <c r="G42" i="25"/>
  <c r="I42" i="25" s="1"/>
  <c r="E42" i="25"/>
  <c r="D42" i="25"/>
  <c r="C42" i="25"/>
  <c r="AV41" i="25"/>
  <c r="AX41" i="25" s="1"/>
  <c r="AU41" i="25"/>
  <c r="AW41" i="25" s="1"/>
  <c r="AR41" i="25"/>
  <c r="AT41" i="25" s="1"/>
  <c r="AQ41" i="25"/>
  <c r="AS41" i="25" s="1"/>
  <c r="AN41" i="25"/>
  <c r="AP41" i="25" s="1"/>
  <c r="AM41" i="25"/>
  <c r="AO41" i="25" s="1"/>
  <c r="AJ41" i="25"/>
  <c r="AL41" i="25" s="1"/>
  <c r="AI41" i="25"/>
  <c r="AK41" i="25" s="1"/>
  <c r="AF41" i="25"/>
  <c r="AH41" i="25" s="1"/>
  <c r="AE41" i="25"/>
  <c r="AG41" i="25" s="1"/>
  <c r="AB41" i="25"/>
  <c r="AD41" i="25" s="1"/>
  <c r="AA41" i="25"/>
  <c r="AC41" i="25" s="1"/>
  <c r="X41" i="25"/>
  <c r="Z41" i="25" s="1"/>
  <c r="W41" i="25"/>
  <c r="Y41" i="25" s="1"/>
  <c r="T41" i="25"/>
  <c r="V41" i="25" s="1"/>
  <c r="S41" i="25"/>
  <c r="U41" i="25" s="1"/>
  <c r="P41" i="25"/>
  <c r="R41" i="25" s="1"/>
  <c r="O41" i="25"/>
  <c r="Q41" i="25" s="1"/>
  <c r="L41" i="25"/>
  <c r="N41" i="25" s="1"/>
  <c r="K41" i="25"/>
  <c r="M41" i="25" s="1"/>
  <c r="H41" i="25"/>
  <c r="J41" i="25" s="1"/>
  <c r="G41" i="25"/>
  <c r="I41" i="25" s="1"/>
  <c r="E41" i="25"/>
  <c r="D41" i="25"/>
  <c r="C41" i="25"/>
  <c r="AV40" i="25"/>
  <c r="AX40" i="25" s="1"/>
  <c r="AU40" i="25"/>
  <c r="AW40" i="25" s="1"/>
  <c r="AR40" i="25"/>
  <c r="AT40" i="25" s="1"/>
  <c r="AQ40" i="25"/>
  <c r="AS40" i="25" s="1"/>
  <c r="AN40" i="25"/>
  <c r="AP40" i="25" s="1"/>
  <c r="AM40" i="25"/>
  <c r="AO40" i="25" s="1"/>
  <c r="AJ40" i="25"/>
  <c r="AL40" i="25" s="1"/>
  <c r="AI40" i="25"/>
  <c r="AK40" i="25" s="1"/>
  <c r="AF40" i="25"/>
  <c r="AH40" i="25" s="1"/>
  <c r="AE40" i="25"/>
  <c r="AG40" i="25" s="1"/>
  <c r="AB40" i="25"/>
  <c r="AD40" i="25" s="1"/>
  <c r="AA40" i="25"/>
  <c r="AC40" i="25" s="1"/>
  <c r="X40" i="25"/>
  <c r="Z40" i="25" s="1"/>
  <c r="W40" i="25"/>
  <c r="Y40" i="25" s="1"/>
  <c r="T40" i="25"/>
  <c r="V40" i="25" s="1"/>
  <c r="S40" i="25"/>
  <c r="U40" i="25" s="1"/>
  <c r="P40" i="25"/>
  <c r="R40" i="25" s="1"/>
  <c r="O40" i="25"/>
  <c r="Q40" i="25" s="1"/>
  <c r="L40" i="25"/>
  <c r="N40" i="25" s="1"/>
  <c r="K40" i="25"/>
  <c r="M40" i="25" s="1"/>
  <c r="H40" i="25"/>
  <c r="J40" i="25" s="1"/>
  <c r="G40" i="25"/>
  <c r="I40" i="25" s="1"/>
  <c r="E40" i="25"/>
  <c r="D40" i="25"/>
  <c r="C40" i="25"/>
  <c r="AV39" i="25"/>
  <c r="AX39" i="25" s="1"/>
  <c r="AU39" i="25"/>
  <c r="AW39" i="25" s="1"/>
  <c r="AR39" i="25"/>
  <c r="AT39" i="25" s="1"/>
  <c r="AQ39" i="25"/>
  <c r="AS39" i="25" s="1"/>
  <c r="AN39" i="25"/>
  <c r="AP39" i="25" s="1"/>
  <c r="AM39" i="25"/>
  <c r="AO39" i="25" s="1"/>
  <c r="AJ39" i="25"/>
  <c r="AL39" i="25" s="1"/>
  <c r="AI39" i="25"/>
  <c r="AK39" i="25" s="1"/>
  <c r="AF39" i="25"/>
  <c r="AH39" i="25" s="1"/>
  <c r="AE39" i="25"/>
  <c r="AG39" i="25" s="1"/>
  <c r="AB39" i="25"/>
  <c r="AD39" i="25" s="1"/>
  <c r="AA39" i="25"/>
  <c r="AC39" i="25" s="1"/>
  <c r="X39" i="25"/>
  <c r="Z39" i="25" s="1"/>
  <c r="W39" i="25"/>
  <c r="Y39" i="25" s="1"/>
  <c r="T39" i="25"/>
  <c r="V39" i="25" s="1"/>
  <c r="S39" i="25"/>
  <c r="U39" i="25" s="1"/>
  <c r="P39" i="25"/>
  <c r="R39" i="25" s="1"/>
  <c r="O39" i="25"/>
  <c r="Q39" i="25" s="1"/>
  <c r="L39" i="25"/>
  <c r="N39" i="25" s="1"/>
  <c r="K39" i="25"/>
  <c r="M39" i="25" s="1"/>
  <c r="H39" i="25"/>
  <c r="J39" i="25" s="1"/>
  <c r="G39" i="25"/>
  <c r="I39" i="25" s="1"/>
  <c r="E39" i="25"/>
  <c r="D39" i="25"/>
  <c r="C39" i="25"/>
  <c r="AV38" i="25"/>
  <c r="AX38" i="25" s="1"/>
  <c r="AU38" i="25"/>
  <c r="AW38" i="25" s="1"/>
  <c r="AR38" i="25"/>
  <c r="AT38" i="25" s="1"/>
  <c r="AQ38" i="25"/>
  <c r="AS38" i="25" s="1"/>
  <c r="AN38" i="25"/>
  <c r="AP38" i="25" s="1"/>
  <c r="AM38" i="25"/>
  <c r="AO38" i="25" s="1"/>
  <c r="AJ38" i="25"/>
  <c r="AL38" i="25" s="1"/>
  <c r="AI38" i="25"/>
  <c r="AK38" i="25" s="1"/>
  <c r="AF38" i="25"/>
  <c r="AH38" i="25" s="1"/>
  <c r="AE38" i="25"/>
  <c r="AG38" i="25" s="1"/>
  <c r="AB38" i="25"/>
  <c r="AD38" i="25" s="1"/>
  <c r="AA38" i="25"/>
  <c r="AC38" i="25" s="1"/>
  <c r="X38" i="25"/>
  <c r="Z38" i="25" s="1"/>
  <c r="W38" i="25"/>
  <c r="Y38" i="25" s="1"/>
  <c r="T38" i="25"/>
  <c r="V38" i="25" s="1"/>
  <c r="S38" i="25"/>
  <c r="U38" i="25" s="1"/>
  <c r="P38" i="25"/>
  <c r="R38" i="25" s="1"/>
  <c r="O38" i="25"/>
  <c r="Q38" i="25" s="1"/>
  <c r="L38" i="25"/>
  <c r="N38" i="25" s="1"/>
  <c r="K38" i="25"/>
  <c r="M38" i="25" s="1"/>
  <c r="H38" i="25"/>
  <c r="J38" i="25" s="1"/>
  <c r="G38" i="25"/>
  <c r="I38" i="25" s="1"/>
  <c r="E38" i="25"/>
  <c r="D38" i="25"/>
  <c r="C38" i="25"/>
  <c r="AV37" i="25"/>
  <c r="AX37" i="25" s="1"/>
  <c r="AU37" i="25"/>
  <c r="AW37" i="25" s="1"/>
  <c r="AR37" i="25"/>
  <c r="AT37" i="25" s="1"/>
  <c r="AQ37" i="25"/>
  <c r="AS37" i="25" s="1"/>
  <c r="AN37" i="25"/>
  <c r="AP37" i="25" s="1"/>
  <c r="AM37" i="25"/>
  <c r="AO37" i="25" s="1"/>
  <c r="AJ37" i="25"/>
  <c r="AL37" i="25" s="1"/>
  <c r="AI37" i="25"/>
  <c r="AK37" i="25" s="1"/>
  <c r="AF37" i="25"/>
  <c r="AH37" i="25" s="1"/>
  <c r="AE37" i="25"/>
  <c r="AG37" i="25" s="1"/>
  <c r="AB37" i="25"/>
  <c r="AD37" i="25" s="1"/>
  <c r="AA37" i="25"/>
  <c r="AC37" i="25" s="1"/>
  <c r="X37" i="25"/>
  <c r="Z37" i="25" s="1"/>
  <c r="W37" i="25"/>
  <c r="Y37" i="25" s="1"/>
  <c r="T37" i="25"/>
  <c r="V37" i="25" s="1"/>
  <c r="S37" i="25"/>
  <c r="U37" i="25" s="1"/>
  <c r="P37" i="25"/>
  <c r="R37" i="25" s="1"/>
  <c r="O37" i="25"/>
  <c r="Q37" i="25" s="1"/>
  <c r="L37" i="25"/>
  <c r="N37" i="25" s="1"/>
  <c r="K37" i="25"/>
  <c r="M37" i="25" s="1"/>
  <c r="H37" i="25"/>
  <c r="J37" i="25" s="1"/>
  <c r="G37" i="25"/>
  <c r="I37" i="25" s="1"/>
  <c r="E37" i="25"/>
  <c r="D37" i="25"/>
  <c r="C37" i="25"/>
  <c r="AV36" i="25"/>
  <c r="AX36" i="25" s="1"/>
  <c r="AU36" i="25"/>
  <c r="AW36" i="25" s="1"/>
  <c r="AR36" i="25"/>
  <c r="AT36" i="25" s="1"/>
  <c r="AQ36" i="25"/>
  <c r="AS36" i="25" s="1"/>
  <c r="AN36" i="25"/>
  <c r="AP36" i="25" s="1"/>
  <c r="AM36" i="25"/>
  <c r="AO36" i="25" s="1"/>
  <c r="AJ36" i="25"/>
  <c r="AL36" i="25" s="1"/>
  <c r="AI36" i="25"/>
  <c r="AK36" i="25" s="1"/>
  <c r="AF36" i="25"/>
  <c r="AH36" i="25" s="1"/>
  <c r="AE36" i="25"/>
  <c r="AG36" i="25" s="1"/>
  <c r="AB36" i="25"/>
  <c r="AD36" i="25" s="1"/>
  <c r="AA36" i="25"/>
  <c r="AC36" i="25" s="1"/>
  <c r="X36" i="25"/>
  <c r="Z36" i="25" s="1"/>
  <c r="W36" i="25"/>
  <c r="Y36" i="25" s="1"/>
  <c r="T36" i="25"/>
  <c r="V36" i="25" s="1"/>
  <c r="S36" i="25"/>
  <c r="U36" i="25" s="1"/>
  <c r="P36" i="25"/>
  <c r="R36" i="25" s="1"/>
  <c r="O36" i="25"/>
  <c r="Q36" i="25" s="1"/>
  <c r="L36" i="25"/>
  <c r="N36" i="25" s="1"/>
  <c r="K36" i="25"/>
  <c r="M36" i="25" s="1"/>
  <c r="H36" i="25"/>
  <c r="J36" i="25" s="1"/>
  <c r="G36" i="25"/>
  <c r="I36" i="25" s="1"/>
  <c r="E36" i="25"/>
  <c r="D36" i="25"/>
  <c r="C36" i="25"/>
  <c r="AV35" i="25"/>
  <c r="AX35" i="25" s="1"/>
  <c r="AU35" i="25"/>
  <c r="AW35" i="25" s="1"/>
  <c r="AR35" i="25"/>
  <c r="AT35" i="25" s="1"/>
  <c r="AQ35" i="25"/>
  <c r="AS35" i="25" s="1"/>
  <c r="AN35" i="25"/>
  <c r="AP35" i="25" s="1"/>
  <c r="AM35" i="25"/>
  <c r="AO35" i="25" s="1"/>
  <c r="AJ35" i="25"/>
  <c r="AL35" i="25" s="1"/>
  <c r="AI35" i="25"/>
  <c r="AK35" i="25" s="1"/>
  <c r="AF35" i="25"/>
  <c r="AH35" i="25" s="1"/>
  <c r="AE35" i="25"/>
  <c r="AG35" i="25" s="1"/>
  <c r="AB35" i="25"/>
  <c r="AD35" i="25" s="1"/>
  <c r="AA35" i="25"/>
  <c r="AC35" i="25" s="1"/>
  <c r="X35" i="25"/>
  <c r="Z35" i="25" s="1"/>
  <c r="W35" i="25"/>
  <c r="Y35" i="25" s="1"/>
  <c r="T35" i="25"/>
  <c r="V35" i="25" s="1"/>
  <c r="S35" i="25"/>
  <c r="U35" i="25" s="1"/>
  <c r="P35" i="25"/>
  <c r="R35" i="25" s="1"/>
  <c r="O35" i="25"/>
  <c r="Q35" i="25" s="1"/>
  <c r="L35" i="25"/>
  <c r="N35" i="25" s="1"/>
  <c r="K35" i="25"/>
  <c r="M35" i="25" s="1"/>
  <c r="H35" i="25"/>
  <c r="J35" i="25" s="1"/>
  <c r="G35" i="25"/>
  <c r="I35" i="25" s="1"/>
  <c r="E35" i="25"/>
  <c r="D35" i="25"/>
  <c r="C35" i="25"/>
  <c r="AV34" i="25"/>
  <c r="AX34" i="25" s="1"/>
  <c r="AU34" i="25"/>
  <c r="AW34" i="25" s="1"/>
  <c r="AR34" i="25"/>
  <c r="AT34" i="25" s="1"/>
  <c r="AQ34" i="25"/>
  <c r="AS34" i="25" s="1"/>
  <c r="AN34" i="25"/>
  <c r="AP34" i="25" s="1"/>
  <c r="AM34" i="25"/>
  <c r="AO34" i="25" s="1"/>
  <c r="AJ34" i="25"/>
  <c r="AL34" i="25" s="1"/>
  <c r="AI34" i="25"/>
  <c r="AK34" i="25" s="1"/>
  <c r="AF34" i="25"/>
  <c r="AH34" i="25" s="1"/>
  <c r="AE34" i="25"/>
  <c r="AG34" i="25" s="1"/>
  <c r="AB34" i="25"/>
  <c r="AD34" i="25" s="1"/>
  <c r="AA34" i="25"/>
  <c r="AC34" i="25" s="1"/>
  <c r="X34" i="25"/>
  <c r="Z34" i="25" s="1"/>
  <c r="W34" i="25"/>
  <c r="Y34" i="25" s="1"/>
  <c r="T34" i="25"/>
  <c r="V34" i="25" s="1"/>
  <c r="S34" i="25"/>
  <c r="U34" i="25" s="1"/>
  <c r="P34" i="25"/>
  <c r="R34" i="25" s="1"/>
  <c r="O34" i="25"/>
  <c r="Q34" i="25" s="1"/>
  <c r="L34" i="25"/>
  <c r="N34" i="25" s="1"/>
  <c r="K34" i="25"/>
  <c r="M34" i="25" s="1"/>
  <c r="H34" i="25"/>
  <c r="J34" i="25" s="1"/>
  <c r="G34" i="25"/>
  <c r="I34" i="25" s="1"/>
  <c r="E34" i="25"/>
  <c r="D34" i="25"/>
  <c r="C34" i="25"/>
  <c r="AV33" i="25"/>
  <c r="AX33" i="25" s="1"/>
  <c r="AU33" i="25"/>
  <c r="AW33" i="25" s="1"/>
  <c r="AR33" i="25"/>
  <c r="AT33" i="25" s="1"/>
  <c r="AQ33" i="25"/>
  <c r="AS33" i="25" s="1"/>
  <c r="AN33" i="25"/>
  <c r="AP33" i="25" s="1"/>
  <c r="AM33" i="25"/>
  <c r="AO33" i="25" s="1"/>
  <c r="AJ33" i="25"/>
  <c r="AL33" i="25" s="1"/>
  <c r="AI33" i="25"/>
  <c r="AK33" i="25" s="1"/>
  <c r="AF33" i="25"/>
  <c r="AH33" i="25" s="1"/>
  <c r="AE33" i="25"/>
  <c r="AG33" i="25" s="1"/>
  <c r="AB33" i="25"/>
  <c r="AD33" i="25" s="1"/>
  <c r="AA33" i="25"/>
  <c r="AC33" i="25" s="1"/>
  <c r="X33" i="25"/>
  <c r="Z33" i="25" s="1"/>
  <c r="W33" i="25"/>
  <c r="Y33" i="25" s="1"/>
  <c r="T33" i="25"/>
  <c r="V33" i="25" s="1"/>
  <c r="S33" i="25"/>
  <c r="U33" i="25" s="1"/>
  <c r="P33" i="25"/>
  <c r="R33" i="25" s="1"/>
  <c r="O33" i="25"/>
  <c r="Q33" i="25" s="1"/>
  <c r="L33" i="25"/>
  <c r="N33" i="25" s="1"/>
  <c r="K33" i="25"/>
  <c r="M33" i="25" s="1"/>
  <c r="H33" i="25"/>
  <c r="J33" i="25" s="1"/>
  <c r="G33" i="25"/>
  <c r="I33" i="25" s="1"/>
  <c r="E33" i="25"/>
  <c r="D33" i="25"/>
  <c r="C33" i="25"/>
  <c r="AV32" i="25"/>
  <c r="AX32" i="25" s="1"/>
  <c r="AU32" i="25"/>
  <c r="AW32" i="25" s="1"/>
  <c r="AR32" i="25"/>
  <c r="AT32" i="25" s="1"/>
  <c r="AQ32" i="25"/>
  <c r="AS32" i="25" s="1"/>
  <c r="AN32" i="25"/>
  <c r="AP32" i="25" s="1"/>
  <c r="AM32" i="25"/>
  <c r="AO32" i="25" s="1"/>
  <c r="AJ32" i="25"/>
  <c r="AL32" i="25" s="1"/>
  <c r="AI32" i="25"/>
  <c r="AK32" i="25" s="1"/>
  <c r="AF32" i="25"/>
  <c r="AH32" i="25" s="1"/>
  <c r="AE32" i="25"/>
  <c r="AG32" i="25" s="1"/>
  <c r="AB32" i="25"/>
  <c r="AD32" i="25" s="1"/>
  <c r="AA32" i="25"/>
  <c r="AC32" i="25" s="1"/>
  <c r="X32" i="25"/>
  <c r="Z32" i="25" s="1"/>
  <c r="W32" i="25"/>
  <c r="Y32" i="25" s="1"/>
  <c r="T32" i="25"/>
  <c r="V32" i="25" s="1"/>
  <c r="S32" i="25"/>
  <c r="U32" i="25" s="1"/>
  <c r="P32" i="25"/>
  <c r="R32" i="25" s="1"/>
  <c r="O32" i="25"/>
  <c r="Q32" i="25" s="1"/>
  <c r="L32" i="25"/>
  <c r="N32" i="25" s="1"/>
  <c r="K32" i="25"/>
  <c r="M32" i="25" s="1"/>
  <c r="H32" i="25"/>
  <c r="J32" i="25" s="1"/>
  <c r="G32" i="25"/>
  <c r="I32" i="25" s="1"/>
  <c r="E32" i="25"/>
  <c r="D32" i="25"/>
  <c r="C32" i="25"/>
  <c r="AV31" i="25"/>
  <c r="AX31" i="25" s="1"/>
  <c r="AU31" i="25"/>
  <c r="AW31" i="25" s="1"/>
  <c r="AR31" i="25"/>
  <c r="AT31" i="25" s="1"/>
  <c r="AQ31" i="25"/>
  <c r="AS31" i="25" s="1"/>
  <c r="AN31" i="25"/>
  <c r="AP31" i="25" s="1"/>
  <c r="AM31" i="25"/>
  <c r="AO31" i="25" s="1"/>
  <c r="AJ31" i="25"/>
  <c r="AL31" i="25" s="1"/>
  <c r="AI31" i="25"/>
  <c r="AK31" i="25" s="1"/>
  <c r="AF31" i="25"/>
  <c r="AH31" i="25" s="1"/>
  <c r="AE31" i="25"/>
  <c r="AG31" i="25" s="1"/>
  <c r="AB31" i="25"/>
  <c r="AD31" i="25" s="1"/>
  <c r="AA31" i="25"/>
  <c r="AC31" i="25" s="1"/>
  <c r="X31" i="25"/>
  <c r="Z31" i="25" s="1"/>
  <c r="W31" i="25"/>
  <c r="Y31" i="25" s="1"/>
  <c r="T31" i="25"/>
  <c r="V31" i="25" s="1"/>
  <c r="S31" i="25"/>
  <c r="U31" i="25" s="1"/>
  <c r="P31" i="25"/>
  <c r="R31" i="25" s="1"/>
  <c r="O31" i="25"/>
  <c r="Q31" i="25" s="1"/>
  <c r="L31" i="25"/>
  <c r="N31" i="25" s="1"/>
  <c r="K31" i="25"/>
  <c r="M31" i="25" s="1"/>
  <c r="H31" i="25"/>
  <c r="J31" i="25" s="1"/>
  <c r="G31" i="25"/>
  <c r="I31" i="25" s="1"/>
  <c r="E31" i="25"/>
  <c r="D31" i="25"/>
  <c r="C31" i="25"/>
  <c r="AV30" i="25"/>
  <c r="AX30" i="25" s="1"/>
  <c r="AU30" i="25"/>
  <c r="AW30" i="25" s="1"/>
  <c r="AR30" i="25"/>
  <c r="AT30" i="25" s="1"/>
  <c r="AQ30" i="25"/>
  <c r="AS30" i="25" s="1"/>
  <c r="AN30" i="25"/>
  <c r="AP30" i="25" s="1"/>
  <c r="AM30" i="25"/>
  <c r="AO30" i="25" s="1"/>
  <c r="AJ30" i="25"/>
  <c r="AL30" i="25" s="1"/>
  <c r="AI30" i="25"/>
  <c r="AK30" i="25" s="1"/>
  <c r="AF30" i="25"/>
  <c r="AH30" i="25" s="1"/>
  <c r="AE30" i="25"/>
  <c r="AG30" i="25" s="1"/>
  <c r="AB30" i="25"/>
  <c r="AD30" i="25" s="1"/>
  <c r="AA30" i="25"/>
  <c r="AC30" i="25" s="1"/>
  <c r="X30" i="25"/>
  <c r="Z30" i="25" s="1"/>
  <c r="W30" i="25"/>
  <c r="Y30" i="25" s="1"/>
  <c r="T30" i="25"/>
  <c r="V30" i="25" s="1"/>
  <c r="S30" i="25"/>
  <c r="U30" i="25" s="1"/>
  <c r="P30" i="25"/>
  <c r="R30" i="25" s="1"/>
  <c r="O30" i="25"/>
  <c r="Q30" i="25" s="1"/>
  <c r="L30" i="25"/>
  <c r="N30" i="25" s="1"/>
  <c r="K30" i="25"/>
  <c r="M30" i="25" s="1"/>
  <c r="H30" i="25"/>
  <c r="J30" i="25" s="1"/>
  <c r="G30" i="25"/>
  <c r="I30" i="25" s="1"/>
  <c r="E30" i="25"/>
  <c r="D30" i="25"/>
  <c r="C30" i="25"/>
  <c r="AV29" i="25"/>
  <c r="AX29" i="25" s="1"/>
  <c r="AU29" i="25"/>
  <c r="AW29" i="25" s="1"/>
  <c r="AR29" i="25"/>
  <c r="AT29" i="25" s="1"/>
  <c r="AQ29" i="25"/>
  <c r="AS29" i="25" s="1"/>
  <c r="AN29" i="25"/>
  <c r="AP29" i="25" s="1"/>
  <c r="AM29" i="25"/>
  <c r="AO29" i="25" s="1"/>
  <c r="AJ29" i="25"/>
  <c r="AL29" i="25" s="1"/>
  <c r="AI29" i="25"/>
  <c r="AK29" i="25" s="1"/>
  <c r="AF29" i="25"/>
  <c r="AH29" i="25" s="1"/>
  <c r="AE29" i="25"/>
  <c r="AG29" i="25" s="1"/>
  <c r="AB29" i="25"/>
  <c r="AD29" i="25" s="1"/>
  <c r="AA29" i="25"/>
  <c r="AC29" i="25" s="1"/>
  <c r="X29" i="25"/>
  <c r="Z29" i="25" s="1"/>
  <c r="W29" i="25"/>
  <c r="Y29" i="25" s="1"/>
  <c r="T29" i="25"/>
  <c r="V29" i="25" s="1"/>
  <c r="S29" i="25"/>
  <c r="U29" i="25" s="1"/>
  <c r="P29" i="25"/>
  <c r="R29" i="25" s="1"/>
  <c r="O29" i="25"/>
  <c r="Q29" i="25" s="1"/>
  <c r="L29" i="25"/>
  <c r="N29" i="25" s="1"/>
  <c r="K29" i="25"/>
  <c r="M29" i="25" s="1"/>
  <c r="H29" i="25"/>
  <c r="J29" i="25" s="1"/>
  <c r="G29" i="25"/>
  <c r="I29" i="25" s="1"/>
  <c r="E29" i="25"/>
  <c r="D29" i="25"/>
  <c r="C29" i="25"/>
  <c r="AV28" i="25"/>
  <c r="AX28" i="25" s="1"/>
  <c r="AU28" i="25"/>
  <c r="AW28" i="25" s="1"/>
  <c r="AR28" i="25"/>
  <c r="AT28" i="25" s="1"/>
  <c r="AQ28" i="25"/>
  <c r="AS28" i="25" s="1"/>
  <c r="AN28" i="25"/>
  <c r="AP28" i="25" s="1"/>
  <c r="AM28" i="25"/>
  <c r="AO28" i="25" s="1"/>
  <c r="AJ28" i="25"/>
  <c r="AL28" i="25" s="1"/>
  <c r="AI28" i="25"/>
  <c r="AK28" i="25" s="1"/>
  <c r="AF28" i="25"/>
  <c r="AH28" i="25" s="1"/>
  <c r="AE28" i="25"/>
  <c r="AG28" i="25" s="1"/>
  <c r="AB28" i="25"/>
  <c r="AD28" i="25" s="1"/>
  <c r="AA28" i="25"/>
  <c r="AC28" i="25" s="1"/>
  <c r="X28" i="25"/>
  <c r="Z28" i="25" s="1"/>
  <c r="W28" i="25"/>
  <c r="Y28" i="25" s="1"/>
  <c r="T28" i="25"/>
  <c r="V28" i="25" s="1"/>
  <c r="S28" i="25"/>
  <c r="U28" i="25" s="1"/>
  <c r="P28" i="25"/>
  <c r="R28" i="25" s="1"/>
  <c r="O28" i="25"/>
  <c r="Q28" i="25" s="1"/>
  <c r="L28" i="25"/>
  <c r="N28" i="25" s="1"/>
  <c r="K28" i="25"/>
  <c r="M28" i="25" s="1"/>
  <c r="H28" i="25"/>
  <c r="J28" i="25" s="1"/>
  <c r="G28" i="25"/>
  <c r="I28" i="25" s="1"/>
  <c r="E28" i="25"/>
  <c r="D28" i="25"/>
  <c r="C28" i="25"/>
  <c r="AV27" i="25"/>
  <c r="AX27" i="25" s="1"/>
  <c r="AU27" i="25"/>
  <c r="AW27" i="25" s="1"/>
  <c r="AR27" i="25"/>
  <c r="AT27" i="25" s="1"/>
  <c r="AQ27" i="25"/>
  <c r="AS27" i="25" s="1"/>
  <c r="AN27" i="25"/>
  <c r="AP27" i="25" s="1"/>
  <c r="AM27" i="25"/>
  <c r="AO27" i="25" s="1"/>
  <c r="AJ27" i="25"/>
  <c r="AL27" i="25" s="1"/>
  <c r="AI27" i="25"/>
  <c r="AK27" i="25" s="1"/>
  <c r="AF27" i="25"/>
  <c r="AH27" i="25" s="1"/>
  <c r="AE27" i="25"/>
  <c r="AG27" i="25" s="1"/>
  <c r="AB27" i="25"/>
  <c r="AD27" i="25" s="1"/>
  <c r="AA27" i="25"/>
  <c r="AC27" i="25" s="1"/>
  <c r="X27" i="25"/>
  <c r="Z27" i="25" s="1"/>
  <c r="W27" i="25"/>
  <c r="Y27" i="25" s="1"/>
  <c r="T27" i="25"/>
  <c r="V27" i="25" s="1"/>
  <c r="S27" i="25"/>
  <c r="U27" i="25" s="1"/>
  <c r="P27" i="25"/>
  <c r="R27" i="25" s="1"/>
  <c r="O27" i="25"/>
  <c r="Q27" i="25" s="1"/>
  <c r="L27" i="25"/>
  <c r="N27" i="25" s="1"/>
  <c r="K27" i="25"/>
  <c r="M27" i="25" s="1"/>
  <c r="H27" i="25"/>
  <c r="J27" i="25" s="1"/>
  <c r="G27" i="25"/>
  <c r="I27" i="25" s="1"/>
  <c r="E27" i="25"/>
  <c r="D27" i="25"/>
  <c r="C27" i="25"/>
  <c r="AV26" i="25"/>
  <c r="AX26" i="25" s="1"/>
  <c r="AU26" i="25"/>
  <c r="AW26" i="25" s="1"/>
  <c r="AR26" i="25"/>
  <c r="AT26" i="25" s="1"/>
  <c r="AQ26" i="25"/>
  <c r="AS26" i="25" s="1"/>
  <c r="AN26" i="25"/>
  <c r="AP26" i="25" s="1"/>
  <c r="AM26" i="25"/>
  <c r="AO26" i="25" s="1"/>
  <c r="AJ26" i="25"/>
  <c r="AL26" i="25" s="1"/>
  <c r="AI26" i="25"/>
  <c r="AK26" i="25" s="1"/>
  <c r="AF26" i="25"/>
  <c r="AH26" i="25" s="1"/>
  <c r="AE26" i="25"/>
  <c r="AG26" i="25" s="1"/>
  <c r="AB26" i="25"/>
  <c r="AD26" i="25" s="1"/>
  <c r="AA26" i="25"/>
  <c r="AC26" i="25" s="1"/>
  <c r="X26" i="25"/>
  <c r="Z26" i="25" s="1"/>
  <c r="W26" i="25"/>
  <c r="Y26" i="25" s="1"/>
  <c r="T26" i="25"/>
  <c r="V26" i="25" s="1"/>
  <c r="S26" i="25"/>
  <c r="U26" i="25" s="1"/>
  <c r="P26" i="25"/>
  <c r="R26" i="25" s="1"/>
  <c r="O26" i="25"/>
  <c r="Q26" i="25" s="1"/>
  <c r="L26" i="25"/>
  <c r="N26" i="25" s="1"/>
  <c r="K26" i="25"/>
  <c r="M26" i="25" s="1"/>
  <c r="H26" i="25"/>
  <c r="J26" i="25" s="1"/>
  <c r="G26" i="25"/>
  <c r="I26" i="25" s="1"/>
  <c r="E26" i="25"/>
  <c r="D26" i="25"/>
  <c r="C26" i="25"/>
  <c r="AV25" i="25"/>
  <c r="AX25" i="25" s="1"/>
  <c r="AU25" i="25"/>
  <c r="AW25" i="25" s="1"/>
  <c r="AR25" i="25"/>
  <c r="AT25" i="25" s="1"/>
  <c r="AQ25" i="25"/>
  <c r="AS25" i="25" s="1"/>
  <c r="AN25" i="25"/>
  <c r="AP25" i="25" s="1"/>
  <c r="AM25" i="25"/>
  <c r="AO25" i="25" s="1"/>
  <c r="AJ25" i="25"/>
  <c r="AL25" i="25" s="1"/>
  <c r="AI25" i="25"/>
  <c r="AK25" i="25" s="1"/>
  <c r="AF25" i="25"/>
  <c r="AH25" i="25" s="1"/>
  <c r="AE25" i="25"/>
  <c r="AG25" i="25" s="1"/>
  <c r="AB25" i="25"/>
  <c r="AD25" i="25" s="1"/>
  <c r="AA25" i="25"/>
  <c r="AC25" i="25" s="1"/>
  <c r="X25" i="25"/>
  <c r="Z25" i="25" s="1"/>
  <c r="W25" i="25"/>
  <c r="Y25" i="25" s="1"/>
  <c r="T25" i="25"/>
  <c r="V25" i="25" s="1"/>
  <c r="S25" i="25"/>
  <c r="U25" i="25" s="1"/>
  <c r="P25" i="25"/>
  <c r="R25" i="25" s="1"/>
  <c r="O25" i="25"/>
  <c r="Q25" i="25" s="1"/>
  <c r="L25" i="25"/>
  <c r="N25" i="25" s="1"/>
  <c r="K25" i="25"/>
  <c r="M25" i="25" s="1"/>
  <c r="H25" i="25"/>
  <c r="J25" i="25" s="1"/>
  <c r="G25" i="25"/>
  <c r="I25" i="25" s="1"/>
  <c r="E25" i="25"/>
  <c r="D25" i="25"/>
  <c r="C25" i="25"/>
  <c r="AV24" i="25"/>
  <c r="AX24" i="25" s="1"/>
  <c r="AU24" i="25"/>
  <c r="AW24" i="25" s="1"/>
  <c r="AR24" i="25"/>
  <c r="AT24" i="25" s="1"/>
  <c r="AQ24" i="25"/>
  <c r="AS24" i="25" s="1"/>
  <c r="AN24" i="25"/>
  <c r="AP24" i="25" s="1"/>
  <c r="AM24" i="25"/>
  <c r="AO24" i="25" s="1"/>
  <c r="AJ24" i="25"/>
  <c r="AL24" i="25" s="1"/>
  <c r="AI24" i="25"/>
  <c r="AK24" i="25" s="1"/>
  <c r="AF24" i="25"/>
  <c r="AH24" i="25" s="1"/>
  <c r="AE24" i="25"/>
  <c r="AG24" i="25" s="1"/>
  <c r="AB24" i="25"/>
  <c r="AD24" i="25" s="1"/>
  <c r="AA24" i="25"/>
  <c r="AC24" i="25" s="1"/>
  <c r="X24" i="25"/>
  <c r="Z24" i="25" s="1"/>
  <c r="W24" i="25"/>
  <c r="Y24" i="25" s="1"/>
  <c r="T24" i="25"/>
  <c r="V24" i="25" s="1"/>
  <c r="S24" i="25"/>
  <c r="U24" i="25" s="1"/>
  <c r="P24" i="25"/>
  <c r="R24" i="25" s="1"/>
  <c r="O24" i="25"/>
  <c r="Q24" i="25" s="1"/>
  <c r="L24" i="25"/>
  <c r="N24" i="25" s="1"/>
  <c r="K24" i="25"/>
  <c r="M24" i="25" s="1"/>
  <c r="H24" i="25"/>
  <c r="J24" i="25" s="1"/>
  <c r="G24" i="25"/>
  <c r="I24" i="25" s="1"/>
  <c r="E24" i="25"/>
  <c r="D24" i="25"/>
  <c r="C24" i="25"/>
  <c r="AV23" i="25"/>
  <c r="AX23" i="25" s="1"/>
  <c r="AU23" i="25"/>
  <c r="AW23" i="25" s="1"/>
  <c r="AR23" i="25"/>
  <c r="AT23" i="25" s="1"/>
  <c r="AQ23" i="25"/>
  <c r="AS23" i="25" s="1"/>
  <c r="AN23" i="25"/>
  <c r="AP23" i="25" s="1"/>
  <c r="AM23" i="25"/>
  <c r="AO23" i="25" s="1"/>
  <c r="AJ23" i="25"/>
  <c r="AL23" i="25" s="1"/>
  <c r="AI23" i="25"/>
  <c r="AK23" i="25" s="1"/>
  <c r="AF23" i="25"/>
  <c r="AH23" i="25" s="1"/>
  <c r="AE23" i="25"/>
  <c r="AG23" i="25" s="1"/>
  <c r="AB23" i="25"/>
  <c r="AD23" i="25" s="1"/>
  <c r="AA23" i="25"/>
  <c r="AC23" i="25" s="1"/>
  <c r="X23" i="25"/>
  <c r="Z23" i="25" s="1"/>
  <c r="W23" i="25"/>
  <c r="Y23" i="25" s="1"/>
  <c r="T23" i="25"/>
  <c r="V23" i="25" s="1"/>
  <c r="S23" i="25"/>
  <c r="U23" i="25" s="1"/>
  <c r="P23" i="25"/>
  <c r="R23" i="25" s="1"/>
  <c r="O23" i="25"/>
  <c r="Q23" i="25" s="1"/>
  <c r="L23" i="25"/>
  <c r="N23" i="25" s="1"/>
  <c r="K23" i="25"/>
  <c r="M23" i="25" s="1"/>
  <c r="H23" i="25"/>
  <c r="J23" i="25" s="1"/>
  <c r="G23" i="25"/>
  <c r="I23" i="25" s="1"/>
  <c r="E23" i="25"/>
  <c r="D23" i="25"/>
  <c r="C23" i="25"/>
  <c r="AV22" i="25"/>
  <c r="AX22" i="25" s="1"/>
  <c r="AU22" i="25"/>
  <c r="AW22" i="25" s="1"/>
  <c r="AR22" i="25"/>
  <c r="AT22" i="25" s="1"/>
  <c r="AQ22" i="25"/>
  <c r="AS22" i="25" s="1"/>
  <c r="AN22" i="25"/>
  <c r="AP22" i="25" s="1"/>
  <c r="AM22" i="25"/>
  <c r="AO22" i="25" s="1"/>
  <c r="AJ22" i="25"/>
  <c r="AL22" i="25" s="1"/>
  <c r="AI22" i="25"/>
  <c r="AK22" i="25" s="1"/>
  <c r="AF22" i="25"/>
  <c r="AH22" i="25" s="1"/>
  <c r="AE22" i="25"/>
  <c r="AG22" i="25" s="1"/>
  <c r="AB22" i="25"/>
  <c r="AD22" i="25" s="1"/>
  <c r="AA22" i="25"/>
  <c r="AC22" i="25" s="1"/>
  <c r="X22" i="25"/>
  <c r="Z22" i="25" s="1"/>
  <c r="W22" i="25"/>
  <c r="Y22" i="25" s="1"/>
  <c r="T22" i="25"/>
  <c r="V22" i="25" s="1"/>
  <c r="S22" i="25"/>
  <c r="U22" i="25" s="1"/>
  <c r="P22" i="25"/>
  <c r="R22" i="25" s="1"/>
  <c r="O22" i="25"/>
  <c r="Q22" i="25" s="1"/>
  <c r="L22" i="25"/>
  <c r="N22" i="25" s="1"/>
  <c r="K22" i="25"/>
  <c r="M22" i="25" s="1"/>
  <c r="H22" i="25"/>
  <c r="J22" i="25" s="1"/>
  <c r="G22" i="25"/>
  <c r="I22" i="25" s="1"/>
  <c r="E22" i="25"/>
  <c r="D22" i="25"/>
  <c r="C22" i="25"/>
  <c r="AV21" i="25"/>
  <c r="AX21" i="25" s="1"/>
  <c r="AU21" i="25"/>
  <c r="AW21" i="25" s="1"/>
  <c r="AR21" i="25"/>
  <c r="AT21" i="25" s="1"/>
  <c r="AQ21" i="25"/>
  <c r="AS21" i="25" s="1"/>
  <c r="AN21" i="25"/>
  <c r="AP21" i="25" s="1"/>
  <c r="AM21" i="25"/>
  <c r="AO21" i="25" s="1"/>
  <c r="AJ21" i="25"/>
  <c r="AL21" i="25" s="1"/>
  <c r="AI21" i="25"/>
  <c r="AK21" i="25" s="1"/>
  <c r="AF21" i="25"/>
  <c r="AH21" i="25" s="1"/>
  <c r="AE21" i="25"/>
  <c r="AG21" i="25" s="1"/>
  <c r="AB21" i="25"/>
  <c r="AD21" i="25" s="1"/>
  <c r="AA21" i="25"/>
  <c r="AC21" i="25" s="1"/>
  <c r="X21" i="25"/>
  <c r="Z21" i="25" s="1"/>
  <c r="W21" i="25"/>
  <c r="Y21" i="25" s="1"/>
  <c r="T21" i="25"/>
  <c r="V21" i="25" s="1"/>
  <c r="S21" i="25"/>
  <c r="U21" i="25" s="1"/>
  <c r="P21" i="25"/>
  <c r="R21" i="25" s="1"/>
  <c r="O21" i="25"/>
  <c r="Q21" i="25" s="1"/>
  <c r="L21" i="25"/>
  <c r="N21" i="25" s="1"/>
  <c r="K21" i="25"/>
  <c r="M21" i="25" s="1"/>
  <c r="H21" i="25"/>
  <c r="J21" i="25" s="1"/>
  <c r="G21" i="25"/>
  <c r="I21" i="25" s="1"/>
  <c r="E21" i="25"/>
  <c r="D21" i="25"/>
  <c r="C21" i="25"/>
  <c r="AV20" i="25"/>
  <c r="AX20" i="25" s="1"/>
  <c r="AU20" i="25"/>
  <c r="AW20" i="25" s="1"/>
  <c r="AR20" i="25"/>
  <c r="AT20" i="25" s="1"/>
  <c r="AQ20" i="25"/>
  <c r="AS20" i="25" s="1"/>
  <c r="AN20" i="25"/>
  <c r="AP20" i="25" s="1"/>
  <c r="AM20" i="25"/>
  <c r="AO20" i="25" s="1"/>
  <c r="AJ20" i="25"/>
  <c r="AL20" i="25" s="1"/>
  <c r="AI20" i="25"/>
  <c r="AK20" i="25" s="1"/>
  <c r="AF20" i="25"/>
  <c r="AH20" i="25" s="1"/>
  <c r="AE20" i="25"/>
  <c r="AG20" i="25" s="1"/>
  <c r="AB20" i="25"/>
  <c r="AD20" i="25" s="1"/>
  <c r="AA20" i="25"/>
  <c r="AC20" i="25" s="1"/>
  <c r="X20" i="25"/>
  <c r="Z20" i="25" s="1"/>
  <c r="W20" i="25"/>
  <c r="Y20" i="25" s="1"/>
  <c r="T20" i="25"/>
  <c r="V20" i="25" s="1"/>
  <c r="S20" i="25"/>
  <c r="U20" i="25" s="1"/>
  <c r="P20" i="25"/>
  <c r="R20" i="25" s="1"/>
  <c r="O20" i="25"/>
  <c r="Q20" i="25" s="1"/>
  <c r="L20" i="25"/>
  <c r="N20" i="25" s="1"/>
  <c r="K20" i="25"/>
  <c r="M20" i="25" s="1"/>
  <c r="H20" i="25"/>
  <c r="J20" i="25" s="1"/>
  <c r="G20" i="25"/>
  <c r="I20" i="25" s="1"/>
  <c r="E20" i="25"/>
  <c r="D20" i="25"/>
  <c r="C20" i="25"/>
  <c r="AV19" i="25"/>
  <c r="AX19" i="25" s="1"/>
  <c r="AU19" i="25"/>
  <c r="AW19" i="25" s="1"/>
  <c r="AR19" i="25"/>
  <c r="AT19" i="25" s="1"/>
  <c r="AQ19" i="25"/>
  <c r="AS19" i="25" s="1"/>
  <c r="AN19" i="25"/>
  <c r="AP19" i="25" s="1"/>
  <c r="AM19" i="25"/>
  <c r="AO19" i="25" s="1"/>
  <c r="AJ19" i="25"/>
  <c r="AL19" i="25" s="1"/>
  <c r="AI19" i="25"/>
  <c r="AK19" i="25" s="1"/>
  <c r="AF19" i="25"/>
  <c r="AH19" i="25" s="1"/>
  <c r="AE19" i="25"/>
  <c r="AG19" i="25" s="1"/>
  <c r="AB19" i="25"/>
  <c r="AD19" i="25" s="1"/>
  <c r="AA19" i="25"/>
  <c r="AC19" i="25" s="1"/>
  <c r="X19" i="25"/>
  <c r="Z19" i="25" s="1"/>
  <c r="W19" i="25"/>
  <c r="Y19" i="25" s="1"/>
  <c r="T19" i="25"/>
  <c r="V19" i="25" s="1"/>
  <c r="S19" i="25"/>
  <c r="U19" i="25" s="1"/>
  <c r="P19" i="25"/>
  <c r="R19" i="25" s="1"/>
  <c r="O19" i="25"/>
  <c r="Q19" i="25" s="1"/>
  <c r="L19" i="25"/>
  <c r="N19" i="25" s="1"/>
  <c r="K19" i="25"/>
  <c r="M19" i="25" s="1"/>
  <c r="H19" i="25"/>
  <c r="J19" i="25" s="1"/>
  <c r="G19" i="25"/>
  <c r="I19" i="25" s="1"/>
  <c r="E19" i="25"/>
  <c r="D19" i="25"/>
  <c r="C19" i="25"/>
  <c r="AV18" i="25"/>
  <c r="AX18" i="25" s="1"/>
  <c r="AU18" i="25"/>
  <c r="AW18" i="25" s="1"/>
  <c r="AR18" i="25"/>
  <c r="AT18" i="25" s="1"/>
  <c r="AQ18" i="25"/>
  <c r="AS18" i="25" s="1"/>
  <c r="AN18" i="25"/>
  <c r="AP18" i="25" s="1"/>
  <c r="AM18" i="25"/>
  <c r="AO18" i="25" s="1"/>
  <c r="AJ18" i="25"/>
  <c r="AL18" i="25" s="1"/>
  <c r="AI18" i="25"/>
  <c r="AK18" i="25" s="1"/>
  <c r="AF18" i="25"/>
  <c r="AH18" i="25" s="1"/>
  <c r="AE18" i="25"/>
  <c r="AG18" i="25" s="1"/>
  <c r="AB18" i="25"/>
  <c r="AD18" i="25" s="1"/>
  <c r="AA18" i="25"/>
  <c r="AC18" i="25" s="1"/>
  <c r="X18" i="25"/>
  <c r="Z18" i="25" s="1"/>
  <c r="W18" i="25"/>
  <c r="Y18" i="25" s="1"/>
  <c r="T18" i="25"/>
  <c r="V18" i="25" s="1"/>
  <c r="S18" i="25"/>
  <c r="U18" i="25" s="1"/>
  <c r="P18" i="25"/>
  <c r="R18" i="25" s="1"/>
  <c r="O18" i="25"/>
  <c r="Q18" i="25" s="1"/>
  <c r="L18" i="25"/>
  <c r="N18" i="25" s="1"/>
  <c r="K18" i="25"/>
  <c r="M18" i="25" s="1"/>
  <c r="H18" i="25"/>
  <c r="J18" i="25" s="1"/>
  <c r="G18" i="25"/>
  <c r="I18" i="25" s="1"/>
  <c r="E18" i="25"/>
  <c r="D18" i="25"/>
  <c r="C18" i="25"/>
  <c r="AV17" i="25"/>
  <c r="AX17" i="25" s="1"/>
  <c r="AU17" i="25"/>
  <c r="AW17" i="25" s="1"/>
  <c r="AR17" i="25"/>
  <c r="AT17" i="25" s="1"/>
  <c r="AQ17" i="25"/>
  <c r="AS17" i="25" s="1"/>
  <c r="AN17" i="25"/>
  <c r="AP17" i="25" s="1"/>
  <c r="AM17" i="25"/>
  <c r="AO17" i="25" s="1"/>
  <c r="AJ17" i="25"/>
  <c r="AL17" i="25" s="1"/>
  <c r="AI17" i="25"/>
  <c r="AK17" i="25" s="1"/>
  <c r="AF17" i="25"/>
  <c r="AH17" i="25" s="1"/>
  <c r="AE17" i="25"/>
  <c r="AG17" i="25" s="1"/>
  <c r="AB17" i="25"/>
  <c r="AD17" i="25" s="1"/>
  <c r="AA17" i="25"/>
  <c r="AC17" i="25" s="1"/>
  <c r="X17" i="25"/>
  <c r="Z17" i="25" s="1"/>
  <c r="W17" i="25"/>
  <c r="Y17" i="25" s="1"/>
  <c r="T17" i="25"/>
  <c r="V17" i="25" s="1"/>
  <c r="S17" i="25"/>
  <c r="U17" i="25" s="1"/>
  <c r="P17" i="25"/>
  <c r="R17" i="25" s="1"/>
  <c r="O17" i="25"/>
  <c r="Q17" i="25" s="1"/>
  <c r="L17" i="25"/>
  <c r="N17" i="25" s="1"/>
  <c r="K17" i="25"/>
  <c r="M17" i="25" s="1"/>
  <c r="H17" i="25"/>
  <c r="J17" i="25" s="1"/>
  <c r="G17" i="25"/>
  <c r="I17" i="25" s="1"/>
  <c r="E17" i="25"/>
  <c r="D17" i="25"/>
  <c r="C17" i="25"/>
  <c r="AV16" i="25"/>
  <c r="AX16" i="25" s="1"/>
  <c r="AU16" i="25"/>
  <c r="AW16" i="25" s="1"/>
  <c r="AR16" i="25"/>
  <c r="AT16" i="25" s="1"/>
  <c r="AQ16" i="25"/>
  <c r="AS16" i="25" s="1"/>
  <c r="AN16" i="25"/>
  <c r="AP16" i="25" s="1"/>
  <c r="AM16" i="25"/>
  <c r="AO16" i="25" s="1"/>
  <c r="AJ16" i="25"/>
  <c r="AL16" i="25" s="1"/>
  <c r="AI16" i="25"/>
  <c r="AK16" i="25" s="1"/>
  <c r="AF16" i="25"/>
  <c r="AH16" i="25" s="1"/>
  <c r="AE16" i="25"/>
  <c r="AG16" i="25" s="1"/>
  <c r="AB16" i="25"/>
  <c r="AD16" i="25" s="1"/>
  <c r="AA16" i="25"/>
  <c r="AC16" i="25" s="1"/>
  <c r="X16" i="25"/>
  <c r="Z16" i="25" s="1"/>
  <c r="W16" i="25"/>
  <c r="Y16" i="25" s="1"/>
  <c r="T16" i="25"/>
  <c r="V16" i="25" s="1"/>
  <c r="S16" i="25"/>
  <c r="U16" i="25" s="1"/>
  <c r="P16" i="25"/>
  <c r="R16" i="25" s="1"/>
  <c r="O16" i="25"/>
  <c r="Q16" i="25" s="1"/>
  <c r="L16" i="25"/>
  <c r="N16" i="25" s="1"/>
  <c r="K16" i="25"/>
  <c r="M16" i="25" s="1"/>
  <c r="H16" i="25"/>
  <c r="J16" i="25" s="1"/>
  <c r="G16" i="25"/>
  <c r="I16" i="25" s="1"/>
  <c r="E16" i="25"/>
  <c r="D16" i="25"/>
  <c r="C16" i="25"/>
  <c r="AV15" i="25"/>
  <c r="AX15" i="25" s="1"/>
  <c r="AU15" i="25"/>
  <c r="AW15" i="25" s="1"/>
  <c r="AR15" i="25"/>
  <c r="AT15" i="25" s="1"/>
  <c r="AQ15" i="25"/>
  <c r="AS15" i="25" s="1"/>
  <c r="AN15" i="25"/>
  <c r="AP15" i="25" s="1"/>
  <c r="AM15" i="25"/>
  <c r="AO15" i="25" s="1"/>
  <c r="AJ15" i="25"/>
  <c r="AL15" i="25" s="1"/>
  <c r="AI15" i="25"/>
  <c r="AK15" i="25" s="1"/>
  <c r="AF15" i="25"/>
  <c r="AH15" i="25" s="1"/>
  <c r="AE15" i="25"/>
  <c r="AG15" i="25" s="1"/>
  <c r="AB15" i="25"/>
  <c r="AD15" i="25" s="1"/>
  <c r="AA15" i="25"/>
  <c r="AC15" i="25" s="1"/>
  <c r="X15" i="25"/>
  <c r="Z15" i="25" s="1"/>
  <c r="W15" i="25"/>
  <c r="Y15" i="25" s="1"/>
  <c r="T15" i="25"/>
  <c r="V15" i="25" s="1"/>
  <c r="S15" i="25"/>
  <c r="U15" i="25" s="1"/>
  <c r="P15" i="25"/>
  <c r="R15" i="25" s="1"/>
  <c r="O15" i="25"/>
  <c r="Q15" i="25" s="1"/>
  <c r="L15" i="25"/>
  <c r="N15" i="25" s="1"/>
  <c r="K15" i="25"/>
  <c r="M15" i="25" s="1"/>
  <c r="H15" i="25"/>
  <c r="J15" i="25" s="1"/>
  <c r="G15" i="25"/>
  <c r="I15" i="25" s="1"/>
  <c r="E15" i="25"/>
  <c r="D15" i="25"/>
  <c r="C15" i="25"/>
  <c r="AV14" i="25"/>
  <c r="AX14" i="25" s="1"/>
  <c r="AU14" i="25"/>
  <c r="AW14" i="25" s="1"/>
  <c r="AR14" i="25"/>
  <c r="AT14" i="25" s="1"/>
  <c r="AQ14" i="25"/>
  <c r="AS14" i="25" s="1"/>
  <c r="AN14" i="25"/>
  <c r="AP14" i="25" s="1"/>
  <c r="AM14" i="25"/>
  <c r="AO14" i="25" s="1"/>
  <c r="AJ14" i="25"/>
  <c r="AL14" i="25" s="1"/>
  <c r="AI14" i="25"/>
  <c r="AK14" i="25" s="1"/>
  <c r="AF14" i="25"/>
  <c r="AH14" i="25" s="1"/>
  <c r="AE14" i="25"/>
  <c r="AG14" i="25" s="1"/>
  <c r="AB14" i="25"/>
  <c r="AD14" i="25" s="1"/>
  <c r="AA14" i="25"/>
  <c r="AC14" i="25" s="1"/>
  <c r="X14" i="25"/>
  <c r="Z14" i="25" s="1"/>
  <c r="W14" i="25"/>
  <c r="Y14" i="25" s="1"/>
  <c r="T14" i="25"/>
  <c r="V14" i="25" s="1"/>
  <c r="S14" i="25"/>
  <c r="U14" i="25" s="1"/>
  <c r="P14" i="25"/>
  <c r="R14" i="25" s="1"/>
  <c r="O14" i="25"/>
  <c r="Q14" i="25" s="1"/>
  <c r="L14" i="25"/>
  <c r="N14" i="25" s="1"/>
  <c r="K14" i="25"/>
  <c r="M14" i="25" s="1"/>
  <c r="H14" i="25"/>
  <c r="J14" i="25" s="1"/>
  <c r="G14" i="25"/>
  <c r="I14" i="25" s="1"/>
  <c r="E14" i="25"/>
  <c r="D14" i="25"/>
  <c r="C14" i="25"/>
  <c r="AV13" i="25"/>
  <c r="AX13" i="25" s="1"/>
  <c r="AU13" i="25"/>
  <c r="AW13" i="25" s="1"/>
  <c r="AR13" i="25"/>
  <c r="AT13" i="25" s="1"/>
  <c r="AQ13" i="25"/>
  <c r="AS13" i="25" s="1"/>
  <c r="AN13" i="25"/>
  <c r="AP13" i="25" s="1"/>
  <c r="AM13" i="25"/>
  <c r="AO13" i="25" s="1"/>
  <c r="AJ13" i="25"/>
  <c r="AL13" i="25" s="1"/>
  <c r="AI13" i="25"/>
  <c r="AK13" i="25" s="1"/>
  <c r="AF13" i="25"/>
  <c r="AH13" i="25" s="1"/>
  <c r="AE13" i="25"/>
  <c r="AG13" i="25" s="1"/>
  <c r="AB13" i="25"/>
  <c r="AD13" i="25" s="1"/>
  <c r="AA13" i="25"/>
  <c r="AC13" i="25" s="1"/>
  <c r="X13" i="25"/>
  <c r="Z13" i="25" s="1"/>
  <c r="W13" i="25"/>
  <c r="Y13" i="25" s="1"/>
  <c r="T13" i="25"/>
  <c r="V13" i="25" s="1"/>
  <c r="S13" i="25"/>
  <c r="U13" i="25" s="1"/>
  <c r="P13" i="25"/>
  <c r="R13" i="25" s="1"/>
  <c r="O13" i="25"/>
  <c r="Q13" i="25" s="1"/>
  <c r="L13" i="25"/>
  <c r="N13" i="25" s="1"/>
  <c r="K13" i="25"/>
  <c r="M13" i="25" s="1"/>
  <c r="H13" i="25"/>
  <c r="J13" i="25" s="1"/>
  <c r="G13" i="25"/>
  <c r="I13" i="25" s="1"/>
  <c r="E13" i="25"/>
  <c r="D13" i="25"/>
  <c r="C13" i="25"/>
  <c r="AV12" i="25"/>
  <c r="AX12" i="25" s="1"/>
  <c r="AU12" i="25"/>
  <c r="AW12" i="25" s="1"/>
  <c r="AR12" i="25"/>
  <c r="AT12" i="25" s="1"/>
  <c r="AQ12" i="25"/>
  <c r="AS12" i="25" s="1"/>
  <c r="AN12" i="25"/>
  <c r="AP12" i="25" s="1"/>
  <c r="AM12" i="25"/>
  <c r="AO12" i="25" s="1"/>
  <c r="AJ12" i="25"/>
  <c r="AL12" i="25" s="1"/>
  <c r="AI12" i="25"/>
  <c r="AK12" i="25" s="1"/>
  <c r="AF12" i="25"/>
  <c r="AH12" i="25" s="1"/>
  <c r="AE12" i="25"/>
  <c r="AG12" i="25" s="1"/>
  <c r="AB12" i="25"/>
  <c r="AD12" i="25" s="1"/>
  <c r="AA12" i="25"/>
  <c r="AC12" i="25" s="1"/>
  <c r="X12" i="25"/>
  <c r="Z12" i="25" s="1"/>
  <c r="W12" i="25"/>
  <c r="Y12" i="25" s="1"/>
  <c r="T12" i="25"/>
  <c r="V12" i="25" s="1"/>
  <c r="S12" i="25"/>
  <c r="U12" i="25" s="1"/>
  <c r="P12" i="25"/>
  <c r="R12" i="25" s="1"/>
  <c r="O12" i="25"/>
  <c r="Q12" i="25" s="1"/>
  <c r="L12" i="25"/>
  <c r="N12" i="25" s="1"/>
  <c r="K12" i="25"/>
  <c r="M12" i="25" s="1"/>
  <c r="H12" i="25"/>
  <c r="J12" i="25" s="1"/>
  <c r="G12" i="25"/>
  <c r="I12" i="25" s="1"/>
  <c r="E12" i="25"/>
  <c r="D12" i="25"/>
  <c r="C12" i="25"/>
  <c r="AV11" i="25"/>
  <c r="AX11" i="25" s="1"/>
  <c r="AU11" i="25"/>
  <c r="AW11" i="25" s="1"/>
  <c r="AR11" i="25"/>
  <c r="AT11" i="25" s="1"/>
  <c r="AQ11" i="25"/>
  <c r="AS11" i="25" s="1"/>
  <c r="AN11" i="25"/>
  <c r="AP11" i="25" s="1"/>
  <c r="AM11" i="25"/>
  <c r="AO11" i="25" s="1"/>
  <c r="AJ11" i="25"/>
  <c r="AL11" i="25" s="1"/>
  <c r="AI11" i="25"/>
  <c r="AK11" i="25" s="1"/>
  <c r="AF11" i="25"/>
  <c r="AH11" i="25" s="1"/>
  <c r="AE11" i="25"/>
  <c r="AG11" i="25" s="1"/>
  <c r="AB11" i="25"/>
  <c r="AD11" i="25" s="1"/>
  <c r="AA11" i="25"/>
  <c r="AC11" i="25" s="1"/>
  <c r="X11" i="25"/>
  <c r="Z11" i="25" s="1"/>
  <c r="W11" i="25"/>
  <c r="Y11" i="25" s="1"/>
  <c r="T11" i="25"/>
  <c r="V11" i="25" s="1"/>
  <c r="S11" i="25"/>
  <c r="U11" i="25" s="1"/>
  <c r="P11" i="25"/>
  <c r="R11" i="25" s="1"/>
  <c r="O11" i="25"/>
  <c r="Q11" i="25" s="1"/>
  <c r="L11" i="25"/>
  <c r="N11" i="25" s="1"/>
  <c r="K11" i="25"/>
  <c r="M11" i="25" s="1"/>
  <c r="H11" i="25"/>
  <c r="J11" i="25" s="1"/>
  <c r="G11" i="25"/>
  <c r="I11" i="25" s="1"/>
  <c r="E11" i="25"/>
  <c r="D11" i="25"/>
  <c r="C11" i="25"/>
  <c r="AV10" i="25"/>
  <c r="AX10" i="25" s="1"/>
  <c r="AU10" i="25"/>
  <c r="AW10" i="25" s="1"/>
  <c r="AR10" i="25"/>
  <c r="AT10" i="25" s="1"/>
  <c r="AQ10" i="25"/>
  <c r="AS10" i="25" s="1"/>
  <c r="AN10" i="25"/>
  <c r="AP10" i="25" s="1"/>
  <c r="AM10" i="25"/>
  <c r="AO10" i="25" s="1"/>
  <c r="AJ10" i="25"/>
  <c r="AL10" i="25" s="1"/>
  <c r="AI10" i="25"/>
  <c r="AK10" i="25" s="1"/>
  <c r="AF10" i="25"/>
  <c r="AH10" i="25" s="1"/>
  <c r="AE10" i="25"/>
  <c r="AG10" i="25" s="1"/>
  <c r="AB10" i="25"/>
  <c r="AD10" i="25" s="1"/>
  <c r="AA10" i="25"/>
  <c r="AC10" i="25" s="1"/>
  <c r="X10" i="25"/>
  <c r="Z10" i="25" s="1"/>
  <c r="W10" i="25"/>
  <c r="Y10" i="25" s="1"/>
  <c r="T10" i="25"/>
  <c r="V10" i="25" s="1"/>
  <c r="S10" i="25"/>
  <c r="U10" i="25" s="1"/>
  <c r="P10" i="25"/>
  <c r="R10" i="25" s="1"/>
  <c r="O10" i="25"/>
  <c r="Q10" i="25" s="1"/>
  <c r="L10" i="25"/>
  <c r="N10" i="25" s="1"/>
  <c r="K10" i="25"/>
  <c r="M10" i="25" s="1"/>
  <c r="H10" i="25"/>
  <c r="J10" i="25" s="1"/>
  <c r="G10" i="25"/>
  <c r="I10" i="25" s="1"/>
  <c r="E10" i="25"/>
  <c r="D10" i="25"/>
  <c r="C10" i="25"/>
  <c r="AV9" i="25"/>
  <c r="AX9" i="25" s="1"/>
  <c r="AU9" i="25"/>
  <c r="AW9" i="25" s="1"/>
  <c r="AR9" i="25"/>
  <c r="AT9" i="25" s="1"/>
  <c r="AQ9" i="25"/>
  <c r="AS9" i="25" s="1"/>
  <c r="AN9" i="25"/>
  <c r="AP9" i="25" s="1"/>
  <c r="AM9" i="25"/>
  <c r="AO9" i="25" s="1"/>
  <c r="AJ9" i="25"/>
  <c r="AL9" i="25" s="1"/>
  <c r="AI9" i="25"/>
  <c r="AK9" i="25" s="1"/>
  <c r="AF9" i="25"/>
  <c r="AH9" i="25" s="1"/>
  <c r="AE9" i="25"/>
  <c r="AG9" i="25" s="1"/>
  <c r="AB9" i="25"/>
  <c r="AD9" i="25" s="1"/>
  <c r="AA9" i="25"/>
  <c r="AC9" i="25" s="1"/>
  <c r="X9" i="25"/>
  <c r="Z9" i="25" s="1"/>
  <c r="W9" i="25"/>
  <c r="Y9" i="25" s="1"/>
  <c r="T9" i="25"/>
  <c r="V9" i="25" s="1"/>
  <c r="S9" i="25"/>
  <c r="U9" i="25" s="1"/>
  <c r="P9" i="25"/>
  <c r="R9" i="25" s="1"/>
  <c r="O9" i="25"/>
  <c r="Q9" i="25" s="1"/>
  <c r="L9" i="25"/>
  <c r="N9" i="25" s="1"/>
  <c r="K9" i="25"/>
  <c r="M9" i="25" s="1"/>
  <c r="H9" i="25"/>
  <c r="J9" i="25" s="1"/>
  <c r="G9" i="25"/>
  <c r="I9" i="25" s="1"/>
  <c r="E9" i="25"/>
  <c r="D9" i="25"/>
  <c r="C9" i="25"/>
  <c r="AV8" i="25"/>
  <c r="AX8" i="25" s="1"/>
  <c r="AU8" i="25"/>
  <c r="AW8" i="25" s="1"/>
  <c r="AR8" i="25"/>
  <c r="AT8" i="25" s="1"/>
  <c r="AQ8" i="25"/>
  <c r="AS8" i="25" s="1"/>
  <c r="AN8" i="25"/>
  <c r="AP8" i="25" s="1"/>
  <c r="AM8" i="25"/>
  <c r="AO8" i="25" s="1"/>
  <c r="AJ8" i="25"/>
  <c r="AL8" i="25" s="1"/>
  <c r="AI8" i="25"/>
  <c r="AK8" i="25" s="1"/>
  <c r="AF8" i="25"/>
  <c r="AH8" i="25" s="1"/>
  <c r="AE8" i="25"/>
  <c r="AG8" i="25" s="1"/>
  <c r="AB8" i="25"/>
  <c r="AD8" i="25" s="1"/>
  <c r="AA8" i="25"/>
  <c r="AC8" i="25" s="1"/>
  <c r="X8" i="25"/>
  <c r="Z8" i="25" s="1"/>
  <c r="W8" i="25"/>
  <c r="Y8" i="25" s="1"/>
  <c r="T8" i="25"/>
  <c r="V8" i="25" s="1"/>
  <c r="S8" i="25"/>
  <c r="U8" i="25" s="1"/>
  <c r="P8" i="25"/>
  <c r="R8" i="25" s="1"/>
  <c r="O8" i="25"/>
  <c r="Q8" i="25" s="1"/>
  <c r="L8" i="25"/>
  <c r="N8" i="25" s="1"/>
  <c r="K8" i="25"/>
  <c r="M8" i="25" s="1"/>
  <c r="H8" i="25"/>
  <c r="J8" i="25" s="1"/>
  <c r="G8" i="25"/>
  <c r="I8" i="25" s="1"/>
  <c r="E8" i="25"/>
  <c r="D8" i="25"/>
  <c r="C8" i="25"/>
  <c r="AV7" i="25"/>
  <c r="AX7" i="25" s="1"/>
  <c r="AU7" i="25"/>
  <c r="AW7" i="25" s="1"/>
  <c r="AR7" i="25"/>
  <c r="AT7" i="25" s="1"/>
  <c r="AQ7" i="25"/>
  <c r="AS7" i="25" s="1"/>
  <c r="AN7" i="25"/>
  <c r="AP7" i="25" s="1"/>
  <c r="AM7" i="25"/>
  <c r="AO7" i="25" s="1"/>
  <c r="AJ7" i="25"/>
  <c r="AL7" i="25" s="1"/>
  <c r="AI7" i="25"/>
  <c r="AK7" i="25" s="1"/>
  <c r="AF7" i="25"/>
  <c r="AH7" i="25" s="1"/>
  <c r="AE7" i="25"/>
  <c r="AG7" i="25" s="1"/>
  <c r="AB7" i="25"/>
  <c r="AD7" i="25" s="1"/>
  <c r="AA7" i="25"/>
  <c r="AC7" i="25" s="1"/>
  <c r="X7" i="25"/>
  <c r="Z7" i="25" s="1"/>
  <c r="W7" i="25"/>
  <c r="Y7" i="25" s="1"/>
  <c r="T7" i="25"/>
  <c r="V7" i="25" s="1"/>
  <c r="S7" i="25"/>
  <c r="U7" i="25" s="1"/>
  <c r="P7" i="25"/>
  <c r="R7" i="25" s="1"/>
  <c r="O7" i="25"/>
  <c r="Q7" i="25" s="1"/>
  <c r="L7" i="25"/>
  <c r="N7" i="25" s="1"/>
  <c r="K7" i="25"/>
  <c r="M7" i="25" s="1"/>
  <c r="H7" i="25"/>
  <c r="J7" i="25" s="1"/>
  <c r="G7" i="25"/>
  <c r="I7" i="25" s="1"/>
  <c r="E7" i="25"/>
  <c r="D7" i="25"/>
  <c r="C7" i="25"/>
  <c r="AV6" i="25"/>
  <c r="AX6" i="25" s="1"/>
  <c r="AU6" i="25"/>
  <c r="AW6" i="25" s="1"/>
  <c r="AR6" i="25"/>
  <c r="AT6" i="25" s="1"/>
  <c r="AQ6" i="25"/>
  <c r="AS6" i="25" s="1"/>
  <c r="AN6" i="25"/>
  <c r="AP6" i="25" s="1"/>
  <c r="AM6" i="25"/>
  <c r="AO6" i="25" s="1"/>
  <c r="AJ6" i="25"/>
  <c r="AL6" i="25" s="1"/>
  <c r="AI6" i="25"/>
  <c r="AK6" i="25" s="1"/>
  <c r="AF6" i="25"/>
  <c r="AH6" i="25" s="1"/>
  <c r="AE6" i="25"/>
  <c r="AG6" i="25" s="1"/>
  <c r="AB6" i="25"/>
  <c r="AD6" i="25" s="1"/>
  <c r="AA6" i="25"/>
  <c r="AC6" i="25" s="1"/>
  <c r="X6" i="25"/>
  <c r="Z6" i="25" s="1"/>
  <c r="W6" i="25"/>
  <c r="Y6" i="25" s="1"/>
  <c r="T6" i="25"/>
  <c r="V6" i="25" s="1"/>
  <c r="S6" i="25"/>
  <c r="U6" i="25" s="1"/>
  <c r="P6" i="25"/>
  <c r="R6" i="25" s="1"/>
  <c r="O6" i="25"/>
  <c r="Q6" i="25" s="1"/>
  <c r="L6" i="25"/>
  <c r="N6" i="25" s="1"/>
  <c r="K6" i="25"/>
  <c r="M6" i="25" s="1"/>
  <c r="H6" i="25"/>
  <c r="J6" i="25" s="1"/>
  <c r="G6" i="25"/>
  <c r="I6" i="25" s="1"/>
  <c r="E6" i="25"/>
  <c r="D6" i="25"/>
  <c r="C6" i="25"/>
  <c r="AV5" i="25"/>
  <c r="AX5" i="25" s="1"/>
  <c r="AU5" i="25"/>
  <c r="AW5" i="25" s="1"/>
  <c r="AR5" i="25"/>
  <c r="AT5" i="25" s="1"/>
  <c r="AQ5" i="25"/>
  <c r="AS5" i="25" s="1"/>
  <c r="AN5" i="25"/>
  <c r="AP5" i="25" s="1"/>
  <c r="AM5" i="25"/>
  <c r="AO5" i="25" s="1"/>
  <c r="AJ5" i="25"/>
  <c r="AL5" i="25" s="1"/>
  <c r="AI5" i="25"/>
  <c r="AK5" i="25" s="1"/>
  <c r="AF5" i="25"/>
  <c r="AH5" i="25" s="1"/>
  <c r="AE5" i="25"/>
  <c r="AG5" i="25" s="1"/>
  <c r="AB5" i="25"/>
  <c r="AD5" i="25" s="1"/>
  <c r="AA5" i="25"/>
  <c r="AC5" i="25" s="1"/>
  <c r="X5" i="25"/>
  <c r="Z5" i="25" s="1"/>
  <c r="W5" i="25"/>
  <c r="Y5" i="25" s="1"/>
  <c r="T5" i="25"/>
  <c r="V5" i="25" s="1"/>
  <c r="S5" i="25"/>
  <c r="U5" i="25" s="1"/>
  <c r="P5" i="25"/>
  <c r="R5" i="25" s="1"/>
  <c r="O5" i="25"/>
  <c r="Q5" i="25" s="1"/>
  <c r="L5" i="25"/>
  <c r="N5" i="25" s="1"/>
  <c r="K5" i="25"/>
  <c r="M5" i="25" s="1"/>
  <c r="H5" i="25"/>
  <c r="J5" i="25" s="1"/>
  <c r="G5" i="25"/>
  <c r="I5" i="25" s="1"/>
  <c r="E5" i="25"/>
  <c r="D5" i="25"/>
  <c r="C5" i="25"/>
  <c r="AV4" i="25"/>
  <c r="AX4" i="25" s="1"/>
  <c r="AU4" i="25"/>
  <c r="AW4" i="25" s="1"/>
  <c r="AR4" i="25"/>
  <c r="AT4" i="25" s="1"/>
  <c r="AQ4" i="25"/>
  <c r="AS4" i="25" s="1"/>
  <c r="AN4" i="25"/>
  <c r="AP4" i="25" s="1"/>
  <c r="AM4" i="25"/>
  <c r="AO4" i="25" s="1"/>
  <c r="AJ4" i="25"/>
  <c r="AL4" i="25" s="1"/>
  <c r="AI4" i="25"/>
  <c r="AK4" i="25" s="1"/>
  <c r="AF4" i="25"/>
  <c r="AH4" i="25" s="1"/>
  <c r="AE4" i="25"/>
  <c r="AG4" i="25" s="1"/>
  <c r="AB4" i="25"/>
  <c r="AD4" i="25" s="1"/>
  <c r="AA4" i="25"/>
  <c r="AC4" i="25" s="1"/>
  <c r="X4" i="25"/>
  <c r="Z4" i="25" s="1"/>
  <c r="W4" i="25"/>
  <c r="Y4" i="25" s="1"/>
  <c r="T4" i="25"/>
  <c r="V4" i="25" s="1"/>
  <c r="S4" i="25"/>
  <c r="U4" i="25" s="1"/>
  <c r="P4" i="25"/>
  <c r="R4" i="25" s="1"/>
  <c r="O4" i="25"/>
  <c r="Q4" i="25" s="1"/>
  <c r="L4" i="25"/>
  <c r="N4" i="25" s="1"/>
  <c r="K4" i="25"/>
  <c r="M4" i="25" s="1"/>
  <c r="H4" i="25"/>
  <c r="J4" i="25" s="1"/>
  <c r="G4" i="25"/>
  <c r="I4" i="25" s="1"/>
  <c r="E4" i="25"/>
  <c r="D4" i="25"/>
  <c r="C4" i="25"/>
  <c r="AV3" i="25"/>
  <c r="AX3" i="25" s="1"/>
  <c r="AU3" i="25"/>
  <c r="AW3" i="25" s="1"/>
  <c r="AR3" i="25"/>
  <c r="AT3" i="25" s="1"/>
  <c r="AQ3" i="25"/>
  <c r="AS3" i="25" s="1"/>
  <c r="AN3" i="25"/>
  <c r="AP3" i="25" s="1"/>
  <c r="AM3" i="25"/>
  <c r="AO3" i="25" s="1"/>
  <c r="AJ3" i="25"/>
  <c r="AL3" i="25" s="1"/>
  <c r="AI3" i="25"/>
  <c r="AK3" i="25" s="1"/>
  <c r="AF3" i="25"/>
  <c r="AH3" i="25" s="1"/>
  <c r="AE3" i="25"/>
  <c r="AG3" i="25" s="1"/>
  <c r="AB3" i="25"/>
  <c r="AD3" i="25" s="1"/>
  <c r="AA3" i="25"/>
  <c r="AC3" i="25" s="1"/>
  <c r="X3" i="25"/>
  <c r="Z3" i="25" s="1"/>
  <c r="W3" i="25"/>
  <c r="Y3" i="25" s="1"/>
  <c r="T3" i="25"/>
  <c r="V3" i="25" s="1"/>
  <c r="S3" i="25"/>
  <c r="U3" i="25" s="1"/>
  <c r="P3" i="25"/>
  <c r="R3" i="25" s="1"/>
  <c r="O3" i="25"/>
  <c r="Q3" i="25" s="1"/>
  <c r="L3" i="25"/>
  <c r="N3" i="25" s="1"/>
  <c r="K3" i="25"/>
  <c r="M3" i="25" s="1"/>
  <c r="H3" i="25"/>
  <c r="J3" i="25" s="1"/>
  <c r="G3" i="25"/>
  <c r="I3" i="25" s="1"/>
  <c r="E3" i="25"/>
  <c r="D3" i="25"/>
  <c r="C3" i="25"/>
  <c r="AV50" i="24"/>
  <c r="AX50" i="24" s="1"/>
  <c r="AU50" i="24"/>
  <c r="AW50" i="24" s="1"/>
  <c r="AR50" i="24"/>
  <c r="AT50" i="24" s="1"/>
  <c r="AQ50" i="24"/>
  <c r="AS50" i="24" s="1"/>
  <c r="AN50" i="24"/>
  <c r="AP50" i="24" s="1"/>
  <c r="AM50" i="24"/>
  <c r="AO50" i="24" s="1"/>
  <c r="AJ50" i="24"/>
  <c r="AL50" i="24" s="1"/>
  <c r="AI50" i="24"/>
  <c r="AK50" i="24" s="1"/>
  <c r="AF50" i="24"/>
  <c r="AH50" i="24" s="1"/>
  <c r="AE50" i="24"/>
  <c r="AG50" i="24" s="1"/>
  <c r="AB50" i="24"/>
  <c r="AD50" i="24" s="1"/>
  <c r="AA50" i="24"/>
  <c r="AC50" i="24" s="1"/>
  <c r="X50" i="24"/>
  <c r="Z50" i="24" s="1"/>
  <c r="W50" i="24"/>
  <c r="Y50" i="24" s="1"/>
  <c r="T50" i="24"/>
  <c r="V50" i="24" s="1"/>
  <c r="S50" i="24"/>
  <c r="U50" i="24" s="1"/>
  <c r="P50" i="24"/>
  <c r="R50" i="24" s="1"/>
  <c r="O50" i="24"/>
  <c r="Q50" i="24" s="1"/>
  <c r="L50" i="24"/>
  <c r="N50" i="24" s="1"/>
  <c r="K50" i="24"/>
  <c r="M50" i="24" s="1"/>
  <c r="H50" i="24"/>
  <c r="J50" i="24" s="1"/>
  <c r="G50" i="24"/>
  <c r="I50" i="24" s="1"/>
  <c r="E50" i="24"/>
  <c r="D50" i="24"/>
  <c r="C50" i="24"/>
  <c r="AV49" i="24"/>
  <c r="AX49" i="24" s="1"/>
  <c r="AU49" i="24"/>
  <c r="AW49" i="24" s="1"/>
  <c r="AR49" i="24"/>
  <c r="AT49" i="24" s="1"/>
  <c r="AQ49" i="24"/>
  <c r="AS49" i="24" s="1"/>
  <c r="AN49" i="24"/>
  <c r="AP49" i="24" s="1"/>
  <c r="AM49" i="24"/>
  <c r="AO49" i="24" s="1"/>
  <c r="AJ49" i="24"/>
  <c r="AL49" i="24" s="1"/>
  <c r="AI49" i="24"/>
  <c r="AK49" i="24" s="1"/>
  <c r="AF49" i="24"/>
  <c r="AH49" i="24" s="1"/>
  <c r="AE49" i="24"/>
  <c r="AG49" i="24" s="1"/>
  <c r="AB49" i="24"/>
  <c r="AD49" i="24" s="1"/>
  <c r="AA49" i="24"/>
  <c r="AC49" i="24" s="1"/>
  <c r="X49" i="24"/>
  <c r="Z49" i="24" s="1"/>
  <c r="W49" i="24"/>
  <c r="Y49" i="24" s="1"/>
  <c r="T49" i="24"/>
  <c r="V49" i="24" s="1"/>
  <c r="S49" i="24"/>
  <c r="U49" i="24" s="1"/>
  <c r="P49" i="24"/>
  <c r="R49" i="24" s="1"/>
  <c r="O49" i="24"/>
  <c r="Q49" i="24" s="1"/>
  <c r="L49" i="24"/>
  <c r="N49" i="24" s="1"/>
  <c r="K49" i="24"/>
  <c r="M49" i="24" s="1"/>
  <c r="H49" i="24"/>
  <c r="J49" i="24" s="1"/>
  <c r="G49" i="24"/>
  <c r="I49" i="24" s="1"/>
  <c r="E49" i="24"/>
  <c r="D49" i="24"/>
  <c r="C49" i="24"/>
  <c r="AV48" i="24"/>
  <c r="AX48" i="24" s="1"/>
  <c r="AU48" i="24"/>
  <c r="AW48" i="24" s="1"/>
  <c r="AR48" i="24"/>
  <c r="AT48" i="24" s="1"/>
  <c r="AQ48" i="24"/>
  <c r="AS48" i="24" s="1"/>
  <c r="AN48" i="24"/>
  <c r="AP48" i="24" s="1"/>
  <c r="AM48" i="24"/>
  <c r="AO48" i="24" s="1"/>
  <c r="AJ48" i="24"/>
  <c r="AL48" i="24" s="1"/>
  <c r="AI48" i="24"/>
  <c r="AK48" i="24" s="1"/>
  <c r="AF48" i="24"/>
  <c r="AH48" i="24" s="1"/>
  <c r="AE48" i="24"/>
  <c r="AG48" i="24" s="1"/>
  <c r="AB48" i="24"/>
  <c r="AD48" i="24" s="1"/>
  <c r="AA48" i="24"/>
  <c r="AC48" i="24" s="1"/>
  <c r="X48" i="24"/>
  <c r="Z48" i="24" s="1"/>
  <c r="W48" i="24"/>
  <c r="Y48" i="24" s="1"/>
  <c r="T48" i="24"/>
  <c r="V48" i="24" s="1"/>
  <c r="S48" i="24"/>
  <c r="U48" i="24" s="1"/>
  <c r="P48" i="24"/>
  <c r="R48" i="24" s="1"/>
  <c r="O48" i="24"/>
  <c r="Q48" i="24" s="1"/>
  <c r="L48" i="24"/>
  <c r="N48" i="24" s="1"/>
  <c r="K48" i="24"/>
  <c r="M48" i="24" s="1"/>
  <c r="H48" i="24"/>
  <c r="J48" i="24" s="1"/>
  <c r="G48" i="24"/>
  <c r="I48" i="24" s="1"/>
  <c r="E48" i="24"/>
  <c r="D48" i="24"/>
  <c r="C48" i="24"/>
  <c r="AV47" i="24"/>
  <c r="AX47" i="24" s="1"/>
  <c r="AU47" i="24"/>
  <c r="AW47" i="24" s="1"/>
  <c r="AR47" i="24"/>
  <c r="AT47" i="24" s="1"/>
  <c r="AQ47" i="24"/>
  <c r="AS47" i="24" s="1"/>
  <c r="AN47" i="24"/>
  <c r="AP47" i="24" s="1"/>
  <c r="AM47" i="24"/>
  <c r="AO47" i="24" s="1"/>
  <c r="AJ47" i="24"/>
  <c r="AL47" i="24" s="1"/>
  <c r="AI47" i="24"/>
  <c r="AK47" i="24" s="1"/>
  <c r="AF47" i="24"/>
  <c r="AH47" i="24" s="1"/>
  <c r="AE47" i="24"/>
  <c r="AG47" i="24" s="1"/>
  <c r="AB47" i="24"/>
  <c r="AD47" i="24" s="1"/>
  <c r="AA47" i="24"/>
  <c r="AC47" i="24" s="1"/>
  <c r="X47" i="24"/>
  <c r="Z47" i="24" s="1"/>
  <c r="W47" i="24"/>
  <c r="Y47" i="24" s="1"/>
  <c r="T47" i="24"/>
  <c r="V47" i="24" s="1"/>
  <c r="S47" i="24"/>
  <c r="U47" i="24" s="1"/>
  <c r="P47" i="24"/>
  <c r="R47" i="24" s="1"/>
  <c r="O47" i="24"/>
  <c r="Q47" i="24" s="1"/>
  <c r="L47" i="24"/>
  <c r="N47" i="24" s="1"/>
  <c r="K47" i="24"/>
  <c r="M47" i="24" s="1"/>
  <c r="H47" i="24"/>
  <c r="J47" i="24" s="1"/>
  <c r="G47" i="24"/>
  <c r="I47" i="24" s="1"/>
  <c r="E47" i="24"/>
  <c r="D47" i="24"/>
  <c r="C47" i="24"/>
  <c r="AV46" i="24"/>
  <c r="AX46" i="24" s="1"/>
  <c r="AU46" i="24"/>
  <c r="AW46" i="24" s="1"/>
  <c r="AR46" i="24"/>
  <c r="AT46" i="24" s="1"/>
  <c r="AQ46" i="24"/>
  <c r="AS46" i="24" s="1"/>
  <c r="AN46" i="24"/>
  <c r="AP46" i="24" s="1"/>
  <c r="AM46" i="24"/>
  <c r="AO46" i="24" s="1"/>
  <c r="AJ46" i="24"/>
  <c r="AL46" i="24" s="1"/>
  <c r="AI46" i="24"/>
  <c r="AK46" i="24" s="1"/>
  <c r="AF46" i="24"/>
  <c r="AH46" i="24" s="1"/>
  <c r="AE46" i="24"/>
  <c r="AG46" i="24" s="1"/>
  <c r="AB46" i="24"/>
  <c r="AD46" i="24" s="1"/>
  <c r="AA46" i="24"/>
  <c r="AC46" i="24" s="1"/>
  <c r="X46" i="24"/>
  <c r="Z46" i="24" s="1"/>
  <c r="W46" i="24"/>
  <c r="Y46" i="24" s="1"/>
  <c r="T46" i="24"/>
  <c r="V46" i="24" s="1"/>
  <c r="S46" i="24"/>
  <c r="U46" i="24" s="1"/>
  <c r="P46" i="24"/>
  <c r="R46" i="24" s="1"/>
  <c r="O46" i="24"/>
  <c r="Q46" i="24" s="1"/>
  <c r="L46" i="24"/>
  <c r="N46" i="24" s="1"/>
  <c r="K46" i="24"/>
  <c r="M46" i="24" s="1"/>
  <c r="H46" i="24"/>
  <c r="J46" i="24" s="1"/>
  <c r="G46" i="24"/>
  <c r="I46" i="24" s="1"/>
  <c r="E46" i="24"/>
  <c r="D46" i="24"/>
  <c r="C46" i="24"/>
  <c r="AV45" i="24"/>
  <c r="AX45" i="24" s="1"/>
  <c r="AU45" i="24"/>
  <c r="AW45" i="24" s="1"/>
  <c r="AR45" i="24"/>
  <c r="AT45" i="24" s="1"/>
  <c r="AQ45" i="24"/>
  <c r="AS45" i="24" s="1"/>
  <c r="AN45" i="24"/>
  <c r="AP45" i="24" s="1"/>
  <c r="AM45" i="24"/>
  <c r="AO45" i="24" s="1"/>
  <c r="AJ45" i="24"/>
  <c r="AL45" i="24" s="1"/>
  <c r="AI45" i="24"/>
  <c r="AK45" i="24" s="1"/>
  <c r="AF45" i="24"/>
  <c r="AH45" i="24" s="1"/>
  <c r="AE45" i="24"/>
  <c r="AG45" i="24" s="1"/>
  <c r="AB45" i="24"/>
  <c r="AD45" i="24" s="1"/>
  <c r="AA45" i="24"/>
  <c r="AC45" i="24" s="1"/>
  <c r="X45" i="24"/>
  <c r="Z45" i="24" s="1"/>
  <c r="W45" i="24"/>
  <c r="Y45" i="24" s="1"/>
  <c r="T45" i="24"/>
  <c r="V45" i="24" s="1"/>
  <c r="S45" i="24"/>
  <c r="U45" i="24" s="1"/>
  <c r="P45" i="24"/>
  <c r="R45" i="24" s="1"/>
  <c r="O45" i="24"/>
  <c r="Q45" i="24" s="1"/>
  <c r="L45" i="24"/>
  <c r="N45" i="24" s="1"/>
  <c r="K45" i="24"/>
  <c r="M45" i="24" s="1"/>
  <c r="H45" i="24"/>
  <c r="J45" i="24" s="1"/>
  <c r="G45" i="24"/>
  <c r="I45" i="24" s="1"/>
  <c r="E45" i="24"/>
  <c r="D45" i="24"/>
  <c r="C45" i="24"/>
  <c r="AV44" i="24"/>
  <c r="AX44" i="24" s="1"/>
  <c r="AU44" i="24"/>
  <c r="AW44" i="24" s="1"/>
  <c r="AR44" i="24"/>
  <c r="AT44" i="24" s="1"/>
  <c r="AQ44" i="24"/>
  <c r="AS44" i="24" s="1"/>
  <c r="AN44" i="24"/>
  <c r="AP44" i="24" s="1"/>
  <c r="AM44" i="24"/>
  <c r="AO44" i="24" s="1"/>
  <c r="AJ44" i="24"/>
  <c r="AL44" i="24" s="1"/>
  <c r="AI44" i="24"/>
  <c r="AK44" i="24" s="1"/>
  <c r="AF44" i="24"/>
  <c r="AH44" i="24" s="1"/>
  <c r="AE44" i="24"/>
  <c r="AG44" i="24" s="1"/>
  <c r="AB44" i="24"/>
  <c r="AD44" i="24" s="1"/>
  <c r="AA44" i="24"/>
  <c r="AC44" i="24" s="1"/>
  <c r="X44" i="24"/>
  <c r="Z44" i="24" s="1"/>
  <c r="W44" i="24"/>
  <c r="Y44" i="24" s="1"/>
  <c r="T44" i="24"/>
  <c r="V44" i="24" s="1"/>
  <c r="S44" i="24"/>
  <c r="U44" i="24" s="1"/>
  <c r="P44" i="24"/>
  <c r="R44" i="24" s="1"/>
  <c r="O44" i="24"/>
  <c r="Q44" i="24" s="1"/>
  <c r="L44" i="24"/>
  <c r="N44" i="24" s="1"/>
  <c r="K44" i="24"/>
  <c r="M44" i="24" s="1"/>
  <c r="H44" i="24"/>
  <c r="J44" i="24" s="1"/>
  <c r="G44" i="24"/>
  <c r="I44" i="24" s="1"/>
  <c r="E44" i="24"/>
  <c r="D44" i="24"/>
  <c r="C44" i="24"/>
  <c r="AV43" i="24"/>
  <c r="AX43" i="24" s="1"/>
  <c r="AU43" i="24"/>
  <c r="AW43" i="24" s="1"/>
  <c r="AR43" i="24"/>
  <c r="AT43" i="24" s="1"/>
  <c r="AQ43" i="24"/>
  <c r="AS43" i="24" s="1"/>
  <c r="AN43" i="24"/>
  <c r="AP43" i="24" s="1"/>
  <c r="AM43" i="24"/>
  <c r="AO43" i="24" s="1"/>
  <c r="AJ43" i="24"/>
  <c r="AL43" i="24" s="1"/>
  <c r="AI43" i="24"/>
  <c r="AK43" i="24" s="1"/>
  <c r="AF43" i="24"/>
  <c r="AH43" i="24" s="1"/>
  <c r="AE43" i="24"/>
  <c r="AG43" i="24" s="1"/>
  <c r="AB43" i="24"/>
  <c r="AD43" i="24" s="1"/>
  <c r="AA43" i="24"/>
  <c r="AC43" i="24" s="1"/>
  <c r="X43" i="24"/>
  <c r="Z43" i="24" s="1"/>
  <c r="W43" i="24"/>
  <c r="Y43" i="24" s="1"/>
  <c r="T43" i="24"/>
  <c r="V43" i="24" s="1"/>
  <c r="S43" i="24"/>
  <c r="U43" i="24" s="1"/>
  <c r="P43" i="24"/>
  <c r="R43" i="24" s="1"/>
  <c r="O43" i="24"/>
  <c r="Q43" i="24" s="1"/>
  <c r="L43" i="24"/>
  <c r="N43" i="24" s="1"/>
  <c r="K43" i="24"/>
  <c r="M43" i="24" s="1"/>
  <c r="H43" i="24"/>
  <c r="J43" i="24" s="1"/>
  <c r="G43" i="24"/>
  <c r="I43" i="24" s="1"/>
  <c r="E43" i="24"/>
  <c r="D43" i="24"/>
  <c r="C43" i="24"/>
  <c r="AV42" i="24"/>
  <c r="AX42" i="24" s="1"/>
  <c r="AU42" i="24"/>
  <c r="AW42" i="24" s="1"/>
  <c r="AR42" i="24"/>
  <c r="AT42" i="24" s="1"/>
  <c r="AQ42" i="24"/>
  <c r="AS42" i="24" s="1"/>
  <c r="AN42" i="24"/>
  <c r="AP42" i="24" s="1"/>
  <c r="AM42" i="24"/>
  <c r="AO42" i="24" s="1"/>
  <c r="AJ42" i="24"/>
  <c r="AL42" i="24" s="1"/>
  <c r="AI42" i="24"/>
  <c r="AK42" i="24" s="1"/>
  <c r="AF42" i="24"/>
  <c r="AH42" i="24" s="1"/>
  <c r="AE42" i="24"/>
  <c r="AG42" i="24" s="1"/>
  <c r="AB42" i="24"/>
  <c r="AD42" i="24" s="1"/>
  <c r="AA42" i="24"/>
  <c r="AC42" i="24" s="1"/>
  <c r="X42" i="24"/>
  <c r="Z42" i="24" s="1"/>
  <c r="W42" i="24"/>
  <c r="Y42" i="24" s="1"/>
  <c r="T42" i="24"/>
  <c r="V42" i="24" s="1"/>
  <c r="S42" i="24"/>
  <c r="U42" i="24" s="1"/>
  <c r="P42" i="24"/>
  <c r="R42" i="24" s="1"/>
  <c r="O42" i="24"/>
  <c r="Q42" i="24" s="1"/>
  <c r="L42" i="24"/>
  <c r="N42" i="24" s="1"/>
  <c r="K42" i="24"/>
  <c r="M42" i="24" s="1"/>
  <c r="H42" i="24"/>
  <c r="J42" i="24" s="1"/>
  <c r="G42" i="24"/>
  <c r="I42" i="24" s="1"/>
  <c r="E42" i="24"/>
  <c r="D42" i="24"/>
  <c r="C42" i="24"/>
  <c r="AV41" i="24"/>
  <c r="AX41" i="24" s="1"/>
  <c r="AU41" i="24"/>
  <c r="AW41" i="24" s="1"/>
  <c r="AR41" i="24"/>
  <c r="AT41" i="24" s="1"/>
  <c r="AQ41" i="24"/>
  <c r="AS41" i="24" s="1"/>
  <c r="AN41" i="24"/>
  <c r="AP41" i="24" s="1"/>
  <c r="AM41" i="24"/>
  <c r="AO41" i="24" s="1"/>
  <c r="AJ41" i="24"/>
  <c r="AL41" i="24" s="1"/>
  <c r="AI41" i="24"/>
  <c r="AK41" i="24" s="1"/>
  <c r="AF41" i="24"/>
  <c r="AH41" i="24" s="1"/>
  <c r="AE41" i="24"/>
  <c r="AG41" i="24" s="1"/>
  <c r="AB41" i="24"/>
  <c r="AD41" i="24" s="1"/>
  <c r="AA41" i="24"/>
  <c r="AC41" i="24" s="1"/>
  <c r="X41" i="24"/>
  <c r="Z41" i="24" s="1"/>
  <c r="W41" i="24"/>
  <c r="Y41" i="24" s="1"/>
  <c r="T41" i="24"/>
  <c r="V41" i="24" s="1"/>
  <c r="S41" i="24"/>
  <c r="U41" i="24" s="1"/>
  <c r="P41" i="24"/>
  <c r="R41" i="24" s="1"/>
  <c r="O41" i="24"/>
  <c r="Q41" i="24" s="1"/>
  <c r="L41" i="24"/>
  <c r="N41" i="24" s="1"/>
  <c r="K41" i="24"/>
  <c r="M41" i="24" s="1"/>
  <c r="H41" i="24"/>
  <c r="J41" i="24" s="1"/>
  <c r="G41" i="24"/>
  <c r="I41" i="24" s="1"/>
  <c r="E41" i="24"/>
  <c r="D41" i="24"/>
  <c r="C41" i="24"/>
  <c r="AV40" i="24"/>
  <c r="AX40" i="24" s="1"/>
  <c r="AU40" i="24"/>
  <c r="AW40" i="24" s="1"/>
  <c r="AR40" i="24"/>
  <c r="AT40" i="24" s="1"/>
  <c r="AQ40" i="24"/>
  <c r="AS40" i="24" s="1"/>
  <c r="AN40" i="24"/>
  <c r="AP40" i="24" s="1"/>
  <c r="AM40" i="24"/>
  <c r="AO40" i="24" s="1"/>
  <c r="AJ40" i="24"/>
  <c r="AL40" i="24" s="1"/>
  <c r="AI40" i="24"/>
  <c r="AK40" i="24" s="1"/>
  <c r="AF40" i="24"/>
  <c r="AH40" i="24" s="1"/>
  <c r="AE40" i="24"/>
  <c r="AG40" i="24" s="1"/>
  <c r="AB40" i="24"/>
  <c r="AD40" i="24" s="1"/>
  <c r="AA40" i="24"/>
  <c r="AC40" i="24" s="1"/>
  <c r="X40" i="24"/>
  <c r="Z40" i="24" s="1"/>
  <c r="W40" i="24"/>
  <c r="Y40" i="24" s="1"/>
  <c r="T40" i="24"/>
  <c r="V40" i="24" s="1"/>
  <c r="S40" i="24"/>
  <c r="U40" i="24" s="1"/>
  <c r="P40" i="24"/>
  <c r="R40" i="24" s="1"/>
  <c r="O40" i="24"/>
  <c r="Q40" i="24" s="1"/>
  <c r="L40" i="24"/>
  <c r="N40" i="24" s="1"/>
  <c r="K40" i="24"/>
  <c r="M40" i="24" s="1"/>
  <c r="H40" i="24"/>
  <c r="J40" i="24" s="1"/>
  <c r="G40" i="24"/>
  <c r="I40" i="24" s="1"/>
  <c r="E40" i="24"/>
  <c r="D40" i="24"/>
  <c r="C40" i="24"/>
  <c r="AV39" i="24"/>
  <c r="AX39" i="24" s="1"/>
  <c r="AU39" i="24"/>
  <c r="AW39" i="24" s="1"/>
  <c r="AR39" i="24"/>
  <c r="AT39" i="24" s="1"/>
  <c r="AQ39" i="24"/>
  <c r="AS39" i="24" s="1"/>
  <c r="AN39" i="24"/>
  <c r="AP39" i="24" s="1"/>
  <c r="AM39" i="24"/>
  <c r="AO39" i="24" s="1"/>
  <c r="AJ39" i="24"/>
  <c r="AL39" i="24" s="1"/>
  <c r="AI39" i="24"/>
  <c r="AK39" i="24" s="1"/>
  <c r="AF39" i="24"/>
  <c r="AH39" i="24" s="1"/>
  <c r="AE39" i="24"/>
  <c r="AG39" i="24" s="1"/>
  <c r="AB39" i="24"/>
  <c r="AD39" i="24" s="1"/>
  <c r="AA39" i="24"/>
  <c r="AC39" i="24" s="1"/>
  <c r="X39" i="24"/>
  <c r="Z39" i="24" s="1"/>
  <c r="W39" i="24"/>
  <c r="Y39" i="24" s="1"/>
  <c r="T39" i="24"/>
  <c r="V39" i="24" s="1"/>
  <c r="S39" i="24"/>
  <c r="U39" i="24" s="1"/>
  <c r="P39" i="24"/>
  <c r="R39" i="24" s="1"/>
  <c r="O39" i="24"/>
  <c r="Q39" i="24" s="1"/>
  <c r="L39" i="24"/>
  <c r="N39" i="24" s="1"/>
  <c r="K39" i="24"/>
  <c r="M39" i="24" s="1"/>
  <c r="H39" i="24"/>
  <c r="J39" i="24" s="1"/>
  <c r="G39" i="24"/>
  <c r="I39" i="24" s="1"/>
  <c r="E39" i="24"/>
  <c r="D39" i="24"/>
  <c r="C39" i="24"/>
  <c r="AV38" i="24"/>
  <c r="AX38" i="24" s="1"/>
  <c r="AU38" i="24"/>
  <c r="AW38" i="24" s="1"/>
  <c r="AR38" i="24"/>
  <c r="AT38" i="24" s="1"/>
  <c r="AQ38" i="24"/>
  <c r="AS38" i="24" s="1"/>
  <c r="AN38" i="24"/>
  <c r="AP38" i="24" s="1"/>
  <c r="AM38" i="24"/>
  <c r="AO38" i="24" s="1"/>
  <c r="AJ38" i="24"/>
  <c r="AL38" i="24" s="1"/>
  <c r="AI38" i="24"/>
  <c r="AK38" i="24" s="1"/>
  <c r="AF38" i="24"/>
  <c r="AH38" i="24" s="1"/>
  <c r="AE38" i="24"/>
  <c r="AG38" i="24" s="1"/>
  <c r="AB38" i="24"/>
  <c r="AD38" i="24" s="1"/>
  <c r="AA38" i="24"/>
  <c r="AC38" i="24" s="1"/>
  <c r="X38" i="24"/>
  <c r="Z38" i="24" s="1"/>
  <c r="W38" i="24"/>
  <c r="Y38" i="24" s="1"/>
  <c r="T38" i="24"/>
  <c r="V38" i="24" s="1"/>
  <c r="S38" i="24"/>
  <c r="U38" i="24" s="1"/>
  <c r="P38" i="24"/>
  <c r="R38" i="24" s="1"/>
  <c r="O38" i="24"/>
  <c r="Q38" i="24" s="1"/>
  <c r="L38" i="24"/>
  <c r="N38" i="24" s="1"/>
  <c r="K38" i="24"/>
  <c r="M38" i="24" s="1"/>
  <c r="H38" i="24"/>
  <c r="J38" i="24" s="1"/>
  <c r="G38" i="24"/>
  <c r="I38" i="24" s="1"/>
  <c r="E38" i="24"/>
  <c r="D38" i="24"/>
  <c r="C38" i="24"/>
  <c r="AV37" i="24"/>
  <c r="AX37" i="24" s="1"/>
  <c r="AU37" i="24"/>
  <c r="AW37" i="24" s="1"/>
  <c r="AR37" i="24"/>
  <c r="AT37" i="24" s="1"/>
  <c r="AQ37" i="24"/>
  <c r="AS37" i="24" s="1"/>
  <c r="AN37" i="24"/>
  <c r="AP37" i="24" s="1"/>
  <c r="AM37" i="24"/>
  <c r="AO37" i="24" s="1"/>
  <c r="AJ37" i="24"/>
  <c r="AL37" i="24" s="1"/>
  <c r="AI37" i="24"/>
  <c r="AK37" i="24" s="1"/>
  <c r="AF37" i="24"/>
  <c r="AH37" i="24" s="1"/>
  <c r="AE37" i="24"/>
  <c r="AG37" i="24" s="1"/>
  <c r="AB37" i="24"/>
  <c r="AD37" i="24" s="1"/>
  <c r="AA37" i="24"/>
  <c r="AC37" i="24" s="1"/>
  <c r="X37" i="24"/>
  <c r="Z37" i="24" s="1"/>
  <c r="W37" i="24"/>
  <c r="Y37" i="24" s="1"/>
  <c r="T37" i="24"/>
  <c r="V37" i="24" s="1"/>
  <c r="S37" i="24"/>
  <c r="U37" i="24" s="1"/>
  <c r="P37" i="24"/>
  <c r="R37" i="24" s="1"/>
  <c r="O37" i="24"/>
  <c r="Q37" i="24" s="1"/>
  <c r="L37" i="24"/>
  <c r="N37" i="24" s="1"/>
  <c r="K37" i="24"/>
  <c r="M37" i="24" s="1"/>
  <c r="H37" i="24"/>
  <c r="J37" i="24" s="1"/>
  <c r="G37" i="24"/>
  <c r="I37" i="24" s="1"/>
  <c r="E37" i="24"/>
  <c r="D37" i="24"/>
  <c r="C37" i="24"/>
  <c r="AV36" i="24"/>
  <c r="AX36" i="24" s="1"/>
  <c r="AU36" i="24"/>
  <c r="AW36" i="24" s="1"/>
  <c r="AR36" i="24"/>
  <c r="AT36" i="24" s="1"/>
  <c r="AQ36" i="24"/>
  <c r="AS36" i="24" s="1"/>
  <c r="AN36" i="24"/>
  <c r="AP36" i="24" s="1"/>
  <c r="AM36" i="24"/>
  <c r="AO36" i="24" s="1"/>
  <c r="AJ36" i="24"/>
  <c r="AL36" i="24" s="1"/>
  <c r="AI36" i="24"/>
  <c r="AK36" i="24" s="1"/>
  <c r="AF36" i="24"/>
  <c r="AH36" i="24" s="1"/>
  <c r="AE36" i="24"/>
  <c r="AG36" i="24" s="1"/>
  <c r="AB36" i="24"/>
  <c r="AD36" i="24" s="1"/>
  <c r="AA36" i="24"/>
  <c r="AC36" i="24" s="1"/>
  <c r="X36" i="24"/>
  <c r="Z36" i="24" s="1"/>
  <c r="W36" i="24"/>
  <c r="Y36" i="24" s="1"/>
  <c r="T36" i="24"/>
  <c r="V36" i="24" s="1"/>
  <c r="S36" i="24"/>
  <c r="U36" i="24" s="1"/>
  <c r="P36" i="24"/>
  <c r="R36" i="24" s="1"/>
  <c r="O36" i="24"/>
  <c r="Q36" i="24" s="1"/>
  <c r="L36" i="24"/>
  <c r="N36" i="24" s="1"/>
  <c r="K36" i="24"/>
  <c r="M36" i="24" s="1"/>
  <c r="H36" i="24"/>
  <c r="J36" i="24" s="1"/>
  <c r="G36" i="24"/>
  <c r="I36" i="24" s="1"/>
  <c r="E36" i="24"/>
  <c r="D36" i="24"/>
  <c r="C36" i="24"/>
  <c r="AV35" i="24"/>
  <c r="AX35" i="24" s="1"/>
  <c r="AU35" i="24"/>
  <c r="AW35" i="24" s="1"/>
  <c r="AR35" i="24"/>
  <c r="AT35" i="24" s="1"/>
  <c r="AQ35" i="24"/>
  <c r="AS35" i="24" s="1"/>
  <c r="AN35" i="24"/>
  <c r="AP35" i="24" s="1"/>
  <c r="AM35" i="24"/>
  <c r="AO35" i="24" s="1"/>
  <c r="AJ35" i="24"/>
  <c r="AL35" i="24" s="1"/>
  <c r="AI35" i="24"/>
  <c r="AK35" i="24" s="1"/>
  <c r="AF35" i="24"/>
  <c r="AH35" i="24" s="1"/>
  <c r="AE35" i="24"/>
  <c r="AG35" i="24" s="1"/>
  <c r="AB35" i="24"/>
  <c r="AD35" i="24" s="1"/>
  <c r="AA35" i="24"/>
  <c r="AC35" i="24" s="1"/>
  <c r="X35" i="24"/>
  <c r="Z35" i="24" s="1"/>
  <c r="W35" i="24"/>
  <c r="Y35" i="24" s="1"/>
  <c r="T35" i="24"/>
  <c r="V35" i="24" s="1"/>
  <c r="S35" i="24"/>
  <c r="U35" i="24" s="1"/>
  <c r="P35" i="24"/>
  <c r="R35" i="24" s="1"/>
  <c r="O35" i="24"/>
  <c r="Q35" i="24" s="1"/>
  <c r="L35" i="24"/>
  <c r="N35" i="24" s="1"/>
  <c r="K35" i="24"/>
  <c r="M35" i="24" s="1"/>
  <c r="H35" i="24"/>
  <c r="J35" i="24" s="1"/>
  <c r="G35" i="24"/>
  <c r="I35" i="24" s="1"/>
  <c r="E35" i="24"/>
  <c r="D35" i="24"/>
  <c r="C35" i="24"/>
  <c r="AV34" i="24"/>
  <c r="AX34" i="24" s="1"/>
  <c r="AU34" i="24"/>
  <c r="AW34" i="24" s="1"/>
  <c r="AR34" i="24"/>
  <c r="AT34" i="24" s="1"/>
  <c r="AQ34" i="24"/>
  <c r="AS34" i="24" s="1"/>
  <c r="AN34" i="24"/>
  <c r="AP34" i="24" s="1"/>
  <c r="AM34" i="24"/>
  <c r="AO34" i="24" s="1"/>
  <c r="AJ34" i="24"/>
  <c r="AL34" i="24" s="1"/>
  <c r="AI34" i="24"/>
  <c r="AK34" i="24" s="1"/>
  <c r="AF34" i="24"/>
  <c r="AH34" i="24" s="1"/>
  <c r="AE34" i="24"/>
  <c r="AG34" i="24" s="1"/>
  <c r="AB34" i="24"/>
  <c r="AD34" i="24" s="1"/>
  <c r="AA34" i="24"/>
  <c r="AC34" i="24" s="1"/>
  <c r="X34" i="24"/>
  <c r="Z34" i="24" s="1"/>
  <c r="W34" i="24"/>
  <c r="Y34" i="24" s="1"/>
  <c r="T34" i="24"/>
  <c r="V34" i="24" s="1"/>
  <c r="S34" i="24"/>
  <c r="U34" i="24" s="1"/>
  <c r="P34" i="24"/>
  <c r="R34" i="24" s="1"/>
  <c r="O34" i="24"/>
  <c r="Q34" i="24" s="1"/>
  <c r="L34" i="24"/>
  <c r="N34" i="24" s="1"/>
  <c r="K34" i="24"/>
  <c r="M34" i="24" s="1"/>
  <c r="H34" i="24"/>
  <c r="J34" i="24" s="1"/>
  <c r="G34" i="24"/>
  <c r="I34" i="24" s="1"/>
  <c r="E34" i="24"/>
  <c r="D34" i="24"/>
  <c r="C34" i="24"/>
  <c r="AV33" i="24"/>
  <c r="AX33" i="24" s="1"/>
  <c r="AU33" i="24"/>
  <c r="AW33" i="24" s="1"/>
  <c r="AR33" i="24"/>
  <c r="AT33" i="24" s="1"/>
  <c r="AQ33" i="24"/>
  <c r="AS33" i="24" s="1"/>
  <c r="AN33" i="24"/>
  <c r="AP33" i="24" s="1"/>
  <c r="AM33" i="24"/>
  <c r="AO33" i="24" s="1"/>
  <c r="AJ33" i="24"/>
  <c r="AL33" i="24" s="1"/>
  <c r="AI33" i="24"/>
  <c r="AK33" i="24" s="1"/>
  <c r="AF33" i="24"/>
  <c r="AH33" i="24" s="1"/>
  <c r="AE33" i="24"/>
  <c r="AG33" i="24" s="1"/>
  <c r="AB33" i="24"/>
  <c r="AD33" i="24" s="1"/>
  <c r="AA33" i="24"/>
  <c r="AC33" i="24" s="1"/>
  <c r="X33" i="24"/>
  <c r="Z33" i="24" s="1"/>
  <c r="W33" i="24"/>
  <c r="Y33" i="24" s="1"/>
  <c r="T33" i="24"/>
  <c r="V33" i="24" s="1"/>
  <c r="S33" i="24"/>
  <c r="U33" i="24" s="1"/>
  <c r="P33" i="24"/>
  <c r="R33" i="24" s="1"/>
  <c r="O33" i="24"/>
  <c r="Q33" i="24" s="1"/>
  <c r="L33" i="24"/>
  <c r="N33" i="24" s="1"/>
  <c r="K33" i="24"/>
  <c r="M33" i="24" s="1"/>
  <c r="H33" i="24"/>
  <c r="J33" i="24" s="1"/>
  <c r="G33" i="24"/>
  <c r="I33" i="24" s="1"/>
  <c r="E33" i="24"/>
  <c r="D33" i="24"/>
  <c r="C33" i="24"/>
  <c r="AV32" i="24"/>
  <c r="AX32" i="24" s="1"/>
  <c r="AU32" i="24"/>
  <c r="AW32" i="24" s="1"/>
  <c r="AR32" i="24"/>
  <c r="AT32" i="24" s="1"/>
  <c r="AQ32" i="24"/>
  <c r="AS32" i="24" s="1"/>
  <c r="AN32" i="24"/>
  <c r="AP32" i="24" s="1"/>
  <c r="AM32" i="24"/>
  <c r="AO32" i="24" s="1"/>
  <c r="AJ32" i="24"/>
  <c r="AL32" i="24" s="1"/>
  <c r="AI32" i="24"/>
  <c r="AK32" i="24" s="1"/>
  <c r="AF32" i="24"/>
  <c r="AH32" i="24" s="1"/>
  <c r="AE32" i="24"/>
  <c r="AG32" i="24" s="1"/>
  <c r="AB32" i="24"/>
  <c r="AD32" i="24" s="1"/>
  <c r="AA32" i="24"/>
  <c r="AC32" i="24" s="1"/>
  <c r="X32" i="24"/>
  <c r="Z32" i="24" s="1"/>
  <c r="W32" i="24"/>
  <c r="Y32" i="24" s="1"/>
  <c r="T32" i="24"/>
  <c r="V32" i="24" s="1"/>
  <c r="S32" i="24"/>
  <c r="U32" i="24" s="1"/>
  <c r="P32" i="24"/>
  <c r="R32" i="24" s="1"/>
  <c r="O32" i="24"/>
  <c r="Q32" i="24" s="1"/>
  <c r="L32" i="24"/>
  <c r="N32" i="24" s="1"/>
  <c r="K32" i="24"/>
  <c r="M32" i="24" s="1"/>
  <c r="H32" i="24"/>
  <c r="J32" i="24" s="1"/>
  <c r="G32" i="24"/>
  <c r="I32" i="24" s="1"/>
  <c r="E32" i="24"/>
  <c r="D32" i="24"/>
  <c r="C32" i="24"/>
  <c r="AV31" i="24"/>
  <c r="AX31" i="24" s="1"/>
  <c r="AU31" i="24"/>
  <c r="AW31" i="24" s="1"/>
  <c r="AR31" i="24"/>
  <c r="AT31" i="24" s="1"/>
  <c r="AQ31" i="24"/>
  <c r="AS31" i="24" s="1"/>
  <c r="AN31" i="24"/>
  <c r="AP31" i="24" s="1"/>
  <c r="AM31" i="24"/>
  <c r="AO31" i="24" s="1"/>
  <c r="AJ31" i="24"/>
  <c r="AL31" i="24" s="1"/>
  <c r="AI31" i="24"/>
  <c r="AK31" i="24" s="1"/>
  <c r="AF31" i="24"/>
  <c r="AH31" i="24" s="1"/>
  <c r="AE31" i="24"/>
  <c r="AG31" i="24" s="1"/>
  <c r="AB31" i="24"/>
  <c r="AD31" i="24" s="1"/>
  <c r="AA31" i="24"/>
  <c r="AC31" i="24" s="1"/>
  <c r="X31" i="24"/>
  <c r="Z31" i="24" s="1"/>
  <c r="W31" i="24"/>
  <c r="Y31" i="24" s="1"/>
  <c r="T31" i="24"/>
  <c r="V31" i="24" s="1"/>
  <c r="S31" i="24"/>
  <c r="U31" i="24" s="1"/>
  <c r="P31" i="24"/>
  <c r="R31" i="24" s="1"/>
  <c r="O31" i="24"/>
  <c r="Q31" i="24" s="1"/>
  <c r="L31" i="24"/>
  <c r="N31" i="24" s="1"/>
  <c r="K31" i="24"/>
  <c r="M31" i="24" s="1"/>
  <c r="H31" i="24"/>
  <c r="J31" i="24" s="1"/>
  <c r="G31" i="24"/>
  <c r="I31" i="24" s="1"/>
  <c r="E31" i="24"/>
  <c r="D31" i="24"/>
  <c r="C31" i="24"/>
  <c r="AV30" i="24"/>
  <c r="AX30" i="24" s="1"/>
  <c r="AU30" i="24"/>
  <c r="AW30" i="24" s="1"/>
  <c r="AR30" i="24"/>
  <c r="AT30" i="24" s="1"/>
  <c r="AQ30" i="24"/>
  <c r="AS30" i="24" s="1"/>
  <c r="AN30" i="24"/>
  <c r="AP30" i="24" s="1"/>
  <c r="AM30" i="24"/>
  <c r="AO30" i="24" s="1"/>
  <c r="AJ30" i="24"/>
  <c r="AL30" i="24" s="1"/>
  <c r="AI30" i="24"/>
  <c r="AK30" i="24" s="1"/>
  <c r="AF30" i="24"/>
  <c r="AH30" i="24" s="1"/>
  <c r="AE30" i="24"/>
  <c r="AG30" i="24" s="1"/>
  <c r="AB30" i="24"/>
  <c r="AD30" i="24" s="1"/>
  <c r="AA30" i="24"/>
  <c r="AC30" i="24" s="1"/>
  <c r="X30" i="24"/>
  <c r="Z30" i="24" s="1"/>
  <c r="W30" i="24"/>
  <c r="Y30" i="24" s="1"/>
  <c r="T30" i="24"/>
  <c r="V30" i="24" s="1"/>
  <c r="S30" i="24"/>
  <c r="U30" i="24" s="1"/>
  <c r="P30" i="24"/>
  <c r="R30" i="24" s="1"/>
  <c r="O30" i="24"/>
  <c r="Q30" i="24" s="1"/>
  <c r="L30" i="24"/>
  <c r="N30" i="24" s="1"/>
  <c r="K30" i="24"/>
  <c r="M30" i="24" s="1"/>
  <c r="H30" i="24"/>
  <c r="J30" i="24" s="1"/>
  <c r="G30" i="24"/>
  <c r="I30" i="24" s="1"/>
  <c r="E30" i="24"/>
  <c r="D30" i="24"/>
  <c r="C30" i="24"/>
  <c r="AV29" i="24"/>
  <c r="AX29" i="24" s="1"/>
  <c r="AU29" i="24"/>
  <c r="AW29" i="24" s="1"/>
  <c r="AR29" i="24"/>
  <c r="AT29" i="24" s="1"/>
  <c r="AQ29" i="24"/>
  <c r="AS29" i="24" s="1"/>
  <c r="AN29" i="24"/>
  <c r="AP29" i="24" s="1"/>
  <c r="AM29" i="24"/>
  <c r="AO29" i="24" s="1"/>
  <c r="AJ29" i="24"/>
  <c r="AL29" i="24" s="1"/>
  <c r="AI29" i="24"/>
  <c r="AK29" i="24" s="1"/>
  <c r="AF29" i="24"/>
  <c r="AH29" i="24" s="1"/>
  <c r="AE29" i="24"/>
  <c r="AG29" i="24" s="1"/>
  <c r="AB29" i="24"/>
  <c r="AD29" i="24" s="1"/>
  <c r="AA29" i="24"/>
  <c r="AC29" i="24" s="1"/>
  <c r="X29" i="24"/>
  <c r="Z29" i="24" s="1"/>
  <c r="W29" i="24"/>
  <c r="Y29" i="24" s="1"/>
  <c r="T29" i="24"/>
  <c r="V29" i="24" s="1"/>
  <c r="S29" i="24"/>
  <c r="U29" i="24" s="1"/>
  <c r="P29" i="24"/>
  <c r="R29" i="24" s="1"/>
  <c r="O29" i="24"/>
  <c r="Q29" i="24" s="1"/>
  <c r="L29" i="24"/>
  <c r="N29" i="24" s="1"/>
  <c r="K29" i="24"/>
  <c r="M29" i="24" s="1"/>
  <c r="H29" i="24"/>
  <c r="J29" i="24" s="1"/>
  <c r="G29" i="24"/>
  <c r="I29" i="24" s="1"/>
  <c r="E29" i="24"/>
  <c r="D29" i="24"/>
  <c r="C29" i="24"/>
  <c r="AV28" i="24"/>
  <c r="AX28" i="24" s="1"/>
  <c r="AU28" i="24"/>
  <c r="AW28" i="24" s="1"/>
  <c r="AR28" i="24"/>
  <c r="AT28" i="24" s="1"/>
  <c r="AQ28" i="24"/>
  <c r="AS28" i="24" s="1"/>
  <c r="AN28" i="24"/>
  <c r="AP28" i="24" s="1"/>
  <c r="AM28" i="24"/>
  <c r="AO28" i="24" s="1"/>
  <c r="AJ28" i="24"/>
  <c r="AL28" i="24" s="1"/>
  <c r="AI28" i="24"/>
  <c r="AK28" i="24" s="1"/>
  <c r="AF28" i="24"/>
  <c r="AH28" i="24" s="1"/>
  <c r="AE28" i="24"/>
  <c r="AG28" i="24" s="1"/>
  <c r="AB28" i="24"/>
  <c r="AD28" i="24" s="1"/>
  <c r="AA28" i="24"/>
  <c r="AC28" i="24" s="1"/>
  <c r="X28" i="24"/>
  <c r="Z28" i="24" s="1"/>
  <c r="W28" i="24"/>
  <c r="Y28" i="24" s="1"/>
  <c r="T28" i="24"/>
  <c r="V28" i="24" s="1"/>
  <c r="S28" i="24"/>
  <c r="U28" i="24" s="1"/>
  <c r="P28" i="24"/>
  <c r="R28" i="24" s="1"/>
  <c r="O28" i="24"/>
  <c r="Q28" i="24" s="1"/>
  <c r="L28" i="24"/>
  <c r="N28" i="24" s="1"/>
  <c r="K28" i="24"/>
  <c r="M28" i="24" s="1"/>
  <c r="H28" i="24"/>
  <c r="J28" i="24" s="1"/>
  <c r="G28" i="24"/>
  <c r="I28" i="24" s="1"/>
  <c r="E28" i="24"/>
  <c r="D28" i="24"/>
  <c r="C28" i="24"/>
  <c r="AV27" i="24"/>
  <c r="AX27" i="24" s="1"/>
  <c r="AU27" i="24"/>
  <c r="AW27" i="24" s="1"/>
  <c r="AR27" i="24"/>
  <c r="AT27" i="24" s="1"/>
  <c r="AQ27" i="24"/>
  <c r="AS27" i="24" s="1"/>
  <c r="AN27" i="24"/>
  <c r="AP27" i="24" s="1"/>
  <c r="AM27" i="24"/>
  <c r="AO27" i="24" s="1"/>
  <c r="AJ27" i="24"/>
  <c r="AL27" i="24" s="1"/>
  <c r="AI27" i="24"/>
  <c r="AK27" i="24" s="1"/>
  <c r="AF27" i="24"/>
  <c r="AH27" i="24" s="1"/>
  <c r="AE27" i="24"/>
  <c r="AG27" i="24" s="1"/>
  <c r="AB27" i="24"/>
  <c r="AD27" i="24" s="1"/>
  <c r="AA27" i="24"/>
  <c r="AC27" i="24" s="1"/>
  <c r="X27" i="24"/>
  <c r="Z27" i="24" s="1"/>
  <c r="W27" i="24"/>
  <c r="Y27" i="24" s="1"/>
  <c r="T27" i="24"/>
  <c r="V27" i="24" s="1"/>
  <c r="S27" i="24"/>
  <c r="U27" i="24" s="1"/>
  <c r="P27" i="24"/>
  <c r="R27" i="24" s="1"/>
  <c r="O27" i="24"/>
  <c r="Q27" i="24" s="1"/>
  <c r="L27" i="24"/>
  <c r="N27" i="24" s="1"/>
  <c r="K27" i="24"/>
  <c r="M27" i="24" s="1"/>
  <c r="H27" i="24"/>
  <c r="J27" i="24" s="1"/>
  <c r="G27" i="24"/>
  <c r="I27" i="24" s="1"/>
  <c r="E27" i="24"/>
  <c r="D27" i="24"/>
  <c r="C27" i="24"/>
  <c r="AV26" i="24"/>
  <c r="AX26" i="24" s="1"/>
  <c r="AU26" i="24"/>
  <c r="AW26" i="24" s="1"/>
  <c r="AR26" i="24"/>
  <c r="AT26" i="24" s="1"/>
  <c r="AQ26" i="24"/>
  <c r="AS26" i="24" s="1"/>
  <c r="AN26" i="24"/>
  <c r="AP26" i="24" s="1"/>
  <c r="AM26" i="24"/>
  <c r="AO26" i="24" s="1"/>
  <c r="AJ26" i="24"/>
  <c r="AL26" i="24" s="1"/>
  <c r="AI26" i="24"/>
  <c r="AK26" i="24" s="1"/>
  <c r="AF26" i="24"/>
  <c r="AH26" i="24" s="1"/>
  <c r="AE26" i="24"/>
  <c r="AG26" i="24" s="1"/>
  <c r="AB26" i="24"/>
  <c r="AD26" i="24" s="1"/>
  <c r="AA26" i="24"/>
  <c r="AC26" i="24" s="1"/>
  <c r="X26" i="24"/>
  <c r="Z26" i="24" s="1"/>
  <c r="W26" i="24"/>
  <c r="Y26" i="24" s="1"/>
  <c r="T26" i="24"/>
  <c r="V26" i="24" s="1"/>
  <c r="S26" i="24"/>
  <c r="U26" i="24" s="1"/>
  <c r="P26" i="24"/>
  <c r="R26" i="24" s="1"/>
  <c r="O26" i="24"/>
  <c r="Q26" i="24" s="1"/>
  <c r="L26" i="24"/>
  <c r="N26" i="24" s="1"/>
  <c r="K26" i="24"/>
  <c r="M26" i="24" s="1"/>
  <c r="H26" i="24"/>
  <c r="J26" i="24" s="1"/>
  <c r="G26" i="24"/>
  <c r="I26" i="24" s="1"/>
  <c r="E26" i="24"/>
  <c r="D26" i="24"/>
  <c r="C26" i="24"/>
  <c r="AV25" i="24"/>
  <c r="AX25" i="24" s="1"/>
  <c r="AU25" i="24"/>
  <c r="AW25" i="24" s="1"/>
  <c r="AR25" i="24"/>
  <c r="AT25" i="24" s="1"/>
  <c r="AQ25" i="24"/>
  <c r="AS25" i="24" s="1"/>
  <c r="AN25" i="24"/>
  <c r="AP25" i="24" s="1"/>
  <c r="AM25" i="24"/>
  <c r="AO25" i="24" s="1"/>
  <c r="AJ25" i="24"/>
  <c r="AL25" i="24" s="1"/>
  <c r="AI25" i="24"/>
  <c r="AK25" i="24" s="1"/>
  <c r="AF25" i="24"/>
  <c r="AH25" i="24" s="1"/>
  <c r="AE25" i="24"/>
  <c r="AG25" i="24" s="1"/>
  <c r="AB25" i="24"/>
  <c r="AD25" i="24" s="1"/>
  <c r="AA25" i="24"/>
  <c r="AC25" i="24" s="1"/>
  <c r="X25" i="24"/>
  <c r="Z25" i="24" s="1"/>
  <c r="W25" i="24"/>
  <c r="Y25" i="24" s="1"/>
  <c r="T25" i="24"/>
  <c r="V25" i="24" s="1"/>
  <c r="S25" i="24"/>
  <c r="U25" i="24" s="1"/>
  <c r="P25" i="24"/>
  <c r="R25" i="24" s="1"/>
  <c r="O25" i="24"/>
  <c r="Q25" i="24" s="1"/>
  <c r="L25" i="24"/>
  <c r="N25" i="24" s="1"/>
  <c r="K25" i="24"/>
  <c r="M25" i="24" s="1"/>
  <c r="H25" i="24"/>
  <c r="J25" i="24" s="1"/>
  <c r="G25" i="24"/>
  <c r="I25" i="24" s="1"/>
  <c r="E25" i="24"/>
  <c r="D25" i="24"/>
  <c r="C25" i="24"/>
  <c r="AV24" i="24"/>
  <c r="AX24" i="24" s="1"/>
  <c r="AU24" i="24"/>
  <c r="AW24" i="24" s="1"/>
  <c r="AR24" i="24"/>
  <c r="AT24" i="24" s="1"/>
  <c r="AQ24" i="24"/>
  <c r="AS24" i="24" s="1"/>
  <c r="AN24" i="24"/>
  <c r="AP24" i="24" s="1"/>
  <c r="AM24" i="24"/>
  <c r="AO24" i="24" s="1"/>
  <c r="AJ24" i="24"/>
  <c r="AL24" i="24" s="1"/>
  <c r="AI24" i="24"/>
  <c r="AK24" i="24" s="1"/>
  <c r="AF24" i="24"/>
  <c r="AH24" i="24" s="1"/>
  <c r="AE24" i="24"/>
  <c r="AG24" i="24" s="1"/>
  <c r="AB24" i="24"/>
  <c r="AD24" i="24" s="1"/>
  <c r="AA24" i="24"/>
  <c r="AC24" i="24" s="1"/>
  <c r="X24" i="24"/>
  <c r="Z24" i="24" s="1"/>
  <c r="W24" i="24"/>
  <c r="Y24" i="24" s="1"/>
  <c r="T24" i="24"/>
  <c r="V24" i="24" s="1"/>
  <c r="S24" i="24"/>
  <c r="U24" i="24" s="1"/>
  <c r="P24" i="24"/>
  <c r="R24" i="24" s="1"/>
  <c r="O24" i="24"/>
  <c r="Q24" i="24" s="1"/>
  <c r="L24" i="24"/>
  <c r="N24" i="24" s="1"/>
  <c r="K24" i="24"/>
  <c r="M24" i="24" s="1"/>
  <c r="H24" i="24"/>
  <c r="J24" i="24" s="1"/>
  <c r="G24" i="24"/>
  <c r="I24" i="24" s="1"/>
  <c r="E24" i="24"/>
  <c r="D24" i="24"/>
  <c r="C24" i="24"/>
  <c r="AV23" i="24"/>
  <c r="AX23" i="24" s="1"/>
  <c r="AU23" i="24"/>
  <c r="AW23" i="24" s="1"/>
  <c r="AR23" i="24"/>
  <c r="AT23" i="24" s="1"/>
  <c r="AQ23" i="24"/>
  <c r="AS23" i="24" s="1"/>
  <c r="AN23" i="24"/>
  <c r="AP23" i="24" s="1"/>
  <c r="AM23" i="24"/>
  <c r="AO23" i="24" s="1"/>
  <c r="AJ23" i="24"/>
  <c r="AL23" i="24" s="1"/>
  <c r="AI23" i="24"/>
  <c r="AK23" i="24" s="1"/>
  <c r="AF23" i="24"/>
  <c r="AH23" i="24" s="1"/>
  <c r="AE23" i="24"/>
  <c r="AG23" i="24" s="1"/>
  <c r="AB23" i="24"/>
  <c r="AD23" i="24" s="1"/>
  <c r="AA23" i="24"/>
  <c r="AC23" i="24" s="1"/>
  <c r="X23" i="24"/>
  <c r="Z23" i="24" s="1"/>
  <c r="W23" i="24"/>
  <c r="Y23" i="24" s="1"/>
  <c r="T23" i="24"/>
  <c r="V23" i="24" s="1"/>
  <c r="S23" i="24"/>
  <c r="U23" i="24" s="1"/>
  <c r="P23" i="24"/>
  <c r="R23" i="24" s="1"/>
  <c r="O23" i="24"/>
  <c r="Q23" i="24" s="1"/>
  <c r="L23" i="24"/>
  <c r="N23" i="24" s="1"/>
  <c r="K23" i="24"/>
  <c r="M23" i="24" s="1"/>
  <c r="H23" i="24"/>
  <c r="J23" i="24" s="1"/>
  <c r="G23" i="24"/>
  <c r="I23" i="24" s="1"/>
  <c r="E23" i="24"/>
  <c r="D23" i="24"/>
  <c r="C23" i="24"/>
  <c r="AV22" i="24"/>
  <c r="AX22" i="24" s="1"/>
  <c r="AU22" i="24"/>
  <c r="AW22" i="24" s="1"/>
  <c r="AR22" i="24"/>
  <c r="AT22" i="24" s="1"/>
  <c r="AQ22" i="24"/>
  <c r="AS22" i="24" s="1"/>
  <c r="AN22" i="24"/>
  <c r="AP22" i="24" s="1"/>
  <c r="AM22" i="24"/>
  <c r="AO22" i="24" s="1"/>
  <c r="AJ22" i="24"/>
  <c r="AL22" i="24" s="1"/>
  <c r="AI22" i="24"/>
  <c r="AK22" i="24" s="1"/>
  <c r="AF22" i="24"/>
  <c r="AH22" i="24" s="1"/>
  <c r="AE22" i="24"/>
  <c r="AG22" i="24" s="1"/>
  <c r="AB22" i="24"/>
  <c r="AD22" i="24" s="1"/>
  <c r="AA22" i="24"/>
  <c r="AC22" i="24" s="1"/>
  <c r="X22" i="24"/>
  <c r="Z22" i="24" s="1"/>
  <c r="W22" i="24"/>
  <c r="Y22" i="24" s="1"/>
  <c r="T22" i="24"/>
  <c r="V22" i="24" s="1"/>
  <c r="S22" i="24"/>
  <c r="U22" i="24" s="1"/>
  <c r="P22" i="24"/>
  <c r="R22" i="24" s="1"/>
  <c r="O22" i="24"/>
  <c r="Q22" i="24" s="1"/>
  <c r="L22" i="24"/>
  <c r="N22" i="24" s="1"/>
  <c r="K22" i="24"/>
  <c r="M22" i="24" s="1"/>
  <c r="H22" i="24"/>
  <c r="J22" i="24" s="1"/>
  <c r="G22" i="24"/>
  <c r="I22" i="24" s="1"/>
  <c r="E22" i="24"/>
  <c r="D22" i="24"/>
  <c r="C22" i="24"/>
  <c r="AV21" i="24"/>
  <c r="AX21" i="24" s="1"/>
  <c r="AU21" i="24"/>
  <c r="AW21" i="24" s="1"/>
  <c r="AR21" i="24"/>
  <c r="AT21" i="24" s="1"/>
  <c r="AQ21" i="24"/>
  <c r="AS21" i="24" s="1"/>
  <c r="AN21" i="24"/>
  <c r="AP21" i="24" s="1"/>
  <c r="AM21" i="24"/>
  <c r="AO21" i="24" s="1"/>
  <c r="AJ21" i="24"/>
  <c r="AL21" i="24" s="1"/>
  <c r="AI21" i="24"/>
  <c r="AK21" i="24" s="1"/>
  <c r="AF21" i="24"/>
  <c r="AH21" i="24" s="1"/>
  <c r="AE21" i="24"/>
  <c r="AG21" i="24" s="1"/>
  <c r="AB21" i="24"/>
  <c r="AD21" i="24" s="1"/>
  <c r="AA21" i="24"/>
  <c r="AC21" i="24" s="1"/>
  <c r="X21" i="24"/>
  <c r="Z21" i="24" s="1"/>
  <c r="W21" i="24"/>
  <c r="Y21" i="24" s="1"/>
  <c r="T21" i="24"/>
  <c r="V21" i="24" s="1"/>
  <c r="S21" i="24"/>
  <c r="U21" i="24" s="1"/>
  <c r="P21" i="24"/>
  <c r="R21" i="24" s="1"/>
  <c r="O21" i="24"/>
  <c r="Q21" i="24" s="1"/>
  <c r="L21" i="24"/>
  <c r="N21" i="24" s="1"/>
  <c r="K21" i="24"/>
  <c r="M21" i="24" s="1"/>
  <c r="H21" i="24"/>
  <c r="J21" i="24" s="1"/>
  <c r="G21" i="24"/>
  <c r="I21" i="24" s="1"/>
  <c r="E21" i="24"/>
  <c r="D21" i="24"/>
  <c r="C21" i="24"/>
  <c r="AV20" i="24"/>
  <c r="AX20" i="24" s="1"/>
  <c r="AU20" i="24"/>
  <c r="AW20" i="24" s="1"/>
  <c r="AR20" i="24"/>
  <c r="AT20" i="24" s="1"/>
  <c r="AQ20" i="24"/>
  <c r="AS20" i="24" s="1"/>
  <c r="AN20" i="24"/>
  <c r="AP20" i="24" s="1"/>
  <c r="AM20" i="24"/>
  <c r="AO20" i="24" s="1"/>
  <c r="AJ20" i="24"/>
  <c r="AL20" i="24" s="1"/>
  <c r="AI20" i="24"/>
  <c r="AK20" i="24" s="1"/>
  <c r="AF20" i="24"/>
  <c r="AH20" i="24" s="1"/>
  <c r="AE20" i="24"/>
  <c r="AG20" i="24" s="1"/>
  <c r="AB20" i="24"/>
  <c r="AD20" i="24" s="1"/>
  <c r="AA20" i="24"/>
  <c r="AC20" i="24" s="1"/>
  <c r="X20" i="24"/>
  <c r="Z20" i="24" s="1"/>
  <c r="W20" i="24"/>
  <c r="Y20" i="24" s="1"/>
  <c r="T20" i="24"/>
  <c r="V20" i="24" s="1"/>
  <c r="S20" i="24"/>
  <c r="U20" i="24" s="1"/>
  <c r="P20" i="24"/>
  <c r="R20" i="24" s="1"/>
  <c r="O20" i="24"/>
  <c r="Q20" i="24" s="1"/>
  <c r="L20" i="24"/>
  <c r="N20" i="24" s="1"/>
  <c r="K20" i="24"/>
  <c r="M20" i="24" s="1"/>
  <c r="H20" i="24"/>
  <c r="J20" i="24" s="1"/>
  <c r="G20" i="24"/>
  <c r="I20" i="24" s="1"/>
  <c r="E20" i="24"/>
  <c r="D20" i="24"/>
  <c r="C20" i="24"/>
  <c r="AV19" i="24"/>
  <c r="AX19" i="24" s="1"/>
  <c r="AU19" i="24"/>
  <c r="AW19" i="24" s="1"/>
  <c r="AR19" i="24"/>
  <c r="AT19" i="24" s="1"/>
  <c r="AQ19" i="24"/>
  <c r="AS19" i="24" s="1"/>
  <c r="AN19" i="24"/>
  <c r="AP19" i="24" s="1"/>
  <c r="AM19" i="24"/>
  <c r="AO19" i="24" s="1"/>
  <c r="AJ19" i="24"/>
  <c r="AL19" i="24" s="1"/>
  <c r="AI19" i="24"/>
  <c r="AK19" i="24" s="1"/>
  <c r="AF19" i="24"/>
  <c r="AH19" i="24" s="1"/>
  <c r="AE19" i="24"/>
  <c r="AG19" i="24" s="1"/>
  <c r="AB19" i="24"/>
  <c r="AD19" i="24" s="1"/>
  <c r="AA19" i="24"/>
  <c r="AC19" i="24" s="1"/>
  <c r="X19" i="24"/>
  <c r="Z19" i="24" s="1"/>
  <c r="W19" i="24"/>
  <c r="Y19" i="24" s="1"/>
  <c r="T19" i="24"/>
  <c r="V19" i="24" s="1"/>
  <c r="S19" i="24"/>
  <c r="U19" i="24" s="1"/>
  <c r="P19" i="24"/>
  <c r="R19" i="24" s="1"/>
  <c r="O19" i="24"/>
  <c r="Q19" i="24" s="1"/>
  <c r="L19" i="24"/>
  <c r="N19" i="24" s="1"/>
  <c r="K19" i="24"/>
  <c r="M19" i="24" s="1"/>
  <c r="H19" i="24"/>
  <c r="J19" i="24" s="1"/>
  <c r="G19" i="24"/>
  <c r="I19" i="24" s="1"/>
  <c r="E19" i="24"/>
  <c r="D19" i="24"/>
  <c r="C19" i="24"/>
  <c r="AV18" i="24"/>
  <c r="AX18" i="24" s="1"/>
  <c r="AU18" i="24"/>
  <c r="AW18" i="24" s="1"/>
  <c r="AR18" i="24"/>
  <c r="AT18" i="24" s="1"/>
  <c r="AQ18" i="24"/>
  <c r="AS18" i="24" s="1"/>
  <c r="AN18" i="24"/>
  <c r="AP18" i="24" s="1"/>
  <c r="AM18" i="24"/>
  <c r="AO18" i="24" s="1"/>
  <c r="AJ18" i="24"/>
  <c r="AL18" i="24" s="1"/>
  <c r="AI18" i="24"/>
  <c r="AK18" i="24" s="1"/>
  <c r="AF18" i="24"/>
  <c r="AH18" i="24" s="1"/>
  <c r="AE18" i="24"/>
  <c r="AG18" i="24" s="1"/>
  <c r="AB18" i="24"/>
  <c r="AD18" i="24" s="1"/>
  <c r="AA18" i="24"/>
  <c r="AC18" i="24" s="1"/>
  <c r="X18" i="24"/>
  <c r="Z18" i="24" s="1"/>
  <c r="W18" i="24"/>
  <c r="Y18" i="24" s="1"/>
  <c r="T18" i="24"/>
  <c r="V18" i="24" s="1"/>
  <c r="S18" i="24"/>
  <c r="U18" i="24" s="1"/>
  <c r="P18" i="24"/>
  <c r="R18" i="24" s="1"/>
  <c r="O18" i="24"/>
  <c r="Q18" i="24" s="1"/>
  <c r="L18" i="24"/>
  <c r="N18" i="24" s="1"/>
  <c r="K18" i="24"/>
  <c r="M18" i="24" s="1"/>
  <c r="H18" i="24"/>
  <c r="J18" i="24" s="1"/>
  <c r="G18" i="24"/>
  <c r="I18" i="24" s="1"/>
  <c r="E18" i="24"/>
  <c r="D18" i="24"/>
  <c r="C18" i="24"/>
  <c r="AV17" i="24"/>
  <c r="AX17" i="24" s="1"/>
  <c r="AU17" i="24"/>
  <c r="AW17" i="24" s="1"/>
  <c r="AR17" i="24"/>
  <c r="AT17" i="24" s="1"/>
  <c r="AQ17" i="24"/>
  <c r="AS17" i="24" s="1"/>
  <c r="AN17" i="24"/>
  <c r="AP17" i="24" s="1"/>
  <c r="AM17" i="24"/>
  <c r="AO17" i="24" s="1"/>
  <c r="AJ17" i="24"/>
  <c r="AL17" i="24" s="1"/>
  <c r="AI17" i="24"/>
  <c r="AK17" i="24" s="1"/>
  <c r="AF17" i="24"/>
  <c r="AH17" i="24" s="1"/>
  <c r="AE17" i="24"/>
  <c r="AG17" i="24" s="1"/>
  <c r="AB17" i="24"/>
  <c r="AD17" i="24" s="1"/>
  <c r="AA17" i="24"/>
  <c r="AC17" i="24" s="1"/>
  <c r="X17" i="24"/>
  <c r="Z17" i="24" s="1"/>
  <c r="W17" i="24"/>
  <c r="Y17" i="24" s="1"/>
  <c r="T17" i="24"/>
  <c r="V17" i="24" s="1"/>
  <c r="S17" i="24"/>
  <c r="U17" i="24" s="1"/>
  <c r="P17" i="24"/>
  <c r="R17" i="24" s="1"/>
  <c r="O17" i="24"/>
  <c r="Q17" i="24" s="1"/>
  <c r="L17" i="24"/>
  <c r="N17" i="24" s="1"/>
  <c r="K17" i="24"/>
  <c r="M17" i="24" s="1"/>
  <c r="H17" i="24"/>
  <c r="J17" i="24" s="1"/>
  <c r="G17" i="24"/>
  <c r="I17" i="24" s="1"/>
  <c r="E17" i="24"/>
  <c r="D17" i="24"/>
  <c r="C17" i="24"/>
  <c r="AV16" i="24"/>
  <c r="AX16" i="24" s="1"/>
  <c r="AU16" i="24"/>
  <c r="AW16" i="24" s="1"/>
  <c r="AR16" i="24"/>
  <c r="AT16" i="24" s="1"/>
  <c r="AQ16" i="24"/>
  <c r="AS16" i="24" s="1"/>
  <c r="AN16" i="24"/>
  <c r="AP16" i="24" s="1"/>
  <c r="AM16" i="24"/>
  <c r="AO16" i="24" s="1"/>
  <c r="AJ16" i="24"/>
  <c r="AL16" i="24" s="1"/>
  <c r="AI16" i="24"/>
  <c r="AK16" i="24" s="1"/>
  <c r="AF16" i="24"/>
  <c r="AH16" i="24" s="1"/>
  <c r="AE16" i="24"/>
  <c r="AG16" i="24" s="1"/>
  <c r="AB16" i="24"/>
  <c r="AD16" i="24" s="1"/>
  <c r="AA16" i="24"/>
  <c r="AC16" i="24" s="1"/>
  <c r="X16" i="24"/>
  <c r="Z16" i="24" s="1"/>
  <c r="W16" i="24"/>
  <c r="Y16" i="24" s="1"/>
  <c r="T16" i="24"/>
  <c r="V16" i="24" s="1"/>
  <c r="S16" i="24"/>
  <c r="U16" i="24" s="1"/>
  <c r="P16" i="24"/>
  <c r="R16" i="24" s="1"/>
  <c r="O16" i="24"/>
  <c r="Q16" i="24" s="1"/>
  <c r="L16" i="24"/>
  <c r="N16" i="24" s="1"/>
  <c r="K16" i="24"/>
  <c r="M16" i="24" s="1"/>
  <c r="H16" i="24"/>
  <c r="J16" i="24" s="1"/>
  <c r="G16" i="24"/>
  <c r="I16" i="24" s="1"/>
  <c r="E16" i="24"/>
  <c r="D16" i="24"/>
  <c r="C16" i="24"/>
  <c r="AV15" i="24"/>
  <c r="AX15" i="24" s="1"/>
  <c r="AU15" i="24"/>
  <c r="AW15" i="24" s="1"/>
  <c r="AR15" i="24"/>
  <c r="AT15" i="24" s="1"/>
  <c r="AQ15" i="24"/>
  <c r="AS15" i="24" s="1"/>
  <c r="AN15" i="24"/>
  <c r="AP15" i="24" s="1"/>
  <c r="AM15" i="24"/>
  <c r="AO15" i="24" s="1"/>
  <c r="AJ15" i="24"/>
  <c r="AL15" i="24" s="1"/>
  <c r="AI15" i="24"/>
  <c r="AK15" i="24" s="1"/>
  <c r="AF15" i="24"/>
  <c r="AH15" i="24" s="1"/>
  <c r="AE15" i="24"/>
  <c r="AG15" i="24" s="1"/>
  <c r="AB15" i="24"/>
  <c r="AD15" i="24" s="1"/>
  <c r="AA15" i="24"/>
  <c r="AC15" i="24" s="1"/>
  <c r="X15" i="24"/>
  <c r="Z15" i="24" s="1"/>
  <c r="W15" i="24"/>
  <c r="Y15" i="24" s="1"/>
  <c r="T15" i="24"/>
  <c r="V15" i="24" s="1"/>
  <c r="S15" i="24"/>
  <c r="U15" i="24" s="1"/>
  <c r="P15" i="24"/>
  <c r="R15" i="24" s="1"/>
  <c r="O15" i="24"/>
  <c r="Q15" i="24" s="1"/>
  <c r="L15" i="24"/>
  <c r="N15" i="24" s="1"/>
  <c r="K15" i="24"/>
  <c r="M15" i="24" s="1"/>
  <c r="H15" i="24"/>
  <c r="J15" i="24" s="1"/>
  <c r="G15" i="24"/>
  <c r="I15" i="24" s="1"/>
  <c r="E15" i="24"/>
  <c r="D15" i="24"/>
  <c r="C15" i="24"/>
  <c r="AV14" i="24"/>
  <c r="AX14" i="24" s="1"/>
  <c r="AU14" i="24"/>
  <c r="AW14" i="24" s="1"/>
  <c r="AR14" i="24"/>
  <c r="AT14" i="24" s="1"/>
  <c r="AQ14" i="24"/>
  <c r="AS14" i="24" s="1"/>
  <c r="AN14" i="24"/>
  <c r="AP14" i="24" s="1"/>
  <c r="AM14" i="24"/>
  <c r="AO14" i="24" s="1"/>
  <c r="AJ14" i="24"/>
  <c r="AL14" i="24" s="1"/>
  <c r="AI14" i="24"/>
  <c r="AK14" i="24" s="1"/>
  <c r="AF14" i="24"/>
  <c r="AH14" i="24" s="1"/>
  <c r="AE14" i="24"/>
  <c r="AG14" i="24" s="1"/>
  <c r="AB14" i="24"/>
  <c r="AD14" i="24" s="1"/>
  <c r="AA14" i="24"/>
  <c r="AC14" i="24" s="1"/>
  <c r="X14" i="24"/>
  <c r="Z14" i="24" s="1"/>
  <c r="W14" i="24"/>
  <c r="Y14" i="24" s="1"/>
  <c r="T14" i="24"/>
  <c r="V14" i="24" s="1"/>
  <c r="S14" i="24"/>
  <c r="U14" i="24" s="1"/>
  <c r="P14" i="24"/>
  <c r="R14" i="24" s="1"/>
  <c r="O14" i="24"/>
  <c r="Q14" i="24" s="1"/>
  <c r="L14" i="24"/>
  <c r="N14" i="24" s="1"/>
  <c r="K14" i="24"/>
  <c r="M14" i="24" s="1"/>
  <c r="H14" i="24"/>
  <c r="J14" i="24" s="1"/>
  <c r="G14" i="24"/>
  <c r="I14" i="24" s="1"/>
  <c r="E14" i="24"/>
  <c r="D14" i="24"/>
  <c r="C14" i="24"/>
  <c r="AV13" i="24"/>
  <c r="AX13" i="24" s="1"/>
  <c r="AU13" i="24"/>
  <c r="AW13" i="24" s="1"/>
  <c r="AR13" i="24"/>
  <c r="AT13" i="24" s="1"/>
  <c r="AQ13" i="24"/>
  <c r="AS13" i="24" s="1"/>
  <c r="AN13" i="24"/>
  <c r="AP13" i="24" s="1"/>
  <c r="AM13" i="24"/>
  <c r="AO13" i="24" s="1"/>
  <c r="AJ13" i="24"/>
  <c r="AL13" i="24" s="1"/>
  <c r="AI13" i="24"/>
  <c r="AK13" i="24" s="1"/>
  <c r="AF13" i="24"/>
  <c r="AH13" i="24" s="1"/>
  <c r="AE13" i="24"/>
  <c r="AG13" i="24" s="1"/>
  <c r="AB13" i="24"/>
  <c r="AD13" i="24" s="1"/>
  <c r="AA13" i="24"/>
  <c r="AC13" i="24" s="1"/>
  <c r="X13" i="24"/>
  <c r="Z13" i="24" s="1"/>
  <c r="W13" i="24"/>
  <c r="Y13" i="24" s="1"/>
  <c r="T13" i="24"/>
  <c r="V13" i="24" s="1"/>
  <c r="S13" i="24"/>
  <c r="U13" i="24" s="1"/>
  <c r="P13" i="24"/>
  <c r="R13" i="24" s="1"/>
  <c r="O13" i="24"/>
  <c r="Q13" i="24" s="1"/>
  <c r="L13" i="24"/>
  <c r="N13" i="24" s="1"/>
  <c r="K13" i="24"/>
  <c r="M13" i="24" s="1"/>
  <c r="H13" i="24"/>
  <c r="J13" i="24" s="1"/>
  <c r="G13" i="24"/>
  <c r="I13" i="24" s="1"/>
  <c r="E13" i="24"/>
  <c r="D13" i="24"/>
  <c r="C13" i="24"/>
  <c r="AV12" i="24"/>
  <c r="AX12" i="24" s="1"/>
  <c r="AU12" i="24"/>
  <c r="AW12" i="24" s="1"/>
  <c r="AR12" i="24"/>
  <c r="AT12" i="24" s="1"/>
  <c r="AQ12" i="24"/>
  <c r="AS12" i="24" s="1"/>
  <c r="AN12" i="24"/>
  <c r="AP12" i="24" s="1"/>
  <c r="AM12" i="24"/>
  <c r="AO12" i="24" s="1"/>
  <c r="AJ12" i="24"/>
  <c r="AL12" i="24" s="1"/>
  <c r="AI12" i="24"/>
  <c r="AK12" i="24" s="1"/>
  <c r="AF12" i="24"/>
  <c r="AH12" i="24" s="1"/>
  <c r="AE12" i="24"/>
  <c r="AG12" i="24" s="1"/>
  <c r="AB12" i="24"/>
  <c r="AD12" i="24" s="1"/>
  <c r="AA12" i="24"/>
  <c r="AC12" i="24" s="1"/>
  <c r="X12" i="24"/>
  <c r="Z12" i="24" s="1"/>
  <c r="W12" i="24"/>
  <c r="Y12" i="24" s="1"/>
  <c r="T12" i="24"/>
  <c r="V12" i="24" s="1"/>
  <c r="S12" i="24"/>
  <c r="U12" i="24" s="1"/>
  <c r="P12" i="24"/>
  <c r="R12" i="24" s="1"/>
  <c r="O12" i="24"/>
  <c r="Q12" i="24" s="1"/>
  <c r="L12" i="24"/>
  <c r="N12" i="24" s="1"/>
  <c r="K12" i="24"/>
  <c r="M12" i="24" s="1"/>
  <c r="H12" i="24"/>
  <c r="J12" i="24" s="1"/>
  <c r="G12" i="24"/>
  <c r="I12" i="24" s="1"/>
  <c r="E12" i="24"/>
  <c r="D12" i="24"/>
  <c r="C12" i="24"/>
  <c r="AV11" i="24"/>
  <c r="AX11" i="24" s="1"/>
  <c r="AU11" i="24"/>
  <c r="AW11" i="24" s="1"/>
  <c r="AR11" i="24"/>
  <c r="AT11" i="24" s="1"/>
  <c r="AQ11" i="24"/>
  <c r="AS11" i="24" s="1"/>
  <c r="AN11" i="24"/>
  <c r="AP11" i="24" s="1"/>
  <c r="AM11" i="24"/>
  <c r="AO11" i="24" s="1"/>
  <c r="AJ11" i="24"/>
  <c r="AL11" i="24" s="1"/>
  <c r="AI11" i="24"/>
  <c r="AK11" i="24" s="1"/>
  <c r="AF11" i="24"/>
  <c r="AH11" i="24" s="1"/>
  <c r="AE11" i="24"/>
  <c r="AG11" i="24" s="1"/>
  <c r="AB11" i="24"/>
  <c r="AD11" i="24" s="1"/>
  <c r="AA11" i="24"/>
  <c r="AC11" i="24" s="1"/>
  <c r="X11" i="24"/>
  <c r="Z11" i="24" s="1"/>
  <c r="W11" i="24"/>
  <c r="Y11" i="24" s="1"/>
  <c r="T11" i="24"/>
  <c r="V11" i="24" s="1"/>
  <c r="S11" i="24"/>
  <c r="U11" i="24" s="1"/>
  <c r="P11" i="24"/>
  <c r="R11" i="24" s="1"/>
  <c r="O11" i="24"/>
  <c r="Q11" i="24" s="1"/>
  <c r="L11" i="24"/>
  <c r="N11" i="24" s="1"/>
  <c r="K11" i="24"/>
  <c r="M11" i="24" s="1"/>
  <c r="H11" i="24"/>
  <c r="J11" i="24" s="1"/>
  <c r="G11" i="24"/>
  <c r="I11" i="24" s="1"/>
  <c r="E11" i="24"/>
  <c r="D11" i="24"/>
  <c r="C11" i="24"/>
  <c r="AV10" i="24"/>
  <c r="AX10" i="24" s="1"/>
  <c r="AU10" i="24"/>
  <c r="AW10" i="24" s="1"/>
  <c r="AR10" i="24"/>
  <c r="AT10" i="24" s="1"/>
  <c r="AQ10" i="24"/>
  <c r="AS10" i="24" s="1"/>
  <c r="AN10" i="24"/>
  <c r="AP10" i="24" s="1"/>
  <c r="AM10" i="24"/>
  <c r="AO10" i="24" s="1"/>
  <c r="AJ10" i="24"/>
  <c r="AL10" i="24" s="1"/>
  <c r="AI10" i="24"/>
  <c r="AK10" i="24" s="1"/>
  <c r="AF10" i="24"/>
  <c r="AH10" i="24" s="1"/>
  <c r="AE10" i="24"/>
  <c r="AG10" i="24" s="1"/>
  <c r="AB10" i="24"/>
  <c r="AD10" i="24" s="1"/>
  <c r="AA10" i="24"/>
  <c r="AC10" i="24" s="1"/>
  <c r="X10" i="24"/>
  <c r="Z10" i="24" s="1"/>
  <c r="W10" i="24"/>
  <c r="Y10" i="24" s="1"/>
  <c r="T10" i="24"/>
  <c r="V10" i="24" s="1"/>
  <c r="S10" i="24"/>
  <c r="U10" i="24" s="1"/>
  <c r="P10" i="24"/>
  <c r="R10" i="24" s="1"/>
  <c r="O10" i="24"/>
  <c r="Q10" i="24" s="1"/>
  <c r="L10" i="24"/>
  <c r="N10" i="24" s="1"/>
  <c r="K10" i="24"/>
  <c r="M10" i="24" s="1"/>
  <c r="H10" i="24"/>
  <c r="J10" i="24" s="1"/>
  <c r="G10" i="24"/>
  <c r="I10" i="24" s="1"/>
  <c r="E10" i="24"/>
  <c r="D10" i="24"/>
  <c r="C10" i="24"/>
  <c r="AV9" i="24"/>
  <c r="AX9" i="24" s="1"/>
  <c r="AU9" i="24"/>
  <c r="AW9" i="24" s="1"/>
  <c r="AR9" i="24"/>
  <c r="AT9" i="24" s="1"/>
  <c r="AQ9" i="24"/>
  <c r="AS9" i="24" s="1"/>
  <c r="AN9" i="24"/>
  <c r="AP9" i="24" s="1"/>
  <c r="AM9" i="24"/>
  <c r="AO9" i="24" s="1"/>
  <c r="AJ9" i="24"/>
  <c r="AL9" i="24" s="1"/>
  <c r="AI9" i="24"/>
  <c r="AK9" i="24" s="1"/>
  <c r="AF9" i="24"/>
  <c r="AH9" i="24" s="1"/>
  <c r="AE9" i="24"/>
  <c r="AG9" i="24" s="1"/>
  <c r="AB9" i="24"/>
  <c r="AD9" i="24" s="1"/>
  <c r="AA9" i="24"/>
  <c r="AC9" i="24" s="1"/>
  <c r="X9" i="24"/>
  <c r="Z9" i="24" s="1"/>
  <c r="W9" i="24"/>
  <c r="Y9" i="24" s="1"/>
  <c r="T9" i="24"/>
  <c r="V9" i="24" s="1"/>
  <c r="S9" i="24"/>
  <c r="U9" i="24" s="1"/>
  <c r="P9" i="24"/>
  <c r="R9" i="24" s="1"/>
  <c r="O9" i="24"/>
  <c r="Q9" i="24" s="1"/>
  <c r="L9" i="24"/>
  <c r="N9" i="24" s="1"/>
  <c r="K9" i="24"/>
  <c r="M9" i="24" s="1"/>
  <c r="H9" i="24"/>
  <c r="J9" i="24" s="1"/>
  <c r="G9" i="24"/>
  <c r="I9" i="24" s="1"/>
  <c r="E9" i="24"/>
  <c r="D9" i="24"/>
  <c r="C9" i="24"/>
  <c r="AV8" i="24"/>
  <c r="AX8" i="24" s="1"/>
  <c r="AU8" i="24"/>
  <c r="AW8" i="24" s="1"/>
  <c r="AR8" i="24"/>
  <c r="AT8" i="24" s="1"/>
  <c r="AQ8" i="24"/>
  <c r="AS8" i="24" s="1"/>
  <c r="AN8" i="24"/>
  <c r="AP8" i="24" s="1"/>
  <c r="AM8" i="24"/>
  <c r="AO8" i="24" s="1"/>
  <c r="AJ8" i="24"/>
  <c r="AL8" i="24" s="1"/>
  <c r="AI8" i="24"/>
  <c r="AK8" i="24" s="1"/>
  <c r="AF8" i="24"/>
  <c r="AH8" i="24" s="1"/>
  <c r="AE8" i="24"/>
  <c r="AG8" i="24" s="1"/>
  <c r="AB8" i="24"/>
  <c r="AD8" i="24" s="1"/>
  <c r="AA8" i="24"/>
  <c r="AC8" i="24" s="1"/>
  <c r="X8" i="24"/>
  <c r="Z8" i="24" s="1"/>
  <c r="W8" i="24"/>
  <c r="Y8" i="24" s="1"/>
  <c r="T8" i="24"/>
  <c r="V8" i="24" s="1"/>
  <c r="S8" i="24"/>
  <c r="U8" i="24" s="1"/>
  <c r="P8" i="24"/>
  <c r="R8" i="24" s="1"/>
  <c r="O8" i="24"/>
  <c r="Q8" i="24" s="1"/>
  <c r="L8" i="24"/>
  <c r="N8" i="24" s="1"/>
  <c r="K8" i="24"/>
  <c r="M8" i="24" s="1"/>
  <c r="H8" i="24"/>
  <c r="J8" i="24" s="1"/>
  <c r="G8" i="24"/>
  <c r="I8" i="24" s="1"/>
  <c r="E8" i="24"/>
  <c r="D8" i="24"/>
  <c r="C8" i="24"/>
  <c r="AV7" i="24"/>
  <c r="AX7" i="24" s="1"/>
  <c r="AU7" i="24"/>
  <c r="AW7" i="24" s="1"/>
  <c r="AR7" i="24"/>
  <c r="AT7" i="24" s="1"/>
  <c r="AQ7" i="24"/>
  <c r="AS7" i="24" s="1"/>
  <c r="AN7" i="24"/>
  <c r="AP7" i="24" s="1"/>
  <c r="AM7" i="24"/>
  <c r="AO7" i="24" s="1"/>
  <c r="AJ7" i="24"/>
  <c r="AL7" i="24" s="1"/>
  <c r="AI7" i="24"/>
  <c r="AK7" i="24" s="1"/>
  <c r="AF7" i="24"/>
  <c r="AH7" i="24" s="1"/>
  <c r="AE7" i="24"/>
  <c r="AG7" i="24" s="1"/>
  <c r="AB7" i="24"/>
  <c r="AD7" i="24" s="1"/>
  <c r="AA7" i="24"/>
  <c r="AC7" i="24" s="1"/>
  <c r="X7" i="24"/>
  <c r="Z7" i="24" s="1"/>
  <c r="W7" i="24"/>
  <c r="Y7" i="24" s="1"/>
  <c r="T7" i="24"/>
  <c r="V7" i="24" s="1"/>
  <c r="S7" i="24"/>
  <c r="U7" i="24" s="1"/>
  <c r="P7" i="24"/>
  <c r="R7" i="24" s="1"/>
  <c r="O7" i="24"/>
  <c r="Q7" i="24" s="1"/>
  <c r="L7" i="24"/>
  <c r="N7" i="24" s="1"/>
  <c r="K7" i="24"/>
  <c r="M7" i="24" s="1"/>
  <c r="H7" i="24"/>
  <c r="J7" i="24" s="1"/>
  <c r="G7" i="24"/>
  <c r="I7" i="24" s="1"/>
  <c r="E7" i="24"/>
  <c r="D7" i="24"/>
  <c r="C7" i="24"/>
  <c r="AV6" i="24"/>
  <c r="AX6" i="24" s="1"/>
  <c r="AU6" i="24"/>
  <c r="AW6" i="24" s="1"/>
  <c r="AR6" i="24"/>
  <c r="AT6" i="24" s="1"/>
  <c r="AQ6" i="24"/>
  <c r="AS6" i="24" s="1"/>
  <c r="AN6" i="24"/>
  <c r="AP6" i="24" s="1"/>
  <c r="AM6" i="24"/>
  <c r="AO6" i="24" s="1"/>
  <c r="AJ6" i="24"/>
  <c r="AL6" i="24" s="1"/>
  <c r="AI6" i="24"/>
  <c r="AK6" i="24" s="1"/>
  <c r="AF6" i="24"/>
  <c r="AH6" i="24" s="1"/>
  <c r="AE6" i="24"/>
  <c r="AG6" i="24" s="1"/>
  <c r="AB6" i="24"/>
  <c r="AD6" i="24" s="1"/>
  <c r="AA6" i="24"/>
  <c r="AC6" i="24" s="1"/>
  <c r="X6" i="24"/>
  <c r="Z6" i="24" s="1"/>
  <c r="W6" i="24"/>
  <c r="Y6" i="24" s="1"/>
  <c r="T6" i="24"/>
  <c r="V6" i="24" s="1"/>
  <c r="S6" i="24"/>
  <c r="U6" i="24" s="1"/>
  <c r="P6" i="24"/>
  <c r="R6" i="24" s="1"/>
  <c r="O6" i="24"/>
  <c r="Q6" i="24" s="1"/>
  <c r="L6" i="24"/>
  <c r="N6" i="24" s="1"/>
  <c r="K6" i="24"/>
  <c r="M6" i="24" s="1"/>
  <c r="H6" i="24"/>
  <c r="J6" i="24" s="1"/>
  <c r="G6" i="24"/>
  <c r="I6" i="24" s="1"/>
  <c r="E6" i="24"/>
  <c r="D6" i="24"/>
  <c r="C6" i="24"/>
  <c r="AV5" i="24"/>
  <c r="AX5" i="24" s="1"/>
  <c r="AU5" i="24"/>
  <c r="AW5" i="24" s="1"/>
  <c r="AR5" i="24"/>
  <c r="AT5" i="24" s="1"/>
  <c r="AQ5" i="24"/>
  <c r="AS5" i="24" s="1"/>
  <c r="AN5" i="24"/>
  <c r="AP5" i="24" s="1"/>
  <c r="AM5" i="24"/>
  <c r="AO5" i="24" s="1"/>
  <c r="AJ5" i="24"/>
  <c r="AL5" i="24" s="1"/>
  <c r="AI5" i="24"/>
  <c r="AK5" i="24" s="1"/>
  <c r="AF5" i="24"/>
  <c r="AH5" i="24" s="1"/>
  <c r="AE5" i="24"/>
  <c r="AG5" i="24" s="1"/>
  <c r="AB5" i="24"/>
  <c r="AD5" i="24" s="1"/>
  <c r="AA5" i="24"/>
  <c r="AC5" i="24" s="1"/>
  <c r="X5" i="24"/>
  <c r="Z5" i="24" s="1"/>
  <c r="W5" i="24"/>
  <c r="Y5" i="24" s="1"/>
  <c r="T5" i="24"/>
  <c r="V5" i="24" s="1"/>
  <c r="S5" i="24"/>
  <c r="U5" i="24" s="1"/>
  <c r="P5" i="24"/>
  <c r="R5" i="24" s="1"/>
  <c r="O5" i="24"/>
  <c r="Q5" i="24" s="1"/>
  <c r="L5" i="24"/>
  <c r="N5" i="24" s="1"/>
  <c r="K5" i="24"/>
  <c r="M5" i="24" s="1"/>
  <c r="H5" i="24"/>
  <c r="J5" i="24" s="1"/>
  <c r="G5" i="24"/>
  <c r="I5" i="24" s="1"/>
  <c r="E5" i="24"/>
  <c r="D5" i="24"/>
  <c r="C5" i="24"/>
  <c r="AV4" i="24"/>
  <c r="AX4" i="24" s="1"/>
  <c r="AU4" i="24"/>
  <c r="AW4" i="24" s="1"/>
  <c r="AR4" i="24"/>
  <c r="AT4" i="24" s="1"/>
  <c r="AQ4" i="24"/>
  <c r="AS4" i="24" s="1"/>
  <c r="AN4" i="24"/>
  <c r="AP4" i="24" s="1"/>
  <c r="AM4" i="24"/>
  <c r="AO4" i="24" s="1"/>
  <c r="AJ4" i="24"/>
  <c r="AL4" i="24" s="1"/>
  <c r="AI4" i="24"/>
  <c r="AK4" i="24" s="1"/>
  <c r="AF4" i="24"/>
  <c r="AH4" i="24" s="1"/>
  <c r="AE4" i="24"/>
  <c r="AG4" i="24" s="1"/>
  <c r="AB4" i="24"/>
  <c r="AD4" i="24" s="1"/>
  <c r="AA4" i="24"/>
  <c r="AC4" i="24" s="1"/>
  <c r="X4" i="24"/>
  <c r="Z4" i="24" s="1"/>
  <c r="W4" i="24"/>
  <c r="Y4" i="24" s="1"/>
  <c r="T4" i="24"/>
  <c r="V4" i="24" s="1"/>
  <c r="S4" i="24"/>
  <c r="U4" i="24" s="1"/>
  <c r="P4" i="24"/>
  <c r="R4" i="24" s="1"/>
  <c r="O4" i="24"/>
  <c r="Q4" i="24" s="1"/>
  <c r="L4" i="24"/>
  <c r="N4" i="24" s="1"/>
  <c r="K4" i="24"/>
  <c r="M4" i="24" s="1"/>
  <c r="H4" i="24"/>
  <c r="J4" i="24" s="1"/>
  <c r="G4" i="24"/>
  <c r="I4" i="24" s="1"/>
  <c r="E4" i="24"/>
  <c r="D4" i="24"/>
  <c r="C4" i="24"/>
  <c r="AV3" i="24"/>
  <c r="AX3" i="24" s="1"/>
  <c r="AU3" i="24"/>
  <c r="AW3" i="24" s="1"/>
  <c r="AR3" i="24"/>
  <c r="AT3" i="24" s="1"/>
  <c r="AQ3" i="24"/>
  <c r="AS3" i="24" s="1"/>
  <c r="AN3" i="24"/>
  <c r="AP3" i="24" s="1"/>
  <c r="AM3" i="24"/>
  <c r="AO3" i="24" s="1"/>
  <c r="AJ3" i="24"/>
  <c r="AL3" i="24" s="1"/>
  <c r="AI3" i="24"/>
  <c r="AK3" i="24" s="1"/>
  <c r="AF3" i="24"/>
  <c r="AH3" i="24" s="1"/>
  <c r="AE3" i="24"/>
  <c r="AG3" i="24" s="1"/>
  <c r="AB3" i="24"/>
  <c r="AD3" i="24" s="1"/>
  <c r="AA3" i="24"/>
  <c r="AC3" i="24" s="1"/>
  <c r="X3" i="24"/>
  <c r="Z3" i="24" s="1"/>
  <c r="W3" i="24"/>
  <c r="Y3" i="24" s="1"/>
  <c r="T3" i="24"/>
  <c r="V3" i="24" s="1"/>
  <c r="S3" i="24"/>
  <c r="U3" i="24" s="1"/>
  <c r="P3" i="24"/>
  <c r="R3" i="24" s="1"/>
  <c r="O3" i="24"/>
  <c r="Q3" i="24" s="1"/>
  <c r="L3" i="24"/>
  <c r="N3" i="24" s="1"/>
  <c r="K3" i="24"/>
  <c r="M3" i="24" s="1"/>
  <c r="H3" i="24"/>
  <c r="J3" i="24" s="1"/>
  <c r="G3" i="24"/>
  <c r="I3" i="24" s="1"/>
  <c r="E3" i="24"/>
  <c r="D3" i="24"/>
  <c r="C3" i="24"/>
  <c r="AV50" i="23"/>
  <c r="AX50" i="23" s="1"/>
  <c r="AU50" i="23"/>
  <c r="AW50" i="23" s="1"/>
  <c r="AR50" i="23"/>
  <c r="AT50" i="23" s="1"/>
  <c r="AQ50" i="23"/>
  <c r="AS50" i="23" s="1"/>
  <c r="AN50" i="23"/>
  <c r="AP50" i="23" s="1"/>
  <c r="AM50" i="23"/>
  <c r="AO50" i="23" s="1"/>
  <c r="AJ50" i="23"/>
  <c r="AL50" i="23" s="1"/>
  <c r="AI50" i="23"/>
  <c r="AK50" i="23" s="1"/>
  <c r="AF50" i="23"/>
  <c r="AH50" i="23" s="1"/>
  <c r="AE50" i="23"/>
  <c r="AG50" i="23" s="1"/>
  <c r="AB50" i="23"/>
  <c r="AD50" i="23" s="1"/>
  <c r="AA50" i="23"/>
  <c r="AC50" i="23" s="1"/>
  <c r="X50" i="23"/>
  <c r="Z50" i="23" s="1"/>
  <c r="W50" i="23"/>
  <c r="Y50" i="23" s="1"/>
  <c r="T50" i="23"/>
  <c r="V50" i="23" s="1"/>
  <c r="S50" i="23"/>
  <c r="U50" i="23" s="1"/>
  <c r="P50" i="23"/>
  <c r="R50" i="23" s="1"/>
  <c r="O50" i="23"/>
  <c r="Q50" i="23" s="1"/>
  <c r="L50" i="23"/>
  <c r="N50" i="23" s="1"/>
  <c r="K50" i="23"/>
  <c r="M50" i="23" s="1"/>
  <c r="H50" i="23"/>
  <c r="J50" i="23" s="1"/>
  <c r="G50" i="23"/>
  <c r="I50" i="23" s="1"/>
  <c r="E50" i="23"/>
  <c r="D50" i="23"/>
  <c r="C50" i="23"/>
  <c r="AV49" i="23"/>
  <c r="AX49" i="23" s="1"/>
  <c r="AU49" i="23"/>
  <c r="AW49" i="23" s="1"/>
  <c r="AR49" i="23"/>
  <c r="AT49" i="23" s="1"/>
  <c r="AQ49" i="23"/>
  <c r="AS49" i="23" s="1"/>
  <c r="AN49" i="23"/>
  <c r="AP49" i="23" s="1"/>
  <c r="AM49" i="23"/>
  <c r="AO49" i="23" s="1"/>
  <c r="AK49" i="23"/>
  <c r="AJ49" i="23"/>
  <c r="AL49" i="23" s="1"/>
  <c r="AI49" i="23"/>
  <c r="AF49" i="23"/>
  <c r="AH49" i="23" s="1"/>
  <c r="AE49" i="23"/>
  <c r="AG49" i="23" s="1"/>
  <c r="AB49" i="23"/>
  <c r="AD49" i="23" s="1"/>
  <c r="AA49" i="23"/>
  <c r="AC49" i="23" s="1"/>
  <c r="X49" i="23"/>
  <c r="Z49" i="23" s="1"/>
  <c r="W49" i="23"/>
  <c r="Y49" i="23" s="1"/>
  <c r="T49" i="23"/>
  <c r="V49" i="23" s="1"/>
  <c r="S49" i="23"/>
  <c r="U49" i="23" s="1"/>
  <c r="P49" i="23"/>
  <c r="R49" i="23" s="1"/>
  <c r="O49" i="23"/>
  <c r="Q49" i="23" s="1"/>
  <c r="L49" i="23"/>
  <c r="N49" i="23" s="1"/>
  <c r="K49" i="23"/>
  <c r="M49" i="23" s="1"/>
  <c r="H49" i="23"/>
  <c r="J49" i="23" s="1"/>
  <c r="G49" i="23"/>
  <c r="I49" i="23" s="1"/>
  <c r="E49" i="23"/>
  <c r="D49" i="23"/>
  <c r="C49" i="23"/>
  <c r="AV48" i="23"/>
  <c r="AX48" i="23" s="1"/>
  <c r="AU48" i="23"/>
  <c r="AW48" i="23" s="1"/>
  <c r="AR48" i="23"/>
  <c r="AT48" i="23" s="1"/>
  <c r="AQ48" i="23"/>
  <c r="AS48" i="23" s="1"/>
  <c r="AN48" i="23"/>
  <c r="AP48" i="23" s="1"/>
  <c r="AM48" i="23"/>
  <c r="AO48" i="23" s="1"/>
  <c r="AJ48" i="23"/>
  <c r="AL48" i="23" s="1"/>
  <c r="AI48" i="23"/>
  <c r="AK48" i="23" s="1"/>
  <c r="AF48" i="23"/>
  <c r="AH48" i="23" s="1"/>
  <c r="AE48" i="23"/>
  <c r="AG48" i="23" s="1"/>
  <c r="AB48" i="23"/>
  <c r="AD48" i="23" s="1"/>
  <c r="AA48" i="23"/>
  <c r="AC48" i="23" s="1"/>
  <c r="X48" i="23"/>
  <c r="Z48" i="23" s="1"/>
  <c r="W48" i="23"/>
  <c r="Y48" i="23" s="1"/>
  <c r="T48" i="23"/>
  <c r="V48" i="23" s="1"/>
  <c r="S48" i="23"/>
  <c r="U48" i="23" s="1"/>
  <c r="P48" i="23"/>
  <c r="R48" i="23" s="1"/>
  <c r="O48" i="23"/>
  <c r="Q48" i="23" s="1"/>
  <c r="L48" i="23"/>
  <c r="N48" i="23" s="1"/>
  <c r="K48" i="23"/>
  <c r="M48" i="23" s="1"/>
  <c r="H48" i="23"/>
  <c r="J48" i="23" s="1"/>
  <c r="G48" i="23"/>
  <c r="I48" i="23" s="1"/>
  <c r="E48" i="23"/>
  <c r="D48" i="23"/>
  <c r="C48" i="23"/>
  <c r="AV47" i="23"/>
  <c r="AX47" i="23" s="1"/>
  <c r="AU47" i="23"/>
  <c r="AW47" i="23" s="1"/>
  <c r="AR47" i="23"/>
  <c r="AT47" i="23" s="1"/>
  <c r="AQ47" i="23"/>
  <c r="AS47" i="23" s="1"/>
  <c r="AN47" i="23"/>
  <c r="AP47" i="23" s="1"/>
  <c r="AM47" i="23"/>
  <c r="AO47" i="23" s="1"/>
  <c r="AJ47" i="23"/>
  <c r="AL47" i="23" s="1"/>
  <c r="AI47" i="23"/>
  <c r="AK47" i="23" s="1"/>
  <c r="AF47" i="23"/>
  <c r="AH47" i="23" s="1"/>
  <c r="AE47" i="23"/>
  <c r="AG47" i="23" s="1"/>
  <c r="AB47" i="23"/>
  <c r="AD47" i="23" s="1"/>
  <c r="AA47" i="23"/>
  <c r="AC47" i="23" s="1"/>
  <c r="X47" i="23"/>
  <c r="Z47" i="23" s="1"/>
  <c r="W47" i="23"/>
  <c r="Y47" i="23" s="1"/>
  <c r="T47" i="23"/>
  <c r="V47" i="23" s="1"/>
  <c r="S47" i="23"/>
  <c r="U47" i="23" s="1"/>
  <c r="P47" i="23"/>
  <c r="R47" i="23" s="1"/>
  <c r="O47" i="23"/>
  <c r="Q47" i="23" s="1"/>
  <c r="L47" i="23"/>
  <c r="N47" i="23" s="1"/>
  <c r="K47" i="23"/>
  <c r="M47" i="23" s="1"/>
  <c r="H47" i="23"/>
  <c r="J47" i="23" s="1"/>
  <c r="G47" i="23"/>
  <c r="I47" i="23" s="1"/>
  <c r="E47" i="23"/>
  <c r="D47" i="23"/>
  <c r="C47" i="23"/>
  <c r="AV46" i="23"/>
  <c r="AX46" i="23" s="1"/>
  <c r="AU46" i="23"/>
  <c r="AW46" i="23" s="1"/>
  <c r="AR46" i="23"/>
  <c r="AT46" i="23" s="1"/>
  <c r="AQ46" i="23"/>
  <c r="AS46" i="23" s="1"/>
  <c r="AN46" i="23"/>
  <c r="AP46" i="23" s="1"/>
  <c r="AM46" i="23"/>
  <c r="AO46" i="23" s="1"/>
  <c r="AJ46" i="23"/>
  <c r="AL46" i="23" s="1"/>
  <c r="AI46" i="23"/>
  <c r="AK46" i="23" s="1"/>
  <c r="AF46" i="23"/>
  <c r="AH46" i="23" s="1"/>
  <c r="AE46" i="23"/>
  <c r="AG46" i="23" s="1"/>
  <c r="AB46" i="23"/>
  <c r="AD46" i="23" s="1"/>
  <c r="AA46" i="23"/>
  <c r="AC46" i="23" s="1"/>
  <c r="X46" i="23"/>
  <c r="Z46" i="23" s="1"/>
  <c r="W46" i="23"/>
  <c r="Y46" i="23" s="1"/>
  <c r="T46" i="23"/>
  <c r="V46" i="23" s="1"/>
  <c r="S46" i="23"/>
  <c r="U46" i="23" s="1"/>
  <c r="P46" i="23"/>
  <c r="R46" i="23" s="1"/>
  <c r="O46" i="23"/>
  <c r="Q46" i="23" s="1"/>
  <c r="L46" i="23"/>
  <c r="N46" i="23" s="1"/>
  <c r="K46" i="23"/>
  <c r="M46" i="23" s="1"/>
  <c r="H46" i="23"/>
  <c r="J46" i="23" s="1"/>
  <c r="G46" i="23"/>
  <c r="I46" i="23" s="1"/>
  <c r="E46" i="23"/>
  <c r="D46" i="23"/>
  <c r="C46" i="23"/>
  <c r="AV45" i="23"/>
  <c r="AX45" i="23" s="1"/>
  <c r="AU45" i="23"/>
  <c r="AW45" i="23" s="1"/>
  <c r="AR45" i="23"/>
  <c r="AT45" i="23" s="1"/>
  <c r="AQ45" i="23"/>
  <c r="AS45" i="23" s="1"/>
  <c r="AN45" i="23"/>
  <c r="AP45" i="23" s="1"/>
  <c r="AM45" i="23"/>
  <c r="AO45" i="23" s="1"/>
  <c r="AJ45" i="23"/>
  <c r="AL45" i="23" s="1"/>
  <c r="AI45" i="23"/>
  <c r="AK45" i="23" s="1"/>
  <c r="AF45" i="23"/>
  <c r="AH45" i="23" s="1"/>
  <c r="AE45" i="23"/>
  <c r="AG45" i="23" s="1"/>
  <c r="AB45" i="23"/>
  <c r="AD45" i="23" s="1"/>
  <c r="AA45" i="23"/>
  <c r="AC45" i="23" s="1"/>
  <c r="X45" i="23"/>
  <c r="Z45" i="23" s="1"/>
  <c r="W45" i="23"/>
  <c r="Y45" i="23" s="1"/>
  <c r="T45" i="23"/>
  <c r="V45" i="23" s="1"/>
  <c r="S45" i="23"/>
  <c r="U45" i="23" s="1"/>
  <c r="P45" i="23"/>
  <c r="R45" i="23" s="1"/>
  <c r="O45" i="23"/>
  <c r="Q45" i="23" s="1"/>
  <c r="L45" i="23"/>
  <c r="N45" i="23" s="1"/>
  <c r="K45" i="23"/>
  <c r="M45" i="23" s="1"/>
  <c r="H45" i="23"/>
  <c r="J45" i="23" s="1"/>
  <c r="G45" i="23"/>
  <c r="I45" i="23" s="1"/>
  <c r="E45" i="23"/>
  <c r="D45" i="23"/>
  <c r="C45" i="23"/>
  <c r="AV44" i="23"/>
  <c r="AX44" i="23" s="1"/>
  <c r="AU44" i="23"/>
  <c r="AW44" i="23" s="1"/>
  <c r="AR44" i="23"/>
  <c r="AT44" i="23" s="1"/>
  <c r="AQ44" i="23"/>
  <c r="AS44" i="23" s="1"/>
  <c r="AN44" i="23"/>
  <c r="AP44" i="23" s="1"/>
  <c r="AM44" i="23"/>
  <c r="AO44" i="23" s="1"/>
  <c r="AJ44" i="23"/>
  <c r="AL44" i="23" s="1"/>
  <c r="AI44" i="23"/>
  <c r="AK44" i="23" s="1"/>
  <c r="AF44" i="23"/>
  <c r="AH44" i="23" s="1"/>
  <c r="AE44" i="23"/>
  <c r="AG44" i="23" s="1"/>
  <c r="AB44" i="23"/>
  <c r="AD44" i="23" s="1"/>
  <c r="AA44" i="23"/>
  <c r="AC44" i="23" s="1"/>
  <c r="X44" i="23"/>
  <c r="Z44" i="23" s="1"/>
  <c r="W44" i="23"/>
  <c r="Y44" i="23" s="1"/>
  <c r="T44" i="23"/>
  <c r="V44" i="23" s="1"/>
  <c r="S44" i="23"/>
  <c r="U44" i="23" s="1"/>
  <c r="P44" i="23"/>
  <c r="R44" i="23" s="1"/>
  <c r="O44" i="23"/>
  <c r="Q44" i="23" s="1"/>
  <c r="L44" i="23"/>
  <c r="N44" i="23" s="1"/>
  <c r="K44" i="23"/>
  <c r="M44" i="23" s="1"/>
  <c r="H44" i="23"/>
  <c r="J44" i="23" s="1"/>
  <c r="G44" i="23"/>
  <c r="I44" i="23" s="1"/>
  <c r="E44" i="23"/>
  <c r="D44" i="23"/>
  <c r="C44" i="23"/>
  <c r="AV43" i="23"/>
  <c r="AX43" i="23" s="1"/>
  <c r="AU43" i="23"/>
  <c r="AW43" i="23" s="1"/>
  <c r="AR43" i="23"/>
  <c r="AT43" i="23" s="1"/>
  <c r="AQ43" i="23"/>
  <c r="AS43" i="23" s="1"/>
  <c r="AN43" i="23"/>
  <c r="AP43" i="23" s="1"/>
  <c r="AM43" i="23"/>
  <c r="AO43" i="23" s="1"/>
  <c r="AJ43" i="23"/>
  <c r="AL43" i="23" s="1"/>
  <c r="AI43" i="23"/>
  <c r="AK43" i="23" s="1"/>
  <c r="AF43" i="23"/>
  <c r="AH43" i="23" s="1"/>
  <c r="AE43" i="23"/>
  <c r="AG43" i="23" s="1"/>
  <c r="AB43" i="23"/>
  <c r="AD43" i="23" s="1"/>
  <c r="AA43" i="23"/>
  <c r="AC43" i="23" s="1"/>
  <c r="X43" i="23"/>
  <c r="Z43" i="23" s="1"/>
  <c r="W43" i="23"/>
  <c r="Y43" i="23" s="1"/>
  <c r="T43" i="23"/>
  <c r="V43" i="23" s="1"/>
  <c r="S43" i="23"/>
  <c r="U43" i="23" s="1"/>
  <c r="P43" i="23"/>
  <c r="R43" i="23" s="1"/>
  <c r="O43" i="23"/>
  <c r="Q43" i="23" s="1"/>
  <c r="L43" i="23"/>
  <c r="N43" i="23" s="1"/>
  <c r="K43" i="23"/>
  <c r="M43" i="23" s="1"/>
  <c r="H43" i="23"/>
  <c r="J43" i="23" s="1"/>
  <c r="G43" i="23"/>
  <c r="I43" i="23" s="1"/>
  <c r="E43" i="23"/>
  <c r="D43" i="23"/>
  <c r="C43" i="23"/>
  <c r="AV42" i="23"/>
  <c r="AX42" i="23" s="1"/>
  <c r="AU42" i="23"/>
  <c r="AW42" i="23" s="1"/>
  <c r="AR42" i="23"/>
  <c r="AT42" i="23" s="1"/>
  <c r="AQ42" i="23"/>
  <c r="AS42" i="23" s="1"/>
  <c r="AN42" i="23"/>
  <c r="AP42" i="23" s="1"/>
  <c r="AM42" i="23"/>
  <c r="AO42" i="23" s="1"/>
  <c r="AJ42" i="23"/>
  <c r="AL42" i="23" s="1"/>
  <c r="AI42" i="23"/>
  <c r="AK42" i="23" s="1"/>
  <c r="AF42" i="23"/>
  <c r="AH42" i="23" s="1"/>
  <c r="AE42" i="23"/>
  <c r="AG42" i="23" s="1"/>
  <c r="AB42" i="23"/>
  <c r="AD42" i="23" s="1"/>
  <c r="AA42" i="23"/>
  <c r="AC42" i="23" s="1"/>
  <c r="X42" i="23"/>
  <c r="Z42" i="23" s="1"/>
  <c r="W42" i="23"/>
  <c r="Y42" i="23" s="1"/>
  <c r="T42" i="23"/>
  <c r="V42" i="23" s="1"/>
  <c r="S42" i="23"/>
  <c r="U42" i="23" s="1"/>
  <c r="P42" i="23"/>
  <c r="R42" i="23" s="1"/>
  <c r="O42" i="23"/>
  <c r="Q42" i="23" s="1"/>
  <c r="L42" i="23"/>
  <c r="N42" i="23" s="1"/>
  <c r="K42" i="23"/>
  <c r="M42" i="23" s="1"/>
  <c r="H42" i="23"/>
  <c r="J42" i="23" s="1"/>
  <c r="G42" i="23"/>
  <c r="I42" i="23" s="1"/>
  <c r="E42" i="23"/>
  <c r="D42" i="23"/>
  <c r="C42" i="23"/>
  <c r="AV41" i="23"/>
  <c r="AX41" i="23" s="1"/>
  <c r="AU41" i="23"/>
  <c r="AW41" i="23" s="1"/>
  <c r="AR41" i="23"/>
  <c r="AT41" i="23" s="1"/>
  <c r="AQ41" i="23"/>
  <c r="AS41" i="23" s="1"/>
  <c r="AN41" i="23"/>
  <c r="AP41" i="23" s="1"/>
  <c r="AM41" i="23"/>
  <c r="AO41" i="23" s="1"/>
  <c r="AJ41" i="23"/>
  <c r="AL41" i="23" s="1"/>
  <c r="AI41" i="23"/>
  <c r="AK41" i="23" s="1"/>
  <c r="AF41" i="23"/>
  <c r="AH41" i="23" s="1"/>
  <c r="AE41" i="23"/>
  <c r="AG41" i="23" s="1"/>
  <c r="AB41" i="23"/>
  <c r="AD41" i="23" s="1"/>
  <c r="AA41" i="23"/>
  <c r="AC41" i="23" s="1"/>
  <c r="X41" i="23"/>
  <c r="Z41" i="23" s="1"/>
  <c r="W41" i="23"/>
  <c r="Y41" i="23" s="1"/>
  <c r="T41" i="23"/>
  <c r="V41" i="23" s="1"/>
  <c r="S41" i="23"/>
  <c r="U41" i="23" s="1"/>
  <c r="P41" i="23"/>
  <c r="R41" i="23" s="1"/>
  <c r="O41" i="23"/>
  <c r="Q41" i="23" s="1"/>
  <c r="L41" i="23"/>
  <c r="N41" i="23" s="1"/>
  <c r="K41" i="23"/>
  <c r="M41" i="23" s="1"/>
  <c r="H41" i="23"/>
  <c r="J41" i="23" s="1"/>
  <c r="G41" i="23"/>
  <c r="I41" i="23" s="1"/>
  <c r="E41" i="23"/>
  <c r="D41" i="23"/>
  <c r="C41" i="23"/>
  <c r="AV40" i="23"/>
  <c r="AX40" i="23" s="1"/>
  <c r="AU40" i="23"/>
  <c r="AW40" i="23" s="1"/>
  <c r="AR40" i="23"/>
  <c r="AT40" i="23" s="1"/>
  <c r="AQ40" i="23"/>
  <c r="AS40" i="23" s="1"/>
  <c r="AN40" i="23"/>
  <c r="AP40" i="23" s="1"/>
  <c r="AM40" i="23"/>
  <c r="AO40" i="23" s="1"/>
  <c r="AJ40" i="23"/>
  <c r="AL40" i="23" s="1"/>
  <c r="AI40" i="23"/>
  <c r="AK40" i="23" s="1"/>
  <c r="AF40" i="23"/>
  <c r="AH40" i="23" s="1"/>
  <c r="AE40" i="23"/>
  <c r="AG40" i="23" s="1"/>
  <c r="AB40" i="23"/>
  <c r="AD40" i="23" s="1"/>
  <c r="AA40" i="23"/>
  <c r="AC40" i="23" s="1"/>
  <c r="X40" i="23"/>
  <c r="Z40" i="23" s="1"/>
  <c r="W40" i="23"/>
  <c r="Y40" i="23" s="1"/>
  <c r="T40" i="23"/>
  <c r="V40" i="23" s="1"/>
  <c r="S40" i="23"/>
  <c r="U40" i="23" s="1"/>
  <c r="P40" i="23"/>
  <c r="R40" i="23" s="1"/>
  <c r="O40" i="23"/>
  <c r="Q40" i="23" s="1"/>
  <c r="L40" i="23"/>
  <c r="N40" i="23" s="1"/>
  <c r="K40" i="23"/>
  <c r="M40" i="23" s="1"/>
  <c r="H40" i="23"/>
  <c r="J40" i="23" s="1"/>
  <c r="G40" i="23"/>
  <c r="I40" i="23" s="1"/>
  <c r="E40" i="23"/>
  <c r="D40" i="23"/>
  <c r="C40" i="23"/>
  <c r="AV39" i="23"/>
  <c r="AX39" i="23" s="1"/>
  <c r="AU39" i="23"/>
  <c r="AW39" i="23" s="1"/>
  <c r="AR39" i="23"/>
  <c r="AT39" i="23" s="1"/>
  <c r="AQ39" i="23"/>
  <c r="AS39" i="23" s="1"/>
  <c r="AN39" i="23"/>
  <c r="AP39" i="23" s="1"/>
  <c r="AM39" i="23"/>
  <c r="AO39" i="23" s="1"/>
  <c r="AJ39" i="23"/>
  <c r="AL39" i="23" s="1"/>
  <c r="AI39" i="23"/>
  <c r="AK39" i="23" s="1"/>
  <c r="AF39" i="23"/>
  <c r="AH39" i="23" s="1"/>
  <c r="AE39" i="23"/>
  <c r="AG39" i="23" s="1"/>
  <c r="AB39" i="23"/>
  <c r="AD39" i="23" s="1"/>
  <c r="AA39" i="23"/>
  <c r="AC39" i="23" s="1"/>
  <c r="X39" i="23"/>
  <c r="Z39" i="23" s="1"/>
  <c r="W39" i="23"/>
  <c r="Y39" i="23" s="1"/>
  <c r="T39" i="23"/>
  <c r="V39" i="23" s="1"/>
  <c r="S39" i="23"/>
  <c r="U39" i="23" s="1"/>
  <c r="P39" i="23"/>
  <c r="R39" i="23" s="1"/>
  <c r="O39" i="23"/>
  <c r="Q39" i="23" s="1"/>
  <c r="L39" i="23"/>
  <c r="N39" i="23" s="1"/>
  <c r="K39" i="23"/>
  <c r="M39" i="23" s="1"/>
  <c r="H39" i="23"/>
  <c r="J39" i="23" s="1"/>
  <c r="G39" i="23"/>
  <c r="I39" i="23" s="1"/>
  <c r="E39" i="23"/>
  <c r="D39" i="23"/>
  <c r="C39" i="23"/>
  <c r="AV38" i="23"/>
  <c r="AX38" i="23" s="1"/>
  <c r="AU38" i="23"/>
  <c r="AW38" i="23" s="1"/>
  <c r="AR38" i="23"/>
  <c r="AT38" i="23" s="1"/>
  <c r="AQ38" i="23"/>
  <c r="AS38" i="23" s="1"/>
  <c r="AN38" i="23"/>
  <c r="AP38" i="23" s="1"/>
  <c r="AM38" i="23"/>
  <c r="AO38" i="23" s="1"/>
  <c r="AJ38" i="23"/>
  <c r="AL38" i="23" s="1"/>
  <c r="AI38" i="23"/>
  <c r="AK38" i="23" s="1"/>
  <c r="AF38" i="23"/>
  <c r="AH38" i="23" s="1"/>
  <c r="AE38" i="23"/>
  <c r="AG38" i="23" s="1"/>
  <c r="AB38" i="23"/>
  <c r="AD38" i="23" s="1"/>
  <c r="AA38" i="23"/>
  <c r="AC38" i="23" s="1"/>
  <c r="X38" i="23"/>
  <c r="Z38" i="23" s="1"/>
  <c r="W38" i="23"/>
  <c r="Y38" i="23" s="1"/>
  <c r="T38" i="23"/>
  <c r="V38" i="23" s="1"/>
  <c r="S38" i="23"/>
  <c r="U38" i="23" s="1"/>
  <c r="P38" i="23"/>
  <c r="R38" i="23" s="1"/>
  <c r="O38" i="23"/>
  <c r="Q38" i="23" s="1"/>
  <c r="L38" i="23"/>
  <c r="N38" i="23" s="1"/>
  <c r="K38" i="23"/>
  <c r="M38" i="23" s="1"/>
  <c r="H38" i="23"/>
  <c r="J38" i="23" s="1"/>
  <c r="G38" i="23"/>
  <c r="I38" i="23" s="1"/>
  <c r="E38" i="23"/>
  <c r="D38" i="23"/>
  <c r="C38" i="23"/>
  <c r="AV37" i="23"/>
  <c r="AX37" i="23" s="1"/>
  <c r="AU37" i="23"/>
  <c r="AW37" i="23" s="1"/>
  <c r="AR37" i="23"/>
  <c r="AT37" i="23" s="1"/>
  <c r="AQ37" i="23"/>
  <c r="AS37" i="23" s="1"/>
  <c r="AN37" i="23"/>
  <c r="AP37" i="23" s="1"/>
  <c r="AM37" i="23"/>
  <c r="AO37" i="23" s="1"/>
  <c r="AJ37" i="23"/>
  <c r="AL37" i="23" s="1"/>
  <c r="AI37" i="23"/>
  <c r="AK37" i="23" s="1"/>
  <c r="AF37" i="23"/>
  <c r="AH37" i="23" s="1"/>
  <c r="AE37" i="23"/>
  <c r="AG37" i="23" s="1"/>
  <c r="AB37" i="23"/>
  <c r="AD37" i="23" s="1"/>
  <c r="AA37" i="23"/>
  <c r="AC37" i="23" s="1"/>
  <c r="X37" i="23"/>
  <c r="Z37" i="23" s="1"/>
  <c r="W37" i="23"/>
  <c r="Y37" i="23" s="1"/>
  <c r="T37" i="23"/>
  <c r="V37" i="23" s="1"/>
  <c r="S37" i="23"/>
  <c r="U37" i="23" s="1"/>
  <c r="P37" i="23"/>
  <c r="R37" i="23" s="1"/>
  <c r="O37" i="23"/>
  <c r="Q37" i="23" s="1"/>
  <c r="L37" i="23"/>
  <c r="N37" i="23" s="1"/>
  <c r="K37" i="23"/>
  <c r="M37" i="23" s="1"/>
  <c r="H37" i="23"/>
  <c r="J37" i="23" s="1"/>
  <c r="G37" i="23"/>
  <c r="I37" i="23" s="1"/>
  <c r="E37" i="23"/>
  <c r="D37" i="23"/>
  <c r="C37" i="23"/>
  <c r="AV36" i="23"/>
  <c r="AX36" i="23" s="1"/>
  <c r="AU36" i="23"/>
  <c r="AW36" i="23" s="1"/>
  <c r="AR36" i="23"/>
  <c r="AT36" i="23" s="1"/>
  <c r="AQ36" i="23"/>
  <c r="AS36" i="23" s="1"/>
  <c r="AN36" i="23"/>
  <c r="AP36" i="23" s="1"/>
  <c r="AM36" i="23"/>
  <c r="AO36" i="23" s="1"/>
  <c r="AJ36" i="23"/>
  <c r="AL36" i="23" s="1"/>
  <c r="AI36" i="23"/>
  <c r="AK36" i="23" s="1"/>
  <c r="AF36" i="23"/>
  <c r="AH36" i="23" s="1"/>
  <c r="AE36" i="23"/>
  <c r="AG36" i="23" s="1"/>
  <c r="AB36" i="23"/>
  <c r="AD36" i="23" s="1"/>
  <c r="AA36" i="23"/>
  <c r="AC36" i="23" s="1"/>
  <c r="X36" i="23"/>
  <c r="Z36" i="23" s="1"/>
  <c r="W36" i="23"/>
  <c r="Y36" i="23" s="1"/>
  <c r="T36" i="23"/>
  <c r="V36" i="23" s="1"/>
  <c r="S36" i="23"/>
  <c r="U36" i="23" s="1"/>
  <c r="P36" i="23"/>
  <c r="R36" i="23" s="1"/>
  <c r="O36" i="23"/>
  <c r="Q36" i="23" s="1"/>
  <c r="L36" i="23"/>
  <c r="N36" i="23" s="1"/>
  <c r="K36" i="23"/>
  <c r="M36" i="23" s="1"/>
  <c r="H36" i="23"/>
  <c r="J36" i="23" s="1"/>
  <c r="G36" i="23"/>
  <c r="I36" i="23" s="1"/>
  <c r="E36" i="23"/>
  <c r="D36" i="23"/>
  <c r="C36" i="23"/>
  <c r="AV35" i="23"/>
  <c r="AX35" i="23" s="1"/>
  <c r="AU35" i="23"/>
  <c r="AW35" i="23" s="1"/>
  <c r="AR35" i="23"/>
  <c r="AT35" i="23" s="1"/>
  <c r="AQ35" i="23"/>
  <c r="AS35" i="23" s="1"/>
  <c r="AN35" i="23"/>
  <c r="AP35" i="23" s="1"/>
  <c r="AM35" i="23"/>
  <c r="AO35" i="23" s="1"/>
  <c r="AJ35" i="23"/>
  <c r="AL35" i="23" s="1"/>
  <c r="AI35" i="23"/>
  <c r="AK35" i="23" s="1"/>
  <c r="AF35" i="23"/>
  <c r="AH35" i="23" s="1"/>
  <c r="AE35" i="23"/>
  <c r="AG35" i="23" s="1"/>
  <c r="AB35" i="23"/>
  <c r="AD35" i="23" s="1"/>
  <c r="AA35" i="23"/>
  <c r="AC35" i="23" s="1"/>
  <c r="X35" i="23"/>
  <c r="Z35" i="23" s="1"/>
  <c r="W35" i="23"/>
  <c r="Y35" i="23" s="1"/>
  <c r="T35" i="23"/>
  <c r="V35" i="23" s="1"/>
  <c r="S35" i="23"/>
  <c r="U35" i="23" s="1"/>
  <c r="P35" i="23"/>
  <c r="R35" i="23" s="1"/>
  <c r="O35" i="23"/>
  <c r="Q35" i="23" s="1"/>
  <c r="L35" i="23"/>
  <c r="N35" i="23" s="1"/>
  <c r="K35" i="23"/>
  <c r="M35" i="23" s="1"/>
  <c r="H35" i="23"/>
  <c r="J35" i="23" s="1"/>
  <c r="G35" i="23"/>
  <c r="I35" i="23" s="1"/>
  <c r="E35" i="23"/>
  <c r="D35" i="23"/>
  <c r="C35" i="23"/>
  <c r="AV34" i="23"/>
  <c r="AX34" i="23" s="1"/>
  <c r="AU34" i="23"/>
  <c r="AW34" i="23" s="1"/>
  <c r="AR34" i="23"/>
  <c r="AT34" i="23" s="1"/>
  <c r="AQ34" i="23"/>
  <c r="AS34" i="23" s="1"/>
  <c r="AN34" i="23"/>
  <c r="AP34" i="23" s="1"/>
  <c r="AM34" i="23"/>
  <c r="AO34" i="23" s="1"/>
  <c r="AJ34" i="23"/>
  <c r="AL34" i="23" s="1"/>
  <c r="AI34" i="23"/>
  <c r="AK34" i="23" s="1"/>
  <c r="AF34" i="23"/>
  <c r="AH34" i="23" s="1"/>
  <c r="AE34" i="23"/>
  <c r="AG34" i="23" s="1"/>
  <c r="AB34" i="23"/>
  <c r="AD34" i="23" s="1"/>
  <c r="AA34" i="23"/>
  <c r="AC34" i="23" s="1"/>
  <c r="X34" i="23"/>
  <c r="Z34" i="23" s="1"/>
  <c r="W34" i="23"/>
  <c r="Y34" i="23" s="1"/>
  <c r="T34" i="23"/>
  <c r="V34" i="23" s="1"/>
  <c r="S34" i="23"/>
  <c r="U34" i="23" s="1"/>
  <c r="P34" i="23"/>
  <c r="R34" i="23" s="1"/>
  <c r="O34" i="23"/>
  <c r="Q34" i="23" s="1"/>
  <c r="L34" i="23"/>
  <c r="N34" i="23" s="1"/>
  <c r="K34" i="23"/>
  <c r="M34" i="23" s="1"/>
  <c r="H34" i="23"/>
  <c r="J34" i="23" s="1"/>
  <c r="G34" i="23"/>
  <c r="I34" i="23" s="1"/>
  <c r="E34" i="23"/>
  <c r="D34" i="23"/>
  <c r="C34" i="23"/>
  <c r="AV33" i="23"/>
  <c r="AX33" i="23" s="1"/>
  <c r="AU33" i="23"/>
  <c r="AW33" i="23" s="1"/>
  <c r="AR33" i="23"/>
  <c r="AT33" i="23" s="1"/>
  <c r="AQ33" i="23"/>
  <c r="AS33" i="23" s="1"/>
  <c r="AN33" i="23"/>
  <c r="AP33" i="23" s="1"/>
  <c r="AM33" i="23"/>
  <c r="AO33" i="23" s="1"/>
  <c r="AJ33" i="23"/>
  <c r="AL33" i="23" s="1"/>
  <c r="AI33" i="23"/>
  <c r="AK33" i="23" s="1"/>
  <c r="AF33" i="23"/>
  <c r="AH33" i="23" s="1"/>
  <c r="AE33" i="23"/>
  <c r="AG33" i="23" s="1"/>
  <c r="AB33" i="23"/>
  <c r="AD33" i="23" s="1"/>
  <c r="AA33" i="23"/>
  <c r="AC33" i="23" s="1"/>
  <c r="X33" i="23"/>
  <c r="Z33" i="23" s="1"/>
  <c r="W33" i="23"/>
  <c r="Y33" i="23" s="1"/>
  <c r="T33" i="23"/>
  <c r="V33" i="23" s="1"/>
  <c r="S33" i="23"/>
  <c r="U33" i="23" s="1"/>
  <c r="P33" i="23"/>
  <c r="R33" i="23" s="1"/>
  <c r="O33" i="23"/>
  <c r="Q33" i="23" s="1"/>
  <c r="L33" i="23"/>
  <c r="N33" i="23" s="1"/>
  <c r="K33" i="23"/>
  <c r="M33" i="23" s="1"/>
  <c r="H33" i="23"/>
  <c r="J33" i="23" s="1"/>
  <c r="G33" i="23"/>
  <c r="I33" i="23" s="1"/>
  <c r="E33" i="23"/>
  <c r="D33" i="23"/>
  <c r="C33" i="23"/>
  <c r="AV32" i="23"/>
  <c r="AX32" i="23" s="1"/>
  <c r="AU32" i="23"/>
  <c r="AW32" i="23" s="1"/>
  <c r="AR32" i="23"/>
  <c r="AT32" i="23" s="1"/>
  <c r="AQ32" i="23"/>
  <c r="AS32" i="23" s="1"/>
  <c r="AN32" i="23"/>
  <c r="AP32" i="23" s="1"/>
  <c r="AM32" i="23"/>
  <c r="AO32" i="23" s="1"/>
  <c r="AJ32" i="23"/>
  <c r="AL32" i="23" s="1"/>
  <c r="AI32" i="23"/>
  <c r="AK32" i="23" s="1"/>
  <c r="AF32" i="23"/>
  <c r="AH32" i="23" s="1"/>
  <c r="AE32" i="23"/>
  <c r="AG32" i="23" s="1"/>
  <c r="AB32" i="23"/>
  <c r="AD32" i="23" s="1"/>
  <c r="AA32" i="23"/>
  <c r="AC32" i="23" s="1"/>
  <c r="X32" i="23"/>
  <c r="Z32" i="23" s="1"/>
  <c r="W32" i="23"/>
  <c r="Y32" i="23" s="1"/>
  <c r="T32" i="23"/>
  <c r="V32" i="23" s="1"/>
  <c r="S32" i="23"/>
  <c r="U32" i="23" s="1"/>
  <c r="P32" i="23"/>
  <c r="R32" i="23" s="1"/>
  <c r="O32" i="23"/>
  <c r="Q32" i="23" s="1"/>
  <c r="L32" i="23"/>
  <c r="N32" i="23" s="1"/>
  <c r="K32" i="23"/>
  <c r="M32" i="23" s="1"/>
  <c r="H32" i="23"/>
  <c r="J32" i="23" s="1"/>
  <c r="G32" i="23"/>
  <c r="I32" i="23" s="1"/>
  <c r="E32" i="23"/>
  <c r="D32" i="23"/>
  <c r="C32" i="23"/>
  <c r="AV31" i="23"/>
  <c r="AX31" i="23" s="1"/>
  <c r="AU31" i="23"/>
  <c r="AW31" i="23" s="1"/>
  <c r="AR31" i="23"/>
  <c r="AT31" i="23" s="1"/>
  <c r="AQ31" i="23"/>
  <c r="AS31" i="23" s="1"/>
  <c r="AN31" i="23"/>
  <c r="AP31" i="23" s="1"/>
  <c r="AM31" i="23"/>
  <c r="AO31" i="23" s="1"/>
  <c r="AJ31" i="23"/>
  <c r="AL31" i="23" s="1"/>
  <c r="AI31" i="23"/>
  <c r="AK31" i="23" s="1"/>
  <c r="AF31" i="23"/>
  <c r="AH31" i="23" s="1"/>
  <c r="AE31" i="23"/>
  <c r="AG31" i="23" s="1"/>
  <c r="AB31" i="23"/>
  <c r="AD31" i="23" s="1"/>
  <c r="AA31" i="23"/>
  <c r="AC31" i="23" s="1"/>
  <c r="X31" i="23"/>
  <c r="Z31" i="23" s="1"/>
  <c r="W31" i="23"/>
  <c r="Y31" i="23" s="1"/>
  <c r="T31" i="23"/>
  <c r="V31" i="23" s="1"/>
  <c r="S31" i="23"/>
  <c r="U31" i="23" s="1"/>
  <c r="P31" i="23"/>
  <c r="R31" i="23" s="1"/>
  <c r="O31" i="23"/>
  <c r="Q31" i="23" s="1"/>
  <c r="L31" i="23"/>
  <c r="N31" i="23" s="1"/>
  <c r="K31" i="23"/>
  <c r="M31" i="23" s="1"/>
  <c r="H31" i="23"/>
  <c r="J31" i="23" s="1"/>
  <c r="G31" i="23"/>
  <c r="I31" i="23" s="1"/>
  <c r="E31" i="23"/>
  <c r="D31" i="23"/>
  <c r="C31" i="23"/>
  <c r="AV30" i="23"/>
  <c r="AX30" i="23" s="1"/>
  <c r="AU30" i="23"/>
  <c r="AW30" i="23" s="1"/>
  <c r="AR30" i="23"/>
  <c r="AT30" i="23" s="1"/>
  <c r="AQ30" i="23"/>
  <c r="AS30" i="23" s="1"/>
  <c r="AN30" i="23"/>
  <c r="AP30" i="23" s="1"/>
  <c r="AM30" i="23"/>
  <c r="AO30" i="23" s="1"/>
  <c r="AJ30" i="23"/>
  <c r="AL30" i="23" s="1"/>
  <c r="AI30" i="23"/>
  <c r="AK30" i="23" s="1"/>
  <c r="AF30" i="23"/>
  <c r="AH30" i="23" s="1"/>
  <c r="AE30" i="23"/>
  <c r="AG30" i="23" s="1"/>
  <c r="AB30" i="23"/>
  <c r="AD30" i="23" s="1"/>
  <c r="AA30" i="23"/>
  <c r="AC30" i="23" s="1"/>
  <c r="X30" i="23"/>
  <c r="Z30" i="23" s="1"/>
  <c r="W30" i="23"/>
  <c r="Y30" i="23" s="1"/>
  <c r="T30" i="23"/>
  <c r="V30" i="23" s="1"/>
  <c r="S30" i="23"/>
  <c r="U30" i="23" s="1"/>
  <c r="P30" i="23"/>
  <c r="R30" i="23" s="1"/>
  <c r="O30" i="23"/>
  <c r="Q30" i="23" s="1"/>
  <c r="L30" i="23"/>
  <c r="N30" i="23" s="1"/>
  <c r="K30" i="23"/>
  <c r="M30" i="23" s="1"/>
  <c r="H30" i="23"/>
  <c r="J30" i="23" s="1"/>
  <c r="G30" i="23"/>
  <c r="I30" i="23" s="1"/>
  <c r="E30" i="23"/>
  <c r="D30" i="23"/>
  <c r="C30" i="23"/>
  <c r="AV29" i="23"/>
  <c r="AX29" i="23" s="1"/>
  <c r="AU29" i="23"/>
  <c r="AW29" i="23" s="1"/>
  <c r="AR29" i="23"/>
  <c r="AT29" i="23" s="1"/>
  <c r="AQ29" i="23"/>
  <c r="AS29" i="23" s="1"/>
  <c r="AN29" i="23"/>
  <c r="AP29" i="23" s="1"/>
  <c r="AM29" i="23"/>
  <c r="AO29" i="23" s="1"/>
  <c r="AJ29" i="23"/>
  <c r="AL29" i="23" s="1"/>
  <c r="AI29" i="23"/>
  <c r="AK29" i="23" s="1"/>
  <c r="AF29" i="23"/>
  <c r="AH29" i="23" s="1"/>
  <c r="AE29" i="23"/>
  <c r="AG29" i="23" s="1"/>
  <c r="AB29" i="23"/>
  <c r="AD29" i="23" s="1"/>
  <c r="AA29" i="23"/>
  <c r="AC29" i="23" s="1"/>
  <c r="X29" i="23"/>
  <c r="Z29" i="23" s="1"/>
  <c r="W29" i="23"/>
  <c r="Y29" i="23" s="1"/>
  <c r="T29" i="23"/>
  <c r="V29" i="23" s="1"/>
  <c r="S29" i="23"/>
  <c r="U29" i="23" s="1"/>
  <c r="P29" i="23"/>
  <c r="R29" i="23" s="1"/>
  <c r="O29" i="23"/>
  <c r="Q29" i="23" s="1"/>
  <c r="L29" i="23"/>
  <c r="N29" i="23" s="1"/>
  <c r="K29" i="23"/>
  <c r="M29" i="23" s="1"/>
  <c r="H29" i="23"/>
  <c r="J29" i="23" s="1"/>
  <c r="G29" i="23"/>
  <c r="I29" i="23" s="1"/>
  <c r="E29" i="23"/>
  <c r="D29" i="23"/>
  <c r="C29" i="23"/>
  <c r="AV28" i="23"/>
  <c r="AX28" i="23" s="1"/>
  <c r="AU28" i="23"/>
  <c r="AW28" i="23" s="1"/>
  <c r="AR28" i="23"/>
  <c r="AT28" i="23" s="1"/>
  <c r="AQ28" i="23"/>
  <c r="AS28" i="23" s="1"/>
  <c r="AN28" i="23"/>
  <c r="AP28" i="23" s="1"/>
  <c r="AM28" i="23"/>
  <c r="AO28" i="23" s="1"/>
  <c r="AJ28" i="23"/>
  <c r="AL28" i="23" s="1"/>
  <c r="AI28" i="23"/>
  <c r="AK28" i="23" s="1"/>
  <c r="AF28" i="23"/>
  <c r="AH28" i="23" s="1"/>
  <c r="AE28" i="23"/>
  <c r="AG28" i="23" s="1"/>
  <c r="AB28" i="23"/>
  <c r="AD28" i="23" s="1"/>
  <c r="AA28" i="23"/>
  <c r="AC28" i="23" s="1"/>
  <c r="X28" i="23"/>
  <c r="Z28" i="23" s="1"/>
  <c r="W28" i="23"/>
  <c r="Y28" i="23" s="1"/>
  <c r="T28" i="23"/>
  <c r="V28" i="23" s="1"/>
  <c r="S28" i="23"/>
  <c r="U28" i="23" s="1"/>
  <c r="P28" i="23"/>
  <c r="R28" i="23" s="1"/>
  <c r="O28" i="23"/>
  <c r="Q28" i="23" s="1"/>
  <c r="L28" i="23"/>
  <c r="N28" i="23" s="1"/>
  <c r="K28" i="23"/>
  <c r="M28" i="23" s="1"/>
  <c r="H28" i="23"/>
  <c r="J28" i="23" s="1"/>
  <c r="G28" i="23"/>
  <c r="I28" i="23" s="1"/>
  <c r="E28" i="23"/>
  <c r="D28" i="23"/>
  <c r="C28" i="23"/>
  <c r="AV27" i="23"/>
  <c r="AX27" i="23" s="1"/>
  <c r="AU27" i="23"/>
  <c r="AW27" i="23" s="1"/>
  <c r="AR27" i="23"/>
  <c r="AT27" i="23" s="1"/>
  <c r="AQ27" i="23"/>
  <c r="AS27" i="23" s="1"/>
  <c r="AN27" i="23"/>
  <c r="AP27" i="23" s="1"/>
  <c r="AM27" i="23"/>
  <c r="AO27" i="23" s="1"/>
  <c r="AJ27" i="23"/>
  <c r="AL27" i="23" s="1"/>
  <c r="AI27" i="23"/>
  <c r="AK27" i="23" s="1"/>
  <c r="AF27" i="23"/>
  <c r="AH27" i="23" s="1"/>
  <c r="AE27" i="23"/>
  <c r="AG27" i="23" s="1"/>
  <c r="AB27" i="23"/>
  <c r="AD27" i="23" s="1"/>
  <c r="AA27" i="23"/>
  <c r="AC27" i="23" s="1"/>
  <c r="X27" i="23"/>
  <c r="Z27" i="23" s="1"/>
  <c r="W27" i="23"/>
  <c r="Y27" i="23" s="1"/>
  <c r="T27" i="23"/>
  <c r="V27" i="23" s="1"/>
  <c r="S27" i="23"/>
  <c r="U27" i="23" s="1"/>
  <c r="P27" i="23"/>
  <c r="R27" i="23" s="1"/>
  <c r="O27" i="23"/>
  <c r="Q27" i="23" s="1"/>
  <c r="L27" i="23"/>
  <c r="N27" i="23" s="1"/>
  <c r="K27" i="23"/>
  <c r="M27" i="23" s="1"/>
  <c r="H27" i="23"/>
  <c r="J27" i="23" s="1"/>
  <c r="G27" i="23"/>
  <c r="I27" i="23" s="1"/>
  <c r="E27" i="23"/>
  <c r="D27" i="23"/>
  <c r="C27" i="23"/>
  <c r="AV26" i="23"/>
  <c r="AX26" i="23" s="1"/>
  <c r="AU26" i="23"/>
  <c r="AW26" i="23" s="1"/>
  <c r="AR26" i="23"/>
  <c r="AT26" i="23" s="1"/>
  <c r="AQ26" i="23"/>
  <c r="AS26" i="23" s="1"/>
  <c r="AN26" i="23"/>
  <c r="AP26" i="23" s="1"/>
  <c r="AM26" i="23"/>
  <c r="AO26" i="23" s="1"/>
  <c r="AJ26" i="23"/>
  <c r="AL26" i="23" s="1"/>
  <c r="AI26" i="23"/>
  <c r="AK26" i="23" s="1"/>
  <c r="AF26" i="23"/>
  <c r="AH26" i="23" s="1"/>
  <c r="AE26" i="23"/>
  <c r="AG26" i="23" s="1"/>
  <c r="AB26" i="23"/>
  <c r="AD26" i="23" s="1"/>
  <c r="AA26" i="23"/>
  <c r="AC26" i="23" s="1"/>
  <c r="X26" i="23"/>
  <c r="Z26" i="23" s="1"/>
  <c r="W26" i="23"/>
  <c r="Y26" i="23" s="1"/>
  <c r="T26" i="23"/>
  <c r="V26" i="23" s="1"/>
  <c r="S26" i="23"/>
  <c r="U26" i="23" s="1"/>
  <c r="P26" i="23"/>
  <c r="R26" i="23" s="1"/>
  <c r="O26" i="23"/>
  <c r="Q26" i="23" s="1"/>
  <c r="L26" i="23"/>
  <c r="N26" i="23" s="1"/>
  <c r="K26" i="23"/>
  <c r="M26" i="23" s="1"/>
  <c r="H26" i="23"/>
  <c r="J26" i="23" s="1"/>
  <c r="G26" i="23"/>
  <c r="I26" i="23" s="1"/>
  <c r="E26" i="23"/>
  <c r="D26" i="23"/>
  <c r="C26" i="23"/>
  <c r="AV25" i="23"/>
  <c r="AX25" i="23" s="1"/>
  <c r="AU25" i="23"/>
  <c r="AW25" i="23" s="1"/>
  <c r="AR25" i="23"/>
  <c r="AT25" i="23" s="1"/>
  <c r="AQ25" i="23"/>
  <c r="AS25" i="23" s="1"/>
  <c r="AN25" i="23"/>
  <c r="AP25" i="23" s="1"/>
  <c r="AM25" i="23"/>
  <c r="AO25" i="23" s="1"/>
  <c r="AJ25" i="23"/>
  <c r="AL25" i="23" s="1"/>
  <c r="AI25" i="23"/>
  <c r="AK25" i="23" s="1"/>
  <c r="AF25" i="23"/>
  <c r="AH25" i="23" s="1"/>
  <c r="AE25" i="23"/>
  <c r="AG25" i="23" s="1"/>
  <c r="AB25" i="23"/>
  <c r="AD25" i="23" s="1"/>
  <c r="AA25" i="23"/>
  <c r="AC25" i="23" s="1"/>
  <c r="X25" i="23"/>
  <c r="Z25" i="23" s="1"/>
  <c r="W25" i="23"/>
  <c r="Y25" i="23" s="1"/>
  <c r="T25" i="23"/>
  <c r="V25" i="23" s="1"/>
  <c r="S25" i="23"/>
  <c r="U25" i="23" s="1"/>
  <c r="P25" i="23"/>
  <c r="R25" i="23" s="1"/>
  <c r="O25" i="23"/>
  <c r="Q25" i="23" s="1"/>
  <c r="L25" i="23"/>
  <c r="N25" i="23" s="1"/>
  <c r="K25" i="23"/>
  <c r="M25" i="23" s="1"/>
  <c r="H25" i="23"/>
  <c r="J25" i="23" s="1"/>
  <c r="G25" i="23"/>
  <c r="I25" i="23" s="1"/>
  <c r="E25" i="23"/>
  <c r="D25" i="23"/>
  <c r="C25" i="23"/>
  <c r="AV24" i="23"/>
  <c r="AX24" i="23" s="1"/>
  <c r="AU24" i="23"/>
  <c r="AW24" i="23" s="1"/>
  <c r="AR24" i="23"/>
  <c r="AT24" i="23" s="1"/>
  <c r="AQ24" i="23"/>
  <c r="AS24" i="23" s="1"/>
  <c r="AN24" i="23"/>
  <c r="AP24" i="23" s="1"/>
  <c r="AM24" i="23"/>
  <c r="AO24" i="23" s="1"/>
  <c r="AJ24" i="23"/>
  <c r="AL24" i="23" s="1"/>
  <c r="AI24" i="23"/>
  <c r="AK24" i="23" s="1"/>
  <c r="AF24" i="23"/>
  <c r="AH24" i="23" s="1"/>
  <c r="AE24" i="23"/>
  <c r="AG24" i="23" s="1"/>
  <c r="AB24" i="23"/>
  <c r="AD24" i="23" s="1"/>
  <c r="AA24" i="23"/>
  <c r="AC24" i="23" s="1"/>
  <c r="X24" i="23"/>
  <c r="Z24" i="23" s="1"/>
  <c r="W24" i="23"/>
  <c r="Y24" i="23" s="1"/>
  <c r="T24" i="23"/>
  <c r="V24" i="23" s="1"/>
  <c r="S24" i="23"/>
  <c r="U24" i="23" s="1"/>
  <c r="P24" i="23"/>
  <c r="R24" i="23" s="1"/>
  <c r="O24" i="23"/>
  <c r="Q24" i="23" s="1"/>
  <c r="L24" i="23"/>
  <c r="N24" i="23" s="1"/>
  <c r="K24" i="23"/>
  <c r="M24" i="23" s="1"/>
  <c r="H24" i="23"/>
  <c r="J24" i="23" s="1"/>
  <c r="G24" i="23"/>
  <c r="I24" i="23" s="1"/>
  <c r="E24" i="23"/>
  <c r="D24" i="23"/>
  <c r="C24" i="23"/>
  <c r="AV23" i="23"/>
  <c r="AX23" i="23" s="1"/>
  <c r="AU23" i="23"/>
  <c r="AW23" i="23" s="1"/>
  <c r="AR23" i="23"/>
  <c r="AT23" i="23" s="1"/>
  <c r="AQ23" i="23"/>
  <c r="AS23" i="23" s="1"/>
  <c r="AN23" i="23"/>
  <c r="AP23" i="23" s="1"/>
  <c r="AM23" i="23"/>
  <c r="AO23" i="23" s="1"/>
  <c r="AJ23" i="23"/>
  <c r="AL23" i="23" s="1"/>
  <c r="AI23" i="23"/>
  <c r="AK23" i="23" s="1"/>
  <c r="AF23" i="23"/>
  <c r="AH23" i="23" s="1"/>
  <c r="AE23" i="23"/>
  <c r="AG23" i="23" s="1"/>
  <c r="AB23" i="23"/>
  <c r="AD23" i="23" s="1"/>
  <c r="AA23" i="23"/>
  <c r="AC23" i="23" s="1"/>
  <c r="X23" i="23"/>
  <c r="Z23" i="23" s="1"/>
  <c r="W23" i="23"/>
  <c r="Y23" i="23" s="1"/>
  <c r="T23" i="23"/>
  <c r="V23" i="23" s="1"/>
  <c r="S23" i="23"/>
  <c r="U23" i="23" s="1"/>
  <c r="P23" i="23"/>
  <c r="R23" i="23" s="1"/>
  <c r="O23" i="23"/>
  <c r="Q23" i="23" s="1"/>
  <c r="L23" i="23"/>
  <c r="N23" i="23" s="1"/>
  <c r="K23" i="23"/>
  <c r="M23" i="23" s="1"/>
  <c r="H23" i="23"/>
  <c r="J23" i="23" s="1"/>
  <c r="G23" i="23"/>
  <c r="I23" i="23" s="1"/>
  <c r="E23" i="23"/>
  <c r="D23" i="23"/>
  <c r="C23" i="23"/>
  <c r="AV22" i="23"/>
  <c r="AX22" i="23" s="1"/>
  <c r="AU22" i="23"/>
  <c r="AW22" i="23" s="1"/>
  <c r="AR22" i="23"/>
  <c r="AT22" i="23" s="1"/>
  <c r="AQ22" i="23"/>
  <c r="AS22" i="23" s="1"/>
  <c r="AN22" i="23"/>
  <c r="AP22" i="23" s="1"/>
  <c r="AM22" i="23"/>
  <c r="AO22" i="23" s="1"/>
  <c r="AJ22" i="23"/>
  <c r="AL22" i="23" s="1"/>
  <c r="AI22" i="23"/>
  <c r="AK22" i="23" s="1"/>
  <c r="AF22" i="23"/>
  <c r="AH22" i="23" s="1"/>
  <c r="AE22" i="23"/>
  <c r="AG22" i="23" s="1"/>
  <c r="AB22" i="23"/>
  <c r="AD22" i="23" s="1"/>
  <c r="AA22" i="23"/>
  <c r="AC22" i="23" s="1"/>
  <c r="X22" i="23"/>
  <c r="Z22" i="23" s="1"/>
  <c r="W22" i="23"/>
  <c r="Y22" i="23" s="1"/>
  <c r="T22" i="23"/>
  <c r="V22" i="23" s="1"/>
  <c r="S22" i="23"/>
  <c r="U22" i="23" s="1"/>
  <c r="P22" i="23"/>
  <c r="R22" i="23" s="1"/>
  <c r="O22" i="23"/>
  <c r="Q22" i="23" s="1"/>
  <c r="L22" i="23"/>
  <c r="N22" i="23" s="1"/>
  <c r="K22" i="23"/>
  <c r="M22" i="23" s="1"/>
  <c r="H22" i="23"/>
  <c r="J22" i="23" s="1"/>
  <c r="G22" i="23"/>
  <c r="I22" i="23" s="1"/>
  <c r="E22" i="23"/>
  <c r="D22" i="23"/>
  <c r="C22" i="23"/>
  <c r="AV21" i="23"/>
  <c r="AX21" i="23" s="1"/>
  <c r="AU21" i="23"/>
  <c r="AW21" i="23" s="1"/>
  <c r="AR21" i="23"/>
  <c r="AT21" i="23" s="1"/>
  <c r="AQ21" i="23"/>
  <c r="AS21" i="23" s="1"/>
  <c r="AN21" i="23"/>
  <c r="AP21" i="23" s="1"/>
  <c r="AM21" i="23"/>
  <c r="AO21" i="23" s="1"/>
  <c r="AJ21" i="23"/>
  <c r="AL21" i="23" s="1"/>
  <c r="AI21" i="23"/>
  <c r="AK21" i="23" s="1"/>
  <c r="AF21" i="23"/>
  <c r="AH21" i="23" s="1"/>
  <c r="AE21" i="23"/>
  <c r="AG21" i="23" s="1"/>
  <c r="AB21" i="23"/>
  <c r="AD21" i="23" s="1"/>
  <c r="AA21" i="23"/>
  <c r="AC21" i="23" s="1"/>
  <c r="X21" i="23"/>
  <c r="Z21" i="23" s="1"/>
  <c r="W21" i="23"/>
  <c r="Y21" i="23" s="1"/>
  <c r="T21" i="23"/>
  <c r="V21" i="23" s="1"/>
  <c r="S21" i="23"/>
  <c r="U21" i="23" s="1"/>
  <c r="P21" i="23"/>
  <c r="R21" i="23" s="1"/>
  <c r="O21" i="23"/>
  <c r="Q21" i="23" s="1"/>
  <c r="L21" i="23"/>
  <c r="N21" i="23" s="1"/>
  <c r="K21" i="23"/>
  <c r="M21" i="23" s="1"/>
  <c r="H21" i="23"/>
  <c r="J21" i="23" s="1"/>
  <c r="G21" i="23"/>
  <c r="I21" i="23" s="1"/>
  <c r="E21" i="23"/>
  <c r="D21" i="23"/>
  <c r="C21" i="23"/>
  <c r="AV20" i="23"/>
  <c r="AX20" i="23" s="1"/>
  <c r="AU20" i="23"/>
  <c r="AW20" i="23" s="1"/>
  <c r="AR20" i="23"/>
  <c r="AT20" i="23" s="1"/>
  <c r="AQ20" i="23"/>
  <c r="AS20" i="23" s="1"/>
  <c r="AN20" i="23"/>
  <c r="AP20" i="23" s="1"/>
  <c r="AM20" i="23"/>
  <c r="AO20" i="23" s="1"/>
  <c r="AJ20" i="23"/>
  <c r="AL20" i="23" s="1"/>
  <c r="AI20" i="23"/>
  <c r="AK20" i="23" s="1"/>
  <c r="AF20" i="23"/>
  <c r="AH20" i="23" s="1"/>
  <c r="AE20" i="23"/>
  <c r="AG20" i="23" s="1"/>
  <c r="AB20" i="23"/>
  <c r="AD20" i="23" s="1"/>
  <c r="AA20" i="23"/>
  <c r="AC20" i="23" s="1"/>
  <c r="X20" i="23"/>
  <c r="Z20" i="23" s="1"/>
  <c r="W20" i="23"/>
  <c r="Y20" i="23" s="1"/>
  <c r="T20" i="23"/>
  <c r="V20" i="23" s="1"/>
  <c r="S20" i="23"/>
  <c r="U20" i="23" s="1"/>
  <c r="P20" i="23"/>
  <c r="R20" i="23" s="1"/>
  <c r="O20" i="23"/>
  <c r="Q20" i="23" s="1"/>
  <c r="L20" i="23"/>
  <c r="N20" i="23" s="1"/>
  <c r="K20" i="23"/>
  <c r="M20" i="23" s="1"/>
  <c r="H20" i="23"/>
  <c r="J20" i="23" s="1"/>
  <c r="G20" i="23"/>
  <c r="I20" i="23" s="1"/>
  <c r="E20" i="23"/>
  <c r="D20" i="23"/>
  <c r="C20" i="23"/>
  <c r="AV19" i="23"/>
  <c r="AX19" i="23" s="1"/>
  <c r="AU19" i="23"/>
  <c r="AW19" i="23" s="1"/>
  <c r="AR19" i="23"/>
  <c r="AT19" i="23" s="1"/>
  <c r="AQ19" i="23"/>
  <c r="AS19" i="23" s="1"/>
  <c r="AN19" i="23"/>
  <c r="AP19" i="23" s="1"/>
  <c r="AM19" i="23"/>
  <c r="AO19" i="23" s="1"/>
  <c r="AJ19" i="23"/>
  <c r="AL19" i="23" s="1"/>
  <c r="AI19" i="23"/>
  <c r="AK19" i="23" s="1"/>
  <c r="AF19" i="23"/>
  <c r="AH19" i="23" s="1"/>
  <c r="AE19" i="23"/>
  <c r="AG19" i="23" s="1"/>
  <c r="AB19" i="23"/>
  <c r="AD19" i="23" s="1"/>
  <c r="AA19" i="23"/>
  <c r="AC19" i="23" s="1"/>
  <c r="X19" i="23"/>
  <c r="Z19" i="23" s="1"/>
  <c r="W19" i="23"/>
  <c r="Y19" i="23" s="1"/>
  <c r="T19" i="23"/>
  <c r="V19" i="23" s="1"/>
  <c r="S19" i="23"/>
  <c r="U19" i="23" s="1"/>
  <c r="P19" i="23"/>
  <c r="R19" i="23" s="1"/>
  <c r="O19" i="23"/>
  <c r="Q19" i="23" s="1"/>
  <c r="L19" i="23"/>
  <c r="N19" i="23" s="1"/>
  <c r="K19" i="23"/>
  <c r="M19" i="23" s="1"/>
  <c r="H19" i="23"/>
  <c r="J19" i="23" s="1"/>
  <c r="G19" i="23"/>
  <c r="I19" i="23" s="1"/>
  <c r="E19" i="23"/>
  <c r="D19" i="23"/>
  <c r="C19" i="23"/>
  <c r="AV18" i="23"/>
  <c r="AX18" i="23" s="1"/>
  <c r="AU18" i="23"/>
  <c r="AW18" i="23" s="1"/>
  <c r="AR18" i="23"/>
  <c r="AT18" i="23" s="1"/>
  <c r="AQ18" i="23"/>
  <c r="AS18" i="23" s="1"/>
  <c r="AN18" i="23"/>
  <c r="AP18" i="23" s="1"/>
  <c r="AM18" i="23"/>
  <c r="AO18" i="23" s="1"/>
  <c r="AJ18" i="23"/>
  <c r="AL18" i="23" s="1"/>
  <c r="AI18" i="23"/>
  <c r="AK18" i="23" s="1"/>
  <c r="AF18" i="23"/>
  <c r="AH18" i="23" s="1"/>
  <c r="AE18" i="23"/>
  <c r="AG18" i="23" s="1"/>
  <c r="AB18" i="23"/>
  <c r="AD18" i="23" s="1"/>
  <c r="AA18" i="23"/>
  <c r="AC18" i="23" s="1"/>
  <c r="X18" i="23"/>
  <c r="Z18" i="23" s="1"/>
  <c r="W18" i="23"/>
  <c r="Y18" i="23" s="1"/>
  <c r="T18" i="23"/>
  <c r="V18" i="23" s="1"/>
  <c r="S18" i="23"/>
  <c r="U18" i="23" s="1"/>
  <c r="P18" i="23"/>
  <c r="R18" i="23" s="1"/>
  <c r="O18" i="23"/>
  <c r="Q18" i="23" s="1"/>
  <c r="L18" i="23"/>
  <c r="N18" i="23" s="1"/>
  <c r="K18" i="23"/>
  <c r="M18" i="23" s="1"/>
  <c r="H18" i="23"/>
  <c r="J18" i="23" s="1"/>
  <c r="G18" i="23"/>
  <c r="I18" i="23" s="1"/>
  <c r="E18" i="23"/>
  <c r="D18" i="23"/>
  <c r="C18" i="23"/>
  <c r="AV17" i="23"/>
  <c r="AX17" i="23" s="1"/>
  <c r="AU17" i="23"/>
  <c r="AW17" i="23" s="1"/>
  <c r="AR17" i="23"/>
  <c r="AT17" i="23" s="1"/>
  <c r="AQ17" i="23"/>
  <c r="AS17" i="23" s="1"/>
  <c r="AN17" i="23"/>
  <c r="AP17" i="23" s="1"/>
  <c r="AM17" i="23"/>
  <c r="AO17" i="23" s="1"/>
  <c r="AJ17" i="23"/>
  <c r="AL17" i="23" s="1"/>
  <c r="AI17" i="23"/>
  <c r="AK17" i="23" s="1"/>
  <c r="AF17" i="23"/>
  <c r="AH17" i="23" s="1"/>
  <c r="AE17" i="23"/>
  <c r="AG17" i="23" s="1"/>
  <c r="AB17" i="23"/>
  <c r="AD17" i="23" s="1"/>
  <c r="AA17" i="23"/>
  <c r="AC17" i="23" s="1"/>
  <c r="X17" i="23"/>
  <c r="Z17" i="23" s="1"/>
  <c r="W17" i="23"/>
  <c r="Y17" i="23" s="1"/>
  <c r="T17" i="23"/>
  <c r="V17" i="23" s="1"/>
  <c r="S17" i="23"/>
  <c r="U17" i="23" s="1"/>
  <c r="P17" i="23"/>
  <c r="R17" i="23" s="1"/>
  <c r="O17" i="23"/>
  <c r="Q17" i="23" s="1"/>
  <c r="L17" i="23"/>
  <c r="N17" i="23" s="1"/>
  <c r="K17" i="23"/>
  <c r="M17" i="23" s="1"/>
  <c r="H17" i="23"/>
  <c r="J17" i="23" s="1"/>
  <c r="G17" i="23"/>
  <c r="I17" i="23" s="1"/>
  <c r="E17" i="23"/>
  <c r="D17" i="23"/>
  <c r="C17" i="23"/>
  <c r="AV16" i="23"/>
  <c r="AX16" i="23" s="1"/>
  <c r="AU16" i="23"/>
  <c r="AW16" i="23" s="1"/>
  <c r="AR16" i="23"/>
  <c r="AT16" i="23" s="1"/>
  <c r="AQ16" i="23"/>
  <c r="AS16" i="23" s="1"/>
  <c r="AN16" i="23"/>
  <c r="AP16" i="23" s="1"/>
  <c r="AM16" i="23"/>
  <c r="AO16" i="23" s="1"/>
  <c r="AJ16" i="23"/>
  <c r="AL16" i="23" s="1"/>
  <c r="AI16" i="23"/>
  <c r="AK16" i="23" s="1"/>
  <c r="AF16" i="23"/>
  <c r="AH16" i="23" s="1"/>
  <c r="AE16" i="23"/>
  <c r="AG16" i="23" s="1"/>
  <c r="AB16" i="23"/>
  <c r="AD16" i="23" s="1"/>
  <c r="AA16" i="23"/>
  <c r="AC16" i="23" s="1"/>
  <c r="X16" i="23"/>
  <c r="Z16" i="23" s="1"/>
  <c r="W16" i="23"/>
  <c r="Y16" i="23" s="1"/>
  <c r="T16" i="23"/>
  <c r="V16" i="23" s="1"/>
  <c r="S16" i="23"/>
  <c r="U16" i="23" s="1"/>
  <c r="P16" i="23"/>
  <c r="R16" i="23" s="1"/>
  <c r="O16" i="23"/>
  <c r="Q16" i="23" s="1"/>
  <c r="L16" i="23"/>
  <c r="N16" i="23" s="1"/>
  <c r="K16" i="23"/>
  <c r="M16" i="23" s="1"/>
  <c r="H16" i="23"/>
  <c r="J16" i="23" s="1"/>
  <c r="G16" i="23"/>
  <c r="I16" i="23" s="1"/>
  <c r="E16" i="23"/>
  <c r="D16" i="23"/>
  <c r="C16" i="23"/>
  <c r="AV15" i="23"/>
  <c r="AX15" i="23" s="1"/>
  <c r="AU15" i="23"/>
  <c r="AW15" i="23" s="1"/>
  <c r="AR15" i="23"/>
  <c r="AT15" i="23" s="1"/>
  <c r="AQ15" i="23"/>
  <c r="AS15" i="23" s="1"/>
  <c r="AN15" i="23"/>
  <c r="AP15" i="23" s="1"/>
  <c r="AM15" i="23"/>
  <c r="AO15" i="23" s="1"/>
  <c r="AJ15" i="23"/>
  <c r="AL15" i="23" s="1"/>
  <c r="AI15" i="23"/>
  <c r="AK15" i="23" s="1"/>
  <c r="AF15" i="23"/>
  <c r="AH15" i="23" s="1"/>
  <c r="AE15" i="23"/>
  <c r="AG15" i="23" s="1"/>
  <c r="AB15" i="23"/>
  <c r="AD15" i="23" s="1"/>
  <c r="AA15" i="23"/>
  <c r="AC15" i="23" s="1"/>
  <c r="X15" i="23"/>
  <c r="Z15" i="23" s="1"/>
  <c r="W15" i="23"/>
  <c r="Y15" i="23" s="1"/>
  <c r="T15" i="23"/>
  <c r="V15" i="23" s="1"/>
  <c r="S15" i="23"/>
  <c r="U15" i="23" s="1"/>
  <c r="P15" i="23"/>
  <c r="R15" i="23" s="1"/>
  <c r="O15" i="23"/>
  <c r="Q15" i="23" s="1"/>
  <c r="L15" i="23"/>
  <c r="N15" i="23" s="1"/>
  <c r="K15" i="23"/>
  <c r="M15" i="23" s="1"/>
  <c r="H15" i="23"/>
  <c r="J15" i="23" s="1"/>
  <c r="G15" i="23"/>
  <c r="I15" i="23" s="1"/>
  <c r="E15" i="23"/>
  <c r="D15" i="23"/>
  <c r="C15" i="23"/>
  <c r="AV14" i="23"/>
  <c r="AX14" i="23" s="1"/>
  <c r="AU14" i="23"/>
  <c r="AW14" i="23" s="1"/>
  <c r="AR14" i="23"/>
  <c r="AT14" i="23" s="1"/>
  <c r="AQ14" i="23"/>
  <c r="AS14" i="23" s="1"/>
  <c r="AN14" i="23"/>
  <c r="AP14" i="23" s="1"/>
  <c r="AM14" i="23"/>
  <c r="AO14" i="23" s="1"/>
  <c r="AJ14" i="23"/>
  <c r="AL14" i="23" s="1"/>
  <c r="AI14" i="23"/>
  <c r="AK14" i="23" s="1"/>
  <c r="AF14" i="23"/>
  <c r="AH14" i="23" s="1"/>
  <c r="AE14" i="23"/>
  <c r="AG14" i="23" s="1"/>
  <c r="AB14" i="23"/>
  <c r="AD14" i="23" s="1"/>
  <c r="AA14" i="23"/>
  <c r="AC14" i="23" s="1"/>
  <c r="X14" i="23"/>
  <c r="Z14" i="23" s="1"/>
  <c r="W14" i="23"/>
  <c r="Y14" i="23" s="1"/>
  <c r="T14" i="23"/>
  <c r="V14" i="23" s="1"/>
  <c r="S14" i="23"/>
  <c r="U14" i="23" s="1"/>
  <c r="P14" i="23"/>
  <c r="R14" i="23" s="1"/>
  <c r="O14" i="23"/>
  <c r="Q14" i="23" s="1"/>
  <c r="L14" i="23"/>
  <c r="N14" i="23" s="1"/>
  <c r="K14" i="23"/>
  <c r="M14" i="23" s="1"/>
  <c r="H14" i="23"/>
  <c r="J14" i="23" s="1"/>
  <c r="G14" i="23"/>
  <c r="I14" i="23" s="1"/>
  <c r="E14" i="23"/>
  <c r="D14" i="23"/>
  <c r="C14" i="23"/>
  <c r="AV13" i="23"/>
  <c r="AX13" i="23" s="1"/>
  <c r="AU13" i="23"/>
  <c r="AW13" i="23" s="1"/>
  <c r="AR13" i="23"/>
  <c r="AT13" i="23" s="1"/>
  <c r="AQ13" i="23"/>
  <c r="AS13" i="23" s="1"/>
  <c r="AN13" i="23"/>
  <c r="AP13" i="23" s="1"/>
  <c r="AM13" i="23"/>
  <c r="AO13" i="23" s="1"/>
  <c r="AJ13" i="23"/>
  <c r="AL13" i="23" s="1"/>
  <c r="AI13" i="23"/>
  <c r="AK13" i="23" s="1"/>
  <c r="AF13" i="23"/>
  <c r="AH13" i="23" s="1"/>
  <c r="AE13" i="23"/>
  <c r="AG13" i="23" s="1"/>
  <c r="AB13" i="23"/>
  <c r="AD13" i="23" s="1"/>
  <c r="AA13" i="23"/>
  <c r="AC13" i="23" s="1"/>
  <c r="X13" i="23"/>
  <c r="Z13" i="23" s="1"/>
  <c r="W13" i="23"/>
  <c r="Y13" i="23" s="1"/>
  <c r="T13" i="23"/>
  <c r="V13" i="23" s="1"/>
  <c r="S13" i="23"/>
  <c r="U13" i="23" s="1"/>
  <c r="P13" i="23"/>
  <c r="R13" i="23" s="1"/>
  <c r="O13" i="23"/>
  <c r="Q13" i="23" s="1"/>
  <c r="L13" i="23"/>
  <c r="N13" i="23" s="1"/>
  <c r="K13" i="23"/>
  <c r="M13" i="23" s="1"/>
  <c r="H13" i="23"/>
  <c r="J13" i="23" s="1"/>
  <c r="G13" i="23"/>
  <c r="I13" i="23" s="1"/>
  <c r="E13" i="23"/>
  <c r="D13" i="23"/>
  <c r="C13" i="23"/>
  <c r="AV12" i="23"/>
  <c r="AX12" i="23" s="1"/>
  <c r="AU12" i="23"/>
  <c r="AW12" i="23" s="1"/>
  <c r="AR12" i="23"/>
  <c r="AT12" i="23" s="1"/>
  <c r="AQ12" i="23"/>
  <c r="AS12" i="23" s="1"/>
  <c r="AN12" i="23"/>
  <c r="AP12" i="23" s="1"/>
  <c r="AM12" i="23"/>
  <c r="AO12" i="23" s="1"/>
  <c r="AJ12" i="23"/>
  <c r="AL12" i="23" s="1"/>
  <c r="AI12" i="23"/>
  <c r="AK12" i="23" s="1"/>
  <c r="AF12" i="23"/>
  <c r="AH12" i="23" s="1"/>
  <c r="AE12" i="23"/>
  <c r="AG12" i="23" s="1"/>
  <c r="AB12" i="23"/>
  <c r="AD12" i="23" s="1"/>
  <c r="AA12" i="23"/>
  <c r="AC12" i="23" s="1"/>
  <c r="X12" i="23"/>
  <c r="Z12" i="23" s="1"/>
  <c r="W12" i="23"/>
  <c r="Y12" i="23" s="1"/>
  <c r="T12" i="23"/>
  <c r="V12" i="23" s="1"/>
  <c r="S12" i="23"/>
  <c r="U12" i="23" s="1"/>
  <c r="P12" i="23"/>
  <c r="R12" i="23" s="1"/>
  <c r="O12" i="23"/>
  <c r="Q12" i="23" s="1"/>
  <c r="L12" i="23"/>
  <c r="N12" i="23" s="1"/>
  <c r="K12" i="23"/>
  <c r="M12" i="23" s="1"/>
  <c r="H12" i="23"/>
  <c r="J12" i="23" s="1"/>
  <c r="G12" i="23"/>
  <c r="I12" i="23" s="1"/>
  <c r="E12" i="23"/>
  <c r="D12" i="23"/>
  <c r="C12" i="23"/>
  <c r="AV11" i="23"/>
  <c r="AX11" i="23" s="1"/>
  <c r="AU11" i="23"/>
  <c r="AW11" i="23" s="1"/>
  <c r="AR11" i="23"/>
  <c r="AT11" i="23" s="1"/>
  <c r="AQ11" i="23"/>
  <c r="AS11" i="23" s="1"/>
  <c r="AN11" i="23"/>
  <c r="AP11" i="23" s="1"/>
  <c r="AM11" i="23"/>
  <c r="AO11" i="23" s="1"/>
  <c r="AJ11" i="23"/>
  <c r="AL11" i="23" s="1"/>
  <c r="AI11" i="23"/>
  <c r="AK11" i="23" s="1"/>
  <c r="AF11" i="23"/>
  <c r="AH11" i="23" s="1"/>
  <c r="AE11" i="23"/>
  <c r="AG11" i="23" s="1"/>
  <c r="AB11" i="23"/>
  <c r="AD11" i="23" s="1"/>
  <c r="AA11" i="23"/>
  <c r="AC11" i="23" s="1"/>
  <c r="X11" i="23"/>
  <c r="Z11" i="23" s="1"/>
  <c r="W11" i="23"/>
  <c r="Y11" i="23" s="1"/>
  <c r="T11" i="23"/>
  <c r="V11" i="23" s="1"/>
  <c r="S11" i="23"/>
  <c r="U11" i="23" s="1"/>
  <c r="P11" i="23"/>
  <c r="R11" i="23" s="1"/>
  <c r="O11" i="23"/>
  <c r="Q11" i="23" s="1"/>
  <c r="L11" i="23"/>
  <c r="N11" i="23" s="1"/>
  <c r="K11" i="23"/>
  <c r="M11" i="23" s="1"/>
  <c r="H11" i="23"/>
  <c r="J11" i="23" s="1"/>
  <c r="G11" i="23"/>
  <c r="I11" i="23" s="1"/>
  <c r="E11" i="23"/>
  <c r="D11" i="23"/>
  <c r="C11" i="23"/>
  <c r="AV10" i="23"/>
  <c r="AX10" i="23" s="1"/>
  <c r="AU10" i="23"/>
  <c r="AW10" i="23" s="1"/>
  <c r="AR10" i="23"/>
  <c r="AT10" i="23" s="1"/>
  <c r="AQ10" i="23"/>
  <c r="AS10" i="23" s="1"/>
  <c r="AN10" i="23"/>
  <c r="AP10" i="23" s="1"/>
  <c r="AM10" i="23"/>
  <c r="AO10" i="23" s="1"/>
  <c r="AJ10" i="23"/>
  <c r="AL10" i="23" s="1"/>
  <c r="AI10" i="23"/>
  <c r="AK10" i="23" s="1"/>
  <c r="AF10" i="23"/>
  <c r="AH10" i="23" s="1"/>
  <c r="AE10" i="23"/>
  <c r="AG10" i="23" s="1"/>
  <c r="AB10" i="23"/>
  <c r="AD10" i="23" s="1"/>
  <c r="AA10" i="23"/>
  <c r="AC10" i="23" s="1"/>
  <c r="X10" i="23"/>
  <c r="Z10" i="23" s="1"/>
  <c r="W10" i="23"/>
  <c r="Y10" i="23" s="1"/>
  <c r="T10" i="23"/>
  <c r="V10" i="23" s="1"/>
  <c r="S10" i="23"/>
  <c r="U10" i="23" s="1"/>
  <c r="P10" i="23"/>
  <c r="R10" i="23" s="1"/>
  <c r="O10" i="23"/>
  <c r="Q10" i="23" s="1"/>
  <c r="L10" i="23"/>
  <c r="N10" i="23" s="1"/>
  <c r="K10" i="23"/>
  <c r="M10" i="23" s="1"/>
  <c r="H10" i="23"/>
  <c r="J10" i="23" s="1"/>
  <c r="G10" i="23"/>
  <c r="I10" i="23" s="1"/>
  <c r="E10" i="23"/>
  <c r="D10" i="23"/>
  <c r="C10" i="23"/>
  <c r="AV9" i="23"/>
  <c r="AX9" i="23" s="1"/>
  <c r="AU9" i="23"/>
  <c r="AW9" i="23" s="1"/>
  <c r="AR9" i="23"/>
  <c r="AT9" i="23" s="1"/>
  <c r="AQ9" i="23"/>
  <c r="AS9" i="23" s="1"/>
  <c r="AN9" i="23"/>
  <c r="AP9" i="23" s="1"/>
  <c r="AM9" i="23"/>
  <c r="AO9" i="23" s="1"/>
  <c r="AJ9" i="23"/>
  <c r="AL9" i="23" s="1"/>
  <c r="AI9" i="23"/>
  <c r="AK9" i="23" s="1"/>
  <c r="AF9" i="23"/>
  <c r="AH9" i="23" s="1"/>
  <c r="AE9" i="23"/>
  <c r="AG9" i="23" s="1"/>
  <c r="AB9" i="23"/>
  <c r="AD9" i="23" s="1"/>
  <c r="AA9" i="23"/>
  <c r="AC9" i="23" s="1"/>
  <c r="X9" i="23"/>
  <c r="Z9" i="23" s="1"/>
  <c r="W9" i="23"/>
  <c r="Y9" i="23" s="1"/>
  <c r="T9" i="23"/>
  <c r="V9" i="23" s="1"/>
  <c r="S9" i="23"/>
  <c r="U9" i="23" s="1"/>
  <c r="P9" i="23"/>
  <c r="R9" i="23" s="1"/>
  <c r="O9" i="23"/>
  <c r="Q9" i="23" s="1"/>
  <c r="L9" i="23"/>
  <c r="N9" i="23" s="1"/>
  <c r="K9" i="23"/>
  <c r="M9" i="23" s="1"/>
  <c r="H9" i="23"/>
  <c r="J9" i="23" s="1"/>
  <c r="G9" i="23"/>
  <c r="I9" i="23" s="1"/>
  <c r="E9" i="23"/>
  <c r="D9" i="23"/>
  <c r="C9" i="23"/>
  <c r="AV8" i="23"/>
  <c r="AX8" i="23" s="1"/>
  <c r="AU8" i="23"/>
  <c r="AW8" i="23" s="1"/>
  <c r="AR8" i="23"/>
  <c r="AT8" i="23" s="1"/>
  <c r="AQ8" i="23"/>
  <c r="AS8" i="23" s="1"/>
  <c r="AN8" i="23"/>
  <c r="AP8" i="23" s="1"/>
  <c r="AM8" i="23"/>
  <c r="AO8" i="23" s="1"/>
  <c r="AJ8" i="23"/>
  <c r="AL8" i="23" s="1"/>
  <c r="AI8" i="23"/>
  <c r="AK8" i="23" s="1"/>
  <c r="AF8" i="23"/>
  <c r="AH8" i="23" s="1"/>
  <c r="AE8" i="23"/>
  <c r="AG8" i="23" s="1"/>
  <c r="AB8" i="23"/>
  <c r="AD8" i="23" s="1"/>
  <c r="AA8" i="23"/>
  <c r="AC8" i="23" s="1"/>
  <c r="X8" i="23"/>
  <c r="Z8" i="23" s="1"/>
  <c r="W8" i="23"/>
  <c r="Y8" i="23" s="1"/>
  <c r="T8" i="23"/>
  <c r="V8" i="23" s="1"/>
  <c r="S8" i="23"/>
  <c r="U8" i="23" s="1"/>
  <c r="P8" i="23"/>
  <c r="R8" i="23" s="1"/>
  <c r="O8" i="23"/>
  <c r="Q8" i="23" s="1"/>
  <c r="L8" i="23"/>
  <c r="N8" i="23" s="1"/>
  <c r="K8" i="23"/>
  <c r="M8" i="23" s="1"/>
  <c r="H8" i="23"/>
  <c r="J8" i="23" s="1"/>
  <c r="G8" i="23"/>
  <c r="I8" i="23" s="1"/>
  <c r="E8" i="23"/>
  <c r="D8" i="23"/>
  <c r="C8" i="23"/>
  <c r="AV7" i="23"/>
  <c r="AX7" i="23" s="1"/>
  <c r="AU7" i="23"/>
  <c r="AW7" i="23" s="1"/>
  <c r="AR7" i="23"/>
  <c r="AT7" i="23" s="1"/>
  <c r="AQ7" i="23"/>
  <c r="AS7" i="23" s="1"/>
  <c r="AN7" i="23"/>
  <c r="AP7" i="23" s="1"/>
  <c r="AM7" i="23"/>
  <c r="AO7" i="23" s="1"/>
  <c r="AJ7" i="23"/>
  <c r="AL7" i="23" s="1"/>
  <c r="AI7" i="23"/>
  <c r="AK7" i="23" s="1"/>
  <c r="AF7" i="23"/>
  <c r="AH7" i="23" s="1"/>
  <c r="AE7" i="23"/>
  <c r="AG7" i="23" s="1"/>
  <c r="AB7" i="23"/>
  <c r="AD7" i="23" s="1"/>
  <c r="AA7" i="23"/>
  <c r="AC7" i="23" s="1"/>
  <c r="X7" i="23"/>
  <c r="Z7" i="23" s="1"/>
  <c r="W7" i="23"/>
  <c r="Y7" i="23" s="1"/>
  <c r="T7" i="23"/>
  <c r="V7" i="23" s="1"/>
  <c r="S7" i="23"/>
  <c r="U7" i="23" s="1"/>
  <c r="P7" i="23"/>
  <c r="R7" i="23" s="1"/>
  <c r="O7" i="23"/>
  <c r="Q7" i="23" s="1"/>
  <c r="L7" i="23"/>
  <c r="N7" i="23" s="1"/>
  <c r="K7" i="23"/>
  <c r="M7" i="23" s="1"/>
  <c r="H7" i="23"/>
  <c r="J7" i="23" s="1"/>
  <c r="G7" i="23"/>
  <c r="I7" i="23" s="1"/>
  <c r="E7" i="23"/>
  <c r="D7" i="23"/>
  <c r="C7" i="23"/>
  <c r="AV6" i="23"/>
  <c r="AX6" i="23" s="1"/>
  <c r="AU6" i="23"/>
  <c r="AW6" i="23" s="1"/>
  <c r="AR6" i="23"/>
  <c r="AT6" i="23" s="1"/>
  <c r="AQ6" i="23"/>
  <c r="AS6" i="23" s="1"/>
  <c r="AN6" i="23"/>
  <c r="AP6" i="23" s="1"/>
  <c r="AM6" i="23"/>
  <c r="AO6" i="23" s="1"/>
  <c r="AJ6" i="23"/>
  <c r="AL6" i="23" s="1"/>
  <c r="AI6" i="23"/>
  <c r="AK6" i="23" s="1"/>
  <c r="AF6" i="23"/>
  <c r="AH6" i="23" s="1"/>
  <c r="AE6" i="23"/>
  <c r="AG6" i="23" s="1"/>
  <c r="AB6" i="23"/>
  <c r="AD6" i="23" s="1"/>
  <c r="AA6" i="23"/>
  <c r="AC6" i="23" s="1"/>
  <c r="X6" i="23"/>
  <c r="Z6" i="23" s="1"/>
  <c r="W6" i="23"/>
  <c r="Y6" i="23" s="1"/>
  <c r="T6" i="23"/>
  <c r="V6" i="23" s="1"/>
  <c r="S6" i="23"/>
  <c r="U6" i="23" s="1"/>
  <c r="P6" i="23"/>
  <c r="R6" i="23" s="1"/>
  <c r="O6" i="23"/>
  <c r="Q6" i="23" s="1"/>
  <c r="L6" i="23"/>
  <c r="N6" i="23" s="1"/>
  <c r="K6" i="23"/>
  <c r="M6" i="23" s="1"/>
  <c r="H6" i="23"/>
  <c r="J6" i="23" s="1"/>
  <c r="G6" i="23"/>
  <c r="I6" i="23" s="1"/>
  <c r="E6" i="23"/>
  <c r="D6" i="23"/>
  <c r="C6" i="23"/>
  <c r="AV5" i="23"/>
  <c r="AX5" i="23" s="1"/>
  <c r="AU5" i="23"/>
  <c r="AW5" i="23" s="1"/>
  <c r="AR5" i="23"/>
  <c r="AT5" i="23" s="1"/>
  <c r="AQ5" i="23"/>
  <c r="AS5" i="23" s="1"/>
  <c r="AN5" i="23"/>
  <c r="AP5" i="23" s="1"/>
  <c r="AM5" i="23"/>
  <c r="AO5" i="23" s="1"/>
  <c r="AJ5" i="23"/>
  <c r="AL5" i="23" s="1"/>
  <c r="AI5" i="23"/>
  <c r="AK5" i="23" s="1"/>
  <c r="AF5" i="23"/>
  <c r="AH5" i="23" s="1"/>
  <c r="AE5" i="23"/>
  <c r="AG5" i="23" s="1"/>
  <c r="AB5" i="23"/>
  <c r="AD5" i="23" s="1"/>
  <c r="AA5" i="23"/>
  <c r="AC5" i="23" s="1"/>
  <c r="X5" i="23"/>
  <c r="Z5" i="23" s="1"/>
  <c r="W5" i="23"/>
  <c r="Y5" i="23" s="1"/>
  <c r="T5" i="23"/>
  <c r="V5" i="23" s="1"/>
  <c r="S5" i="23"/>
  <c r="U5" i="23" s="1"/>
  <c r="P5" i="23"/>
  <c r="R5" i="23" s="1"/>
  <c r="O5" i="23"/>
  <c r="Q5" i="23" s="1"/>
  <c r="L5" i="23"/>
  <c r="N5" i="23" s="1"/>
  <c r="K5" i="23"/>
  <c r="M5" i="23" s="1"/>
  <c r="H5" i="23"/>
  <c r="J5" i="23" s="1"/>
  <c r="G5" i="23"/>
  <c r="I5" i="23" s="1"/>
  <c r="E5" i="23"/>
  <c r="D5" i="23"/>
  <c r="C5" i="23"/>
  <c r="AV4" i="23"/>
  <c r="AX4" i="23" s="1"/>
  <c r="AU4" i="23"/>
  <c r="AW4" i="23" s="1"/>
  <c r="AR4" i="23"/>
  <c r="AT4" i="23" s="1"/>
  <c r="AQ4" i="23"/>
  <c r="AS4" i="23" s="1"/>
  <c r="AN4" i="23"/>
  <c r="AP4" i="23" s="1"/>
  <c r="AM4" i="23"/>
  <c r="AO4" i="23" s="1"/>
  <c r="AJ4" i="23"/>
  <c r="AL4" i="23" s="1"/>
  <c r="AI4" i="23"/>
  <c r="AK4" i="23" s="1"/>
  <c r="AF4" i="23"/>
  <c r="AH4" i="23" s="1"/>
  <c r="AE4" i="23"/>
  <c r="AG4" i="23" s="1"/>
  <c r="AB4" i="23"/>
  <c r="AD4" i="23" s="1"/>
  <c r="AA4" i="23"/>
  <c r="AC4" i="23" s="1"/>
  <c r="X4" i="23"/>
  <c r="Z4" i="23" s="1"/>
  <c r="W4" i="23"/>
  <c r="Y4" i="23" s="1"/>
  <c r="T4" i="23"/>
  <c r="V4" i="23" s="1"/>
  <c r="S4" i="23"/>
  <c r="U4" i="23" s="1"/>
  <c r="P4" i="23"/>
  <c r="R4" i="23" s="1"/>
  <c r="O4" i="23"/>
  <c r="Q4" i="23" s="1"/>
  <c r="L4" i="23"/>
  <c r="N4" i="23" s="1"/>
  <c r="K4" i="23"/>
  <c r="M4" i="23" s="1"/>
  <c r="H4" i="23"/>
  <c r="J4" i="23" s="1"/>
  <c r="G4" i="23"/>
  <c r="I4" i="23" s="1"/>
  <c r="E4" i="23"/>
  <c r="D4" i="23"/>
  <c r="C4" i="23"/>
  <c r="AV3" i="23"/>
  <c r="AX3" i="23" s="1"/>
  <c r="AU3" i="23"/>
  <c r="AW3" i="23" s="1"/>
  <c r="AR3" i="23"/>
  <c r="AT3" i="23" s="1"/>
  <c r="AQ3" i="23"/>
  <c r="AS3" i="23" s="1"/>
  <c r="AN3" i="23"/>
  <c r="AP3" i="23" s="1"/>
  <c r="AM3" i="23"/>
  <c r="AO3" i="23" s="1"/>
  <c r="AJ3" i="23"/>
  <c r="AL3" i="23" s="1"/>
  <c r="AI3" i="23"/>
  <c r="AK3" i="23" s="1"/>
  <c r="AF3" i="23"/>
  <c r="AH3" i="23" s="1"/>
  <c r="AE3" i="23"/>
  <c r="AG3" i="23" s="1"/>
  <c r="AB3" i="23"/>
  <c r="AD3" i="23" s="1"/>
  <c r="AA3" i="23"/>
  <c r="AC3" i="23" s="1"/>
  <c r="X3" i="23"/>
  <c r="Z3" i="23" s="1"/>
  <c r="W3" i="23"/>
  <c r="Y3" i="23" s="1"/>
  <c r="T3" i="23"/>
  <c r="V3" i="23" s="1"/>
  <c r="S3" i="23"/>
  <c r="U3" i="23" s="1"/>
  <c r="P3" i="23"/>
  <c r="R3" i="23" s="1"/>
  <c r="O3" i="23"/>
  <c r="Q3" i="23" s="1"/>
  <c r="L3" i="23"/>
  <c r="N3" i="23" s="1"/>
  <c r="K3" i="23"/>
  <c r="M3" i="23" s="1"/>
  <c r="H3" i="23"/>
  <c r="J3" i="23" s="1"/>
  <c r="G3" i="23"/>
  <c r="I3" i="23" s="1"/>
  <c r="E3" i="23"/>
  <c r="D3" i="23"/>
  <c r="C3" i="23"/>
  <c r="AV50" i="22"/>
  <c r="AX50" i="22" s="1"/>
  <c r="AU50" i="22"/>
  <c r="AW50" i="22" s="1"/>
  <c r="AR50" i="22"/>
  <c r="AT50" i="22" s="1"/>
  <c r="AQ50" i="22"/>
  <c r="AS50" i="22" s="1"/>
  <c r="AN50" i="22"/>
  <c r="AP50" i="22" s="1"/>
  <c r="AM50" i="22"/>
  <c r="AO50" i="22" s="1"/>
  <c r="AJ50" i="22"/>
  <c r="AL50" i="22" s="1"/>
  <c r="AI50" i="22"/>
  <c r="AK50" i="22" s="1"/>
  <c r="AF50" i="22"/>
  <c r="AH50" i="22" s="1"/>
  <c r="AE50" i="22"/>
  <c r="AG50" i="22" s="1"/>
  <c r="AB50" i="22"/>
  <c r="AD50" i="22" s="1"/>
  <c r="AA50" i="22"/>
  <c r="AC50" i="22" s="1"/>
  <c r="X50" i="22"/>
  <c r="Z50" i="22" s="1"/>
  <c r="W50" i="22"/>
  <c r="Y50" i="22" s="1"/>
  <c r="T50" i="22"/>
  <c r="V50" i="22" s="1"/>
  <c r="S50" i="22"/>
  <c r="U50" i="22" s="1"/>
  <c r="P50" i="22"/>
  <c r="R50" i="22" s="1"/>
  <c r="O50" i="22"/>
  <c r="Q50" i="22" s="1"/>
  <c r="L50" i="22"/>
  <c r="N50" i="22" s="1"/>
  <c r="K50" i="22"/>
  <c r="M50" i="22" s="1"/>
  <c r="H50" i="22"/>
  <c r="J50" i="22" s="1"/>
  <c r="G50" i="22"/>
  <c r="I50" i="22" s="1"/>
  <c r="E50" i="22"/>
  <c r="D50" i="22"/>
  <c r="C50" i="22"/>
  <c r="AV49" i="22"/>
  <c r="AX49" i="22" s="1"/>
  <c r="AU49" i="22"/>
  <c r="AW49" i="22" s="1"/>
  <c r="AR49" i="22"/>
  <c r="AT49" i="22" s="1"/>
  <c r="AQ49" i="22"/>
  <c r="AS49" i="22" s="1"/>
  <c r="AN49" i="22"/>
  <c r="AP49" i="22" s="1"/>
  <c r="AM49" i="22"/>
  <c r="AO49" i="22" s="1"/>
  <c r="AJ49" i="22"/>
  <c r="AL49" i="22" s="1"/>
  <c r="AI49" i="22"/>
  <c r="AK49" i="22" s="1"/>
  <c r="AF49" i="22"/>
  <c r="AH49" i="22" s="1"/>
  <c r="AE49" i="22"/>
  <c r="AG49" i="22" s="1"/>
  <c r="AB49" i="22"/>
  <c r="AD49" i="22" s="1"/>
  <c r="AA49" i="22"/>
  <c r="AC49" i="22" s="1"/>
  <c r="X49" i="22"/>
  <c r="Z49" i="22" s="1"/>
  <c r="W49" i="22"/>
  <c r="Y49" i="22" s="1"/>
  <c r="T49" i="22"/>
  <c r="V49" i="22" s="1"/>
  <c r="S49" i="22"/>
  <c r="U49" i="22" s="1"/>
  <c r="P49" i="22"/>
  <c r="R49" i="22" s="1"/>
  <c r="O49" i="22"/>
  <c r="Q49" i="22" s="1"/>
  <c r="L49" i="22"/>
  <c r="N49" i="22" s="1"/>
  <c r="K49" i="22"/>
  <c r="M49" i="22" s="1"/>
  <c r="H49" i="22"/>
  <c r="J49" i="22" s="1"/>
  <c r="G49" i="22"/>
  <c r="I49" i="22" s="1"/>
  <c r="E49" i="22"/>
  <c r="D49" i="22"/>
  <c r="C49" i="22"/>
  <c r="AV48" i="22"/>
  <c r="AX48" i="22" s="1"/>
  <c r="AU48" i="22"/>
  <c r="AW48" i="22" s="1"/>
  <c r="AR48" i="22"/>
  <c r="AT48" i="22" s="1"/>
  <c r="AQ48" i="22"/>
  <c r="AS48" i="22" s="1"/>
  <c r="AN48" i="22"/>
  <c r="AP48" i="22" s="1"/>
  <c r="AM48" i="22"/>
  <c r="AO48" i="22" s="1"/>
  <c r="AJ48" i="22"/>
  <c r="AL48" i="22" s="1"/>
  <c r="AI48" i="22"/>
  <c r="AK48" i="22" s="1"/>
  <c r="AF48" i="22"/>
  <c r="AH48" i="22" s="1"/>
  <c r="AE48" i="22"/>
  <c r="AG48" i="22" s="1"/>
  <c r="AB48" i="22"/>
  <c r="AD48" i="22" s="1"/>
  <c r="AA48" i="22"/>
  <c r="AC48" i="22" s="1"/>
  <c r="X48" i="22"/>
  <c r="Z48" i="22" s="1"/>
  <c r="W48" i="22"/>
  <c r="Y48" i="22" s="1"/>
  <c r="T48" i="22"/>
  <c r="V48" i="22" s="1"/>
  <c r="S48" i="22"/>
  <c r="U48" i="22" s="1"/>
  <c r="P48" i="22"/>
  <c r="R48" i="22" s="1"/>
  <c r="O48" i="22"/>
  <c r="Q48" i="22" s="1"/>
  <c r="L48" i="22"/>
  <c r="N48" i="22" s="1"/>
  <c r="K48" i="22"/>
  <c r="M48" i="22" s="1"/>
  <c r="H48" i="22"/>
  <c r="J48" i="22" s="1"/>
  <c r="G48" i="22"/>
  <c r="I48" i="22" s="1"/>
  <c r="E48" i="22"/>
  <c r="D48" i="22"/>
  <c r="C48" i="22"/>
  <c r="AV47" i="22"/>
  <c r="AX47" i="22" s="1"/>
  <c r="AU47" i="22"/>
  <c r="AW47" i="22" s="1"/>
  <c r="AR47" i="22"/>
  <c r="AT47" i="22" s="1"/>
  <c r="AQ47" i="22"/>
  <c r="AS47" i="22" s="1"/>
  <c r="AN47" i="22"/>
  <c r="AP47" i="22" s="1"/>
  <c r="AM47" i="22"/>
  <c r="AO47" i="22" s="1"/>
  <c r="AJ47" i="22"/>
  <c r="AL47" i="22" s="1"/>
  <c r="AI47" i="22"/>
  <c r="AK47" i="22" s="1"/>
  <c r="AF47" i="22"/>
  <c r="AH47" i="22" s="1"/>
  <c r="AE47" i="22"/>
  <c r="AG47" i="22" s="1"/>
  <c r="AB47" i="22"/>
  <c r="AD47" i="22" s="1"/>
  <c r="AA47" i="22"/>
  <c r="AC47" i="22" s="1"/>
  <c r="X47" i="22"/>
  <c r="Z47" i="22" s="1"/>
  <c r="W47" i="22"/>
  <c r="Y47" i="22" s="1"/>
  <c r="T47" i="22"/>
  <c r="V47" i="22" s="1"/>
  <c r="S47" i="22"/>
  <c r="U47" i="22" s="1"/>
  <c r="P47" i="22"/>
  <c r="R47" i="22" s="1"/>
  <c r="O47" i="22"/>
  <c r="Q47" i="22" s="1"/>
  <c r="L47" i="22"/>
  <c r="N47" i="22" s="1"/>
  <c r="K47" i="22"/>
  <c r="M47" i="22" s="1"/>
  <c r="H47" i="22"/>
  <c r="J47" i="22" s="1"/>
  <c r="G47" i="22"/>
  <c r="I47" i="22" s="1"/>
  <c r="E47" i="22"/>
  <c r="D47" i="22"/>
  <c r="C47" i="22"/>
  <c r="AV46" i="22"/>
  <c r="AX46" i="22" s="1"/>
  <c r="AU46" i="22"/>
  <c r="AW46" i="22" s="1"/>
  <c r="AR46" i="22"/>
  <c r="AT46" i="22" s="1"/>
  <c r="AQ46" i="22"/>
  <c r="AS46" i="22" s="1"/>
  <c r="AN46" i="22"/>
  <c r="AP46" i="22" s="1"/>
  <c r="AM46" i="22"/>
  <c r="AO46" i="22" s="1"/>
  <c r="AJ46" i="22"/>
  <c r="AL46" i="22" s="1"/>
  <c r="AI46" i="22"/>
  <c r="AK46" i="22" s="1"/>
  <c r="AF46" i="22"/>
  <c r="AH46" i="22" s="1"/>
  <c r="AE46" i="22"/>
  <c r="AG46" i="22" s="1"/>
  <c r="AB46" i="22"/>
  <c r="AD46" i="22" s="1"/>
  <c r="AA46" i="22"/>
  <c r="AC46" i="22" s="1"/>
  <c r="X46" i="22"/>
  <c r="Z46" i="22" s="1"/>
  <c r="W46" i="22"/>
  <c r="Y46" i="22" s="1"/>
  <c r="T46" i="22"/>
  <c r="V46" i="22" s="1"/>
  <c r="S46" i="22"/>
  <c r="U46" i="22" s="1"/>
  <c r="P46" i="22"/>
  <c r="R46" i="22" s="1"/>
  <c r="O46" i="22"/>
  <c r="Q46" i="22" s="1"/>
  <c r="L46" i="22"/>
  <c r="N46" i="22" s="1"/>
  <c r="K46" i="22"/>
  <c r="M46" i="22" s="1"/>
  <c r="H46" i="22"/>
  <c r="J46" i="22" s="1"/>
  <c r="G46" i="22"/>
  <c r="I46" i="22" s="1"/>
  <c r="E46" i="22"/>
  <c r="D46" i="22"/>
  <c r="C46" i="22"/>
  <c r="AV45" i="22"/>
  <c r="AX45" i="22" s="1"/>
  <c r="AU45" i="22"/>
  <c r="AW45" i="22" s="1"/>
  <c r="AR45" i="22"/>
  <c r="AT45" i="22" s="1"/>
  <c r="AQ45" i="22"/>
  <c r="AS45" i="22" s="1"/>
  <c r="AN45" i="22"/>
  <c r="AP45" i="22" s="1"/>
  <c r="AM45" i="22"/>
  <c r="AO45" i="22" s="1"/>
  <c r="AJ45" i="22"/>
  <c r="AL45" i="22" s="1"/>
  <c r="AI45" i="22"/>
  <c r="AK45" i="22" s="1"/>
  <c r="AF45" i="22"/>
  <c r="AH45" i="22" s="1"/>
  <c r="AE45" i="22"/>
  <c r="AG45" i="22" s="1"/>
  <c r="AB45" i="22"/>
  <c r="AD45" i="22" s="1"/>
  <c r="AA45" i="22"/>
  <c r="AC45" i="22" s="1"/>
  <c r="X45" i="22"/>
  <c r="Z45" i="22" s="1"/>
  <c r="W45" i="22"/>
  <c r="Y45" i="22" s="1"/>
  <c r="T45" i="22"/>
  <c r="V45" i="22" s="1"/>
  <c r="S45" i="22"/>
  <c r="U45" i="22" s="1"/>
  <c r="P45" i="22"/>
  <c r="R45" i="22" s="1"/>
  <c r="O45" i="22"/>
  <c r="Q45" i="22" s="1"/>
  <c r="L45" i="22"/>
  <c r="N45" i="22" s="1"/>
  <c r="K45" i="22"/>
  <c r="M45" i="22" s="1"/>
  <c r="H45" i="22"/>
  <c r="J45" i="22" s="1"/>
  <c r="G45" i="22"/>
  <c r="I45" i="22" s="1"/>
  <c r="E45" i="22"/>
  <c r="D45" i="22"/>
  <c r="C45" i="22"/>
  <c r="AV44" i="22"/>
  <c r="AX44" i="22" s="1"/>
  <c r="AU44" i="22"/>
  <c r="AW44" i="22" s="1"/>
  <c r="AR44" i="22"/>
  <c r="AT44" i="22" s="1"/>
  <c r="AQ44" i="22"/>
  <c r="AS44" i="22" s="1"/>
  <c r="AN44" i="22"/>
  <c r="AP44" i="22" s="1"/>
  <c r="AM44" i="22"/>
  <c r="AO44" i="22" s="1"/>
  <c r="AJ44" i="22"/>
  <c r="AL44" i="22" s="1"/>
  <c r="AI44" i="22"/>
  <c r="AK44" i="22" s="1"/>
  <c r="AF44" i="22"/>
  <c r="AH44" i="22" s="1"/>
  <c r="AE44" i="22"/>
  <c r="AG44" i="22" s="1"/>
  <c r="AB44" i="22"/>
  <c r="AD44" i="22" s="1"/>
  <c r="AA44" i="22"/>
  <c r="AC44" i="22" s="1"/>
  <c r="X44" i="22"/>
  <c r="Z44" i="22" s="1"/>
  <c r="W44" i="22"/>
  <c r="Y44" i="22" s="1"/>
  <c r="T44" i="22"/>
  <c r="V44" i="22" s="1"/>
  <c r="S44" i="22"/>
  <c r="U44" i="22" s="1"/>
  <c r="P44" i="22"/>
  <c r="R44" i="22" s="1"/>
  <c r="O44" i="22"/>
  <c r="Q44" i="22" s="1"/>
  <c r="L44" i="22"/>
  <c r="N44" i="22" s="1"/>
  <c r="K44" i="22"/>
  <c r="M44" i="22" s="1"/>
  <c r="H44" i="22"/>
  <c r="J44" i="22" s="1"/>
  <c r="G44" i="22"/>
  <c r="I44" i="22" s="1"/>
  <c r="E44" i="22"/>
  <c r="D44" i="22"/>
  <c r="C44" i="22"/>
  <c r="AV43" i="22"/>
  <c r="AX43" i="22" s="1"/>
  <c r="AU43" i="22"/>
  <c r="AW43" i="22" s="1"/>
  <c r="AR43" i="22"/>
  <c r="AT43" i="22" s="1"/>
  <c r="AQ43" i="22"/>
  <c r="AS43" i="22" s="1"/>
  <c r="AN43" i="22"/>
  <c r="AP43" i="22" s="1"/>
  <c r="AM43" i="22"/>
  <c r="AO43" i="22" s="1"/>
  <c r="AJ43" i="22"/>
  <c r="AL43" i="22" s="1"/>
  <c r="AI43" i="22"/>
  <c r="AK43" i="22" s="1"/>
  <c r="AF43" i="22"/>
  <c r="AH43" i="22" s="1"/>
  <c r="AE43" i="22"/>
  <c r="AG43" i="22" s="1"/>
  <c r="AB43" i="22"/>
  <c r="AD43" i="22" s="1"/>
  <c r="AA43" i="22"/>
  <c r="AC43" i="22" s="1"/>
  <c r="X43" i="22"/>
  <c r="Z43" i="22" s="1"/>
  <c r="W43" i="22"/>
  <c r="Y43" i="22" s="1"/>
  <c r="T43" i="22"/>
  <c r="V43" i="22" s="1"/>
  <c r="S43" i="22"/>
  <c r="U43" i="22" s="1"/>
  <c r="P43" i="22"/>
  <c r="R43" i="22" s="1"/>
  <c r="O43" i="22"/>
  <c r="Q43" i="22" s="1"/>
  <c r="L43" i="22"/>
  <c r="N43" i="22" s="1"/>
  <c r="K43" i="22"/>
  <c r="M43" i="22" s="1"/>
  <c r="H43" i="22"/>
  <c r="J43" i="22" s="1"/>
  <c r="G43" i="22"/>
  <c r="I43" i="22" s="1"/>
  <c r="E43" i="22"/>
  <c r="D43" i="22"/>
  <c r="C43" i="22"/>
  <c r="AV42" i="22"/>
  <c r="AX42" i="22" s="1"/>
  <c r="AU42" i="22"/>
  <c r="AW42" i="22" s="1"/>
  <c r="AR42" i="22"/>
  <c r="AT42" i="22" s="1"/>
  <c r="AQ42" i="22"/>
  <c r="AS42" i="22" s="1"/>
  <c r="AN42" i="22"/>
  <c r="AP42" i="22" s="1"/>
  <c r="AM42" i="22"/>
  <c r="AO42" i="22" s="1"/>
  <c r="AJ42" i="22"/>
  <c r="AL42" i="22" s="1"/>
  <c r="AI42" i="22"/>
  <c r="AK42" i="22" s="1"/>
  <c r="AF42" i="22"/>
  <c r="AH42" i="22" s="1"/>
  <c r="AE42" i="22"/>
  <c r="AG42" i="22" s="1"/>
  <c r="AB42" i="22"/>
  <c r="AD42" i="22" s="1"/>
  <c r="AA42" i="22"/>
  <c r="AC42" i="22" s="1"/>
  <c r="X42" i="22"/>
  <c r="Z42" i="22" s="1"/>
  <c r="W42" i="22"/>
  <c r="Y42" i="22" s="1"/>
  <c r="T42" i="22"/>
  <c r="V42" i="22" s="1"/>
  <c r="S42" i="22"/>
  <c r="U42" i="22" s="1"/>
  <c r="P42" i="22"/>
  <c r="R42" i="22" s="1"/>
  <c r="O42" i="22"/>
  <c r="Q42" i="22" s="1"/>
  <c r="L42" i="22"/>
  <c r="N42" i="22" s="1"/>
  <c r="K42" i="22"/>
  <c r="M42" i="22" s="1"/>
  <c r="H42" i="22"/>
  <c r="J42" i="22" s="1"/>
  <c r="G42" i="22"/>
  <c r="I42" i="22" s="1"/>
  <c r="E42" i="22"/>
  <c r="D42" i="22"/>
  <c r="C42" i="22"/>
  <c r="AV41" i="22"/>
  <c r="AX41" i="22" s="1"/>
  <c r="AU41" i="22"/>
  <c r="AW41" i="22" s="1"/>
  <c r="AR41" i="22"/>
  <c r="AT41" i="22" s="1"/>
  <c r="AQ41" i="22"/>
  <c r="AS41" i="22" s="1"/>
  <c r="AN41" i="22"/>
  <c r="AP41" i="22" s="1"/>
  <c r="AM41" i="22"/>
  <c r="AO41" i="22" s="1"/>
  <c r="AJ41" i="22"/>
  <c r="AL41" i="22" s="1"/>
  <c r="AI41" i="22"/>
  <c r="AK41" i="22" s="1"/>
  <c r="AF41" i="22"/>
  <c r="AH41" i="22" s="1"/>
  <c r="AE41" i="22"/>
  <c r="AG41" i="22" s="1"/>
  <c r="AB41" i="22"/>
  <c r="AD41" i="22" s="1"/>
  <c r="AA41" i="22"/>
  <c r="AC41" i="22" s="1"/>
  <c r="X41" i="22"/>
  <c r="Z41" i="22" s="1"/>
  <c r="W41" i="22"/>
  <c r="Y41" i="22" s="1"/>
  <c r="T41" i="22"/>
  <c r="V41" i="22" s="1"/>
  <c r="S41" i="22"/>
  <c r="U41" i="22" s="1"/>
  <c r="P41" i="22"/>
  <c r="R41" i="22" s="1"/>
  <c r="O41" i="22"/>
  <c r="Q41" i="22" s="1"/>
  <c r="L41" i="22"/>
  <c r="N41" i="22" s="1"/>
  <c r="K41" i="22"/>
  <c r="M41" i="22" s="1"/>
  <c r="H41" i="22"/>
  <c r="J41" i="22" s="1"/>
  <c r="G41" i="22"/>
  <c r="I41" i="22" s="1"/>
  <c r="E41" i="22"/>
  <c r="D41" i="22"/>
  <c r="C41" i="22"/>
  <c r="AV40" i="22"/>
  <c r="AX40" i="22" s="1"/>
  <c r="AU40" i="22"/>
  <c r="AW40" i="22" s="1"/>
  <c r="AR40" i="22"/>
  <c r="AT40" i="22" s="1"/>
  <c r="AQ40" i="22"/>
  <c r="AS40" i="22" s="1"/>
  <c r="AN40" i="22"/>
  <c r="AP40" i="22" s="1"/>
  <c r="AM40" i="22"/>
  <c r="AO40" i="22" s="1"/>
  <c r="AJ40" i="22"/>
  <c r="AL40" i="22" s="1"/>
  <c r="AI40" i="22"/>
  <c r="AK40" i="22" s="1"/>
  <c r="AF40" i="22"/>
  <c r="AH40" i="22" s="1"/>
  <c r="AE40" i="22"/>
  <c r="AG40" i="22" s="1"/>
  <c r="AB40" i="22"/>
  <c r="AD40" i="22" s="1"/>
  <c r="AA40" i="22"/>
  <c r="AC40" i="22" s="1"/>
  <c r="X40" i="22"/>
  <c r="Z40" i="22" s="1"/>
  <c r="W40" i="22"/>
  <c r="Y40" i="22" s="1"/>
  <c r="T40" i="22"/>
  <c r="V40" i="22" s="1"/>
  <c r="S40" i="22"/>
  <c r="U40" i="22" s="1"/>
  <c r="P40" i="22"/>
  <c r="R40" i="22" s="1"/>
  <c r="O40" i="22"/>
  <c r="Q40" i="22" s="1"/>
  <c r="L40" i="22"/>
  <c r="N40" i="22" s="1"/>
  <c r="K40" i="22"/>
  <c r="M40" i="22" s="1"/>
  <c r="H40" i="22"/>
  <c r="J40" i="22" s="1"/>
  <c r="G40" i="22"/>
  <c r="I40" i="22" s="1"/>
  <c r="E40" i="22"/>
  <c r="D40" i="22"/>
  <c r="C40" i="22"/>
  <c r="AV39" i="22"/>
  <c r="AX39" i="22" s="1"/>
  <c r="AU39" i="22"/>
  <c r="AW39" i="22" s="1"/>
  <c r="AR39" i="22"/>
  <c r="AT39" i="22" s="1"/>
  <c r="AQ39" i="22"/>
  <c r="AS39" i="22" s="1"/>
  <c r="AN39" i="22"/>
  <c r="AP39" i="22" s="1"/>
  <c r="AM39" i="22"/>
  <c r="AO39" i="22" s="1"/>
  <c r="AJ39" i="22"/>
  <c r="AL39" i="22" s="1"/>
  <c r="AI39" i="22"/>
  <c r="AK39" i="22" s="1"/>
  <c r="AF39" i="22"/>
  <c r="AH39" i="22" s="1"/>
  <c r="AE39" i="22"/>
  <c r="AG39" i="22" s="1"/>
  <c r="AB39" i="22"/>
  <c r="AD39" i="22" s="1"/>
  <c r="AA39" i="22"/>
  <c r="AC39" i="22" s="1"/>
  <c r="X39" i="22"/>
  <c r="Z39" i="22" s="1"/>
  <c r="W39" i="22"/>
  <c r="Y39" i="22" s="1"/>
  <c r="T39" i="22"/>
  <c r="V39" i="22" s="1"/>
  <c r="S39" i="22"/>
  <c r="U39" i="22" s="1"/>
  <c r="P39" i="22"/>
  <c r="R39" i="22" s="1"/>
  <c r="O39" i="22"/>
  <c r="Q39" i="22" s="1"/>
  <c r="L39" i="22"/>
  <c r="N39" i="22" s="1"/>
  <c r="K39" i="22"/>
  <c r="M39" i="22" s="1"/>
  <c r="H39" i="22"/>
  <c r="J39" i="22" s="1"/>
  <c r="G39" i="22"/>
  <c r="I39" i="22" s="1"/>
  <c r="E39" i="22"/>
  <c r="D39" i="22"/>
  <c r="C39" i="22"/>
  <c r="AV38" i="22"/>
  <c r="AX38" i="22" s="1"/>
  <c r="AU38" i="22"/>
  <c r="AW38" i="22" s="1"/>
  <c r="AR38" i="22"/>
  <c r="AT38" i="22" s="1"/>
  <c r="AQ38" i="22"/>
  <c r="AS38" i="22" s="1"/>
  <c r="AN38" i="22"/>
  <c r="AP38" i="22" s="1"/>
  <c r="AM38" i="22"/>
  <c r="AO38" i="22" s="1"/>
  <c r="AJ38" i="22"/>
  <c r="AL38" i="22" s="1"/>
  <c r="AI38" i="22"/>
  <c r="AK38" i="22" s="1"/>
  <c r="AF38" i="22"/>
  <c r="AH38" i="22" s="1"/>
  <c r="AE38" i="22"/>
  <c r="AG38" i="22" s="1"/>
  <c r="AB38" i="22"/>
  <c r="AD38" i="22" s="1"/>
  <c r="AA38" i="22"/>
  <c r="AC38" i="22" s="1"/>
  <c r="X38" i="22"/>
  <c r="Z38" i="22" s="1"/>
  <c r="W38" i="22"/>
  <c r="Y38" i="22" s="1"/>
  <c r="T38" i="22"/>
  <c r="V38" i="22" s="1"/>
  <c r="S38" i="22"/>
  <c r="U38" i="22" s="1"/>
  <c r="P38" i="22"/>
  <c r="R38" i="22" s="1"/>
  <c r="O38" i="22"/>
  <c r="Q38" i="22" s="1"/>
  <c r="L38" i="22"/>
  <c r="N38" i="22" s="1"/>
  <c r="K38" i="22"/>
  <c r="M38" i="22" s="1"/>
  <c r="H38" i="22"/>
  <c r="J38" i="22" s="1"/>
  <c r="G38" i="22"/>
  <c r="I38" i="22" s="1"/>
  <c r="E38" i="22"/>
  <c r="D38" i="22"/>
  <c r="C38" i="22"/>
  <c r="AV37" i="22"/>
  <c r="AX37" i="22" s="1"/>
  <c r="AU37" i="22"/>
  <c r="AW37" i="22" s="1"/>
  <c r="AR37" i="22"/>
  <c r="AT37" i="22" s="1"/>
  <c r="AQ37" i="22"/>
  <c r="AS37" i="22" s="1"/>
  <c r="AN37" i="22"/>
  <c r="AP37" i="22" s="1"/>
  <c r="AM37" i="22"/>
  <c r="AO37" i="22" s="1"/>
  <c r="AJ37" i="22"/>
  <c r="AL37" i="22" s="1"/>
  <c r="AI37" i="22"/>
  <c r="AK37" i="22" s="1"/>
  <c r="AF37" i="22"/>
  <c r="AH37" i="22" s="1"/>
  <c r="AE37" i="22"/>
  <c r="AG37" i="22" s="1"/>
  <c r="AB37" i="22"/>
  <c r="AD37" i="22" s="1"/>
  <c r="AA37" i="22"/>
  <c r="AC37" i="22" s="1"/>
  <c r="X37" i="22"/>
  <c r="Z37" i="22" s="1"/>
  <c r="W37" i="22"/>
  <c r="Y37" i="22" s="1"/>
  <c r="T37" i="22"/>
  <c r="V37" i="22" s="1"/>
  <c r="S37" i="22"/>
  <c r="U37" i="22" s="1"/>
  <c r="P37" i="22"/>
  <c r="R37" i="22" s="1"/>
  <c r="O37" i="22"/>
  <c r="Q37" i="22" s="1"/>
  <c r="L37" i="22"/>
  <c r="N37" i="22" s="1"/>
  <c r="K37" i="22"/>
  <c r="M37" i="22" s="1"/>
  <c r="H37" i="22"/>
  <c r="J37" i="22" s="1"/>
  <c r="G37" i="22"/>
  <c r="I37" i="22" s="1"/>
  <c r="E37" i="22"/>
  <c r="D37" i="22"/>
  <c r="C37" i="22"/>
  <c r="AV36" i="22"/>
  <c r="AX36" i="22" s="1"/>
  <c r="AU36" i="22"/>
  <c r="AW36" i="22" s="1"/>
  <c r="AR36" i="22"/>
  <c r="AT36" i="22" s="1"/>
  <c r="AQ36" i="22"/>
  <c r="AS36" i="22" s="1"/>
  <c r="AN36" i="22"/>
  <c r="AP36" i="22" s="1"/>
  <c r="AM36" i="22"/>
  <c r="AO36" i="22" s="1"/>
  <c r="AJ36" i="22"/>
  <c r="AL36" i="22" s="1"/>
  <c r="AI36" i="22"/>
  <c r="AK36" i="22" s="1"/>
  <c r="AF36" i="22"/>
  <c r="AH36" i="22" s="1"/>
  <c r="AE36" i="22"/>
  <c r="AG36" i="22" s="1"/>
  <c r="AB36" i="22"/>
  <c r="AD36" i="22" s="1"/>
  <c r="AA36" i="22"/>
  <c r="AC36" i="22" s="1"/>
  <c r="X36" i="22"/>
  <c r="Z36" i="22" s="1"/>
  <c r="W36" i="22"/>
  <c r="Y36" i="22" s="1"/>
  <c r="T36" i="22"/>
  <c r="V36" i="22" s="1"/>
  <c r="S36" i="22"/>
  <c r="U36" i="22" s="1"/>
  <c r="P36" i="22"/>
  <c r="R36" i="22" s="1"/>
  <c r="O36" i="22"/>
  <c r="Q36" i="22" s="1"/>
  <c r="L36" i="22"/>
  <c r="N36" i="22" s="1"/>
  <c r="K36" i="22"/>
  <c r="M36" i="22" s="1"/>
  <c r="H36" i="22"/>
  <c r="J36" i="22" s="1"/>
  <c r="G36" i="22"/>
  <c r="I36" i="22" s="1"/>
  <c r="E36" i="22"/>
  <c r="D36" i="22"/>
  <c r="C36" i="22"/>
  <c r="AV35" i="22"/>
  <c r="AX35" i="22" s="1"/>
  <c r="AU35" i="22"/>
  <c r="AW35" i="22" s="1"/>
  <c r="AR35" i="22"/>
  <c r="AT35" i="22" s="1"/>
  <c r="AQ35" i="22"/>
  <c r="AS35" i="22" s="1"/>
  <c r="AN35" i="22"/>
  <c r="AP35" i="22" s="1"/>
  <c r="AM35" i="22"/>
  <c r="AO35" i="22" s="1"/>
  <c r="AJ35" i="22"/>
  <c r="AL35" i="22" s="1"/>
  <c r="AI35" i="22"/>
  <c r="AK35" i="22" s="1"/>
  <c r="AF35" i="22"/>
  <c r="AH35" i="22" s="1"/>
  <c r="AE35" i="22"/>
  <c r="AG35" i="22" s="1"/>
  <c r="AB35" i="22"/>
  <c r="AD35" i="22" s="1"/>
  <c r="AA35" i="22"/>
  <c r="AC35" i="22" s="1"/>
  <c r="X35" i="22"/>
  <c r="Z35" i="22" s="1"/>
  <c r="W35" i="22"/>
  <c r="Y35" i="22" s="1"/>
  <c r="T35" i="22"/>
  <c r="V35" i="22" s="1"/>
  <c r="S35" i="22"/>
  <c r="U35" i="22" s="1"/>
  <c r="P35" i="22"/>
  <c r="R35" i="22" s="1"/>
  <c r="O35" i="22"/>
  <c r="Q35" i="22" s="1"/>
  <c r="L35" i="22"/>
  <c r="N35" i="22" s="1"/>
  <c r="K35" i="22"/>
  <c r="M35" i="22" s="1"/>
  <c r="H35" i="22"/>
  <c r="J35" i="22" s="1"/>
  <c r="G35" i="22"/>
  <c r="I35" i="22" s="1"/>
  <c r="E35" i="22"/>
  <c r="D35" i="22"/>
  <c r="C35" i="22"/>
  <c r="AV34" i="22"/>
  <c r="AX34" i="22" s="1"/>
  <c r="AU34" i="22"/>
  <c r="AW34" i="22" s="1"/>
  <c r="AR34" i="22"/>
  <c r="AT34" i="22" s="1"/>
  <c r="AQ34" i="22"/>
  <c r="AS34" i="22" s="1"/>
  <c r="AN34" i="22"/>
  <c r="AP34" i="22" s="1"/>
  <c r="AM34" i="22"/>
  <c r="AO34" i="22" s="1"/>
  <c r="AJ34" i="22"/>
  <c r="AL34" i="22" s="1"/>
  <c r="AI34" i="22"/>
  <c r="AK34" i="22" s="1"/>
  <c r="AF34" i="22"/>
  <c r="AH34" i="22" s="1"/>
  <c r="AE34" i="22"/>
  <c r="AG34" i="22" s="1"/>
  <c r="AB34" i="22"/>
  <c r="AD34" i="22" s="1"/>
  <c r="AA34" i="22"/>
  <c r="AC34" i="22" s="1"/>
  <c r="X34" i="22"/>
  <c r="Z34" i="22" s="1"/>
  <c r="W34" i="22"/>
  <c r="Y34" i="22" s="1"/>
  <c r="T34" i="22"/>
  <c r="V34" i="22" s="1"/>
  <c r="S34" i="22"/>
  <c r="U34" i="22" s="1"/>
  <c r="P34" i="22"/>
  <c r="R34" i="22" s="1"/>
  <c r="O34" i="22"/>
  <c r="Q34" i="22" s="1"/>
  <c r="L34" i="22"/>
  <c r="N34" i="22" s="1"/>
  <c r="K34" i="22"/>
  <c r="M34" i="22" s="1"/>
  <c r="H34" i="22"/>
  <c r="J34" i="22" s="1"/>
  <c r="G34" i="22"/>
  <c r="I34" i="22" s="1"/>
  <c r="E34" i="22"/>
  <c r="D34" i="22"/>
  <c r="C34" i="22"/>
  <c r="AV33" i="22"/>
  <c r="AX33" i="22" s="1"/>
  <c r="AU33" i="22"/>
  <c r="AW33" i="22" s="1"/>
  <c r="AR33" i="22"/>
  <c r="AT33" i="22" s="1"/>
  <c r="AQ33" i="22"/>
  <c r="AS33" i="22" s="1"/>
  <c r="AN33" i="22"/>
  <c r="AP33" i="22" s="1"/>
  <c r="AM33" i="22"/>
  <c r="AO33" i="22" s="1"/>
  <c r="AJ33" i="22"/>
  <c r="AL33" i="22" s="1"/>
  <c r="AI33" i="22"/>
  <c r="AK33" i="22" s="1"/>
  <c r="AF33" i="22"/>
  <c r="AH33" i="22" s="1"/>
  <c r="AE33" i="22"/>
  <c r="AG33" i="22" s="1"/>
  <c r="AB33" i="22"/>
  <c r="AD33" i="22" s="1"/>
  <c r="AA33" i="22"/>
  <c r="AC33" i="22" s="1"/>
  <c r="X33" i="22"/>
  <c r="Z33" i="22" s="1"/>
  <c r="W33" i="22"/>
  <c r="Y33" i="22" s="1"/>
  <c r="T33" i="22"/>
  <c r="V33" i="22" s="1"/>
  <c r="S33" i="22"/>
  <c r="U33" i="22" s="1"/>
  <c r="P33" i="22"/>
  <c r="R33" i="22" s="1"/>
  <c r="O33" i="22"/>
  <c r="Q33" i="22" s="1"/>
  <c r="L33" i="22"/>
  <c r="N33" i="22" s="1"/>
  <c r="K33" i="22"/>
  <c r="M33" i="22" s="1"/>
  <c r="H33" i="22"/>
  <c r="J33" i="22" s="1"/>
  <c r="G33" i="22"/>
  <c r="I33" i="22" s="1"/>
  <c r="E33" i="22"/>
  <c r="D33" i="22"/>
  <c r="C33" i="22"/>
  <c r="AV32" i="22"/>
  <c r="AX32" i="22" s="1"/>
  <c r="AU32" i="22"/>
  <c r="AW32" i="22" s="1"/>
  <c r="AR32" i="22"/>
  <c r="AT32" i="22" s="1"/>
  <c r="AQ32" i="22"/>
  <c r="AS32" i="22" s="1"/>
  <c r="AN32" i="22"/>
  <c r="AP32" i="22" s="1"/>
  <c r="AM32" i="22"/>
  <c r="AO32" i="22" s="1"/>
  <c r="AJ32" i="22"/>
  <c r="AL32" i="22" s="1"/>
  <c r="AI32" i="22"/>
  <c r="AK32" i="22" s="1"/>
  <c r="AF32" i="22"/>
  <c r="AH32" i="22" s="1"/>
  <c r="AE32" i="22"/>
  <c r="AG32" i="22" s="1"/>
  <c r="AB32" i="22"/>
  <c r="AD32" i="22" s="1"/>
  <c r="AA32" i="22"/>
  <c r="AC32" i="22" s="1"/>
  <c r="X32" i="22"/>
  <c r="Z32" i="22" s="1"/>
  <c r="W32" i="22"/>
  <c r="Y32" i="22" s="1"/>
  <c r="T32" i="22"/>
  <c r="V32" i="22" s="1"/>
  <c r="S32" i="22"/>
  <c r="U32" i="22" s="1"/>
  <c r="P32" i="22"/>
  <c r="R32" i="22" s="1"/>
  <c r="O32" i="22"/>
  <c r="Q32" i="22" s="1"/>
  <c r="L32" i="22"/>
  <c r="N32" i="22" s="1"/>
  <c r="K32" i="22"/>
  <c r="M32" i="22" s="1"/>
  <c r="H32" i="22"/>
  <c r="J32" i="22" s="1"/>
  <c r="G32" i="22"/>
  <c r="I32" i="22" s="1"/>
  <c r="E32" i="22"/>
  <c r="D32" i="22"/>
  <c r="C32" i="22"/>
  <c r="AV31" i="22"/>
  <c r="AX31" i="22" s="1"/>
  <c r="AU31" i="22"/>
  <c r="AW31" i="22" s="1"/>
  <c r="AR31" i="22"/>
  <c r="AT31" i="22" s="1"/>
  <c r="AQ31" i="22"/>
  <c r="AS31" i="22" s="1"/>
  <c r="AN31" i="22"/>
  <c r="AP31" i="22" s="1"/>
  <c r="AM31" i="22"/>
  <c r="AO31" i="22" s="1"/>
  <c r="AJ31" i="22"/>
  <c r="AL31" i="22" s="1"/>
  <c r="AI31" i="22"/>
  <c r="AK31" i="22" s="1"/>
  <c r="AF31" i="22"/>
  <c r="AH31" i="22" s="1"/>
  <c r="AE31" i="22"/>
  <c r="AG31" i="22" s="1"/>
  <c r="AB31" i="22"/>
  <c r="AD31" i="22" s="1"/>
  <c r="AA31" i="22"/>
  <c r="AC31" i="22" s="1"/>
  <c r="X31" i="22"/>
  <c r="Z31" i="22" s="1"/>
  <c r="W31" i="22"/>
  <c r="Y31" i="22" s="1"/>
  <c r="T31" i="22"/>
  <c r="V31" i="22" s="1"/>
  <c r="S31" i="22"/>
  <c r="U31" i="22" s="1"/>
  <c r="P31" i="22"/>
  <c r="R31" i="22" s="1"/>
  <c r="O31" i="22"/>
  <c r="Q31" i="22" s="1"/>
  <c r="L31" i="22"/>
  <c r="N31" i="22" s="1"/>
  <c r="K31" i="22"/>
  <c r="M31" i="22" s="1"/>
  <c r="H31" i="22"/>
  <c r="J31" i="22" s="1"/>
  <c r="G31" i="22"/>
  <c r="I31" i="22" s="1"/>
  <c r="E31" i="22"/>
  <c r="D31" i="22"/>
  <c r="C31" i="22"/>
  <c r="AV30" i="22"/>
  <c r="AX30" i="22" s="1"/>
  <c r="AU30" i="22"/>
  <c r="AW30" i="22" s="1"/>
  <c r="AR30" i="22"/>
  <c r="AT30" i="22" s="1"/>
  <c r="AQ30" i="22"/>
  <c r="AS30" i="22" s="1"/>
  <c r="AN30" i="22"/>
  <c r="AP30" i="22" s="1"/>
  <c r="AM30" i="22"/>
  <c r="AO30" i="22" s="1"/>
  <c r="AJ30" i="22"/>
  <c r="AL30" i="22" s="1"/>
  <c r="AI30" i="22"/>
  <c r="AK30" i="22" s="1"/>
  <c r="AF30" i="22"/>
  <c r="AH30" i="22" s="1"/>
  <c r="AE30" i="22"/>
  <c r="AG30" i="22" s="1"/>
  <c r="AB30" i="22"/>
  <c r="AD30" i="22" s="1"/>
  <c r="AA30" i="22"/>
  <c r="AC30" i="22" s="1"/>
  <c r="X30" i="22"/>
  <c r="Z30" i="22" s="1"/>
  <c r="W30" i="22"/>
  <c r="Y30" i="22" s="1"/>
  <c r="T30" i="22"/>
  <c r="V30" i="22" s="1"/>
  <c r="S30" i="22"/>
  <c r="U30" i="22" s="1"/>
  <c r="P30" i="22"/>
  <c r="R30" i="22" s="1"/>
  <c r="O30" i="22"/>
  <c r="Q30" i="22" s="1"/>
  <c r="L30" i="22"/>
  <c r="N30" i="22" s="1"/>
  <c r="K30" i="22"/>
  <c r="M30" i="22" s="1"/>
  <c r="H30" i="22"/>
  <c r="J30" i="22" s="1"/>
  <c r="G30" i="22"/>
  <c r="I30" i="22" s="1"/>
  <c r="E30" i="22"/>
  <c r="D30" i="22"/>
  <c r="C30" i="22"/>
  <c r="AV29" i="22"/>
  <c r="AX29" i="22" s="1"/>
  <c r="AU29" i="22"/>
  <c r="AW29" i="22" s="1"/>
  <c r="AR29" i="22"/>
  <c r="AT29" i="22" s="1"/>
  <c r="AQ29" i="22"/>
  <c r="AS29" i="22" s="1"/>
  <c r="AN29" i="22"/>
  <c r="AP29" i="22" s="1"/>
  <c r="AM29" i="22"/>
  <c r="AO29" i="22" s="1"/>
  <c r="AJ29" i="22"/>
  <c r="AL29" i="22" s="1"/>
  <c r="AI29" i="22"/>
  <c r="AK29" i="22" s="1"/>
  <c r="AF29" i="22"/>
  <c r="AH29" i="22" s="1"/>
  <c r="AE29" i="22"/>
  <c r="AG29" i="22" s="1"/>
  <c r="AB29" i="22"/>
  <c r="AD29" i="22" s="1"/>
  <c r="AA29" i="22"/>
  <c r="AC29" i="22" s="1"/>
  <c r="X29" i="22"/>
  <c r="Z29" i="22" s="1"/>
  <c r="W29" i="22"/>
  <c r="Y29" i="22" s="1"/>
  <c r="T29" i="22"/>
  <c r="V29" i="22" s="1"/>
  <c r="S29" i="22"/>
  <c r="U29" i="22" s="1"/>
  <c r="P29" i="22"/>
  <c r="R29" i="22" s="1"/>
  <c r="O29" i="22"/>
  <c r="Q29" i="22" s="1"/>
  <c r="L29" i="22"/>
  <c r="N29" i="22" s="1"/>
  <c r="K29" i="22"/>
  <c r="M29" i="22" s="1"/>
  <c r="H29" i="22"/>
  <c r="J29" i="22" s="1"/>
  <c r="G29" i="22"/>
  <c r="I29" i="22" s="1"/>
  <c r="E29" i="22"/>
  <c r="D29" i="22"/>
  <c r="C29" i="22"/>
  <c r="AV28" i="22"/>
  <c r="AX28" i="22" s="1"/>
  <c r="AU28" i="22"/>
  <c r="AW28" i="22" s="1"/>
  <c r="AR28" i="22"/>
  <c r="AT28" i="22" s="1"/>
  <c r="AQ28" i="22"/>
  <c r="AS28" i="22" s="1"/>
  <c r="AN28" i="22"/>
  <c r="AP28" i="22" s="1"/>
  <c r="AM28" i="22"/>
  <c r="AO28" i="22" s="1"/>
  <c r="AJ28" i="22"/>
  <c r="AL28" i="22" s="1"/>
  <c r="AI28" i="22"/>
  <c r="AK28" i="22" s="1"/>
  <c r="AF28" i="22"/>
  <c r="AH28" i="22" s="1"/>
  <c r="AE28" i="22"/>
  <c r="AG28" i="22" s="1"/>
  <c r="AB28" i="22"/>
  <c r="AD28" i="22" s="1"/>
  <c r="AA28" i="22"/>
  <c r="AC28" i="22" s="1"/>
  <c r="X28" i="22"/>
  <c r="Z28" i="22" s="1"/>
  <c r="W28" i="22"/>
  <c r="Y28" i="22" s="1"/>
  <c r="T28" i="22"/>
  <c r="V28" i="22" s="1"/>
  <c r="S28" i="22"/>
  <c r="U28" i="22" s="1"/>
  <c r="P28" i="22"/>
  <c r="R28" i="22" s="1"/>
  <c r="O28" i="22"/>
  <c r="Q28" i="22" s="1"/>
  <c r="L28" i="22"/>
  <c r="N28" i="22" s="1"/>
  <c r="K28" i="22"/>
  <c r="M28" i="22" s="1"/>
  <c r="H28" i="22"/>
  <c r="J28" i="22" s="1"/>
  <c r="G28" i="22"/>
  <c r="I28" i="22" s="1"/>
  <c r="E28" i="22"/>
  <c r="D28" i="22"/>
  <c r="C28" i="22"/>
  <c r="AV27" i="22"/>
  <c r="AX27" i="22" s="1"/>
  <c r="AU27" i="22"/>
  <c r="AW27" i="22" s="1"/>
  <c r="AR27" i="22"/>
  <c r="AT27" i="22" s="1"/>
  <c r="AQ27" i="22"/>
  <c r="AS27" i="22" s="1"/>
  <c r="AN27" i="22"/>
  <c r="AP27" i="22" s="1"/>
  <c r="AM27" i="22"/>
  <c r="AO27" i="22" s="1"/>
  <c r="AJ27" i="22"/>
  <c r="AL27" i="22" s="1"/>
  <c r="AI27" i="22"/>
  <c r="AK27" i="22" s="1"/>
  <c r="AF27" i="22"/>
  <c r="AH27" i="22" s="1"/>
  <c r="AE27" i="22"/>
  <c r="AG27" i="22" s="1"/>
  <c r="AB27" i="22"/>
  <c r="AD27" i="22" s="1"/>
  <c r="AA27" i="22"/>
  <c r="AC27" i="22" s="1"/>
  <c r="X27" i="22"/>
  <c r="Z27" i="22" s="1"/>
  <c r="W27" i="22"/>
  <c r="Y27" i="22" s="1"/>
  <c r="T27" i="22"/>
  <c r="V27" i="22" s="1"/>
  <c r="S27" i="22"/>
  <c r="U27" i="22" s="1"/>
  <c r="P27" i="22"/>
  <c r="R27" i="22" s="1"/>
  <c r="O27" i="22"/>
  <c r="Q27" i="22" s="1"/>
  <c r="L27" i="22"/>
  <c r="N27" i="22" s="1"/>
  <c r="K27" i="22"/>
  <c r="M27" i="22" s="1"/>
  <c r="H27" i="22"/>
  <c r="J27" i="22" s="1"/>
  <c r="G27" i="22"/>
  <c r="I27" i="22" s="1"/>
  <c r="E27" i="22"/>
  <c r="D27" i="22"/>
  <c r="C27" i="22"/>
  <c r="AV26" i="22"/>
  <c r="AX26" i="22" s="1"/>
  <c r="AU26" i="22"/>
  <c r="AW26" i="22" s="1"/>
  <c r="AR26" i="22"/>
  <c r="AT26" i="22" s="1"/>
  <c r="AQ26" i="22"/>
  <c r="AS26" i="22" s="1"/>
  <c r="AN26" i="22"/>
  <c r="AP26" i="22" s="1"/>
  <c r="AM26" i="22"/>
  <c r="AO26" i="22" s="1"/>
  <c r="AJ26" i="22"/>
  <c r="AL26" i="22" s="1"/>
  <c r="AI26" i="22"/>
  <c r="AK26" i="22" s="1"/>
  <c r="AF26" i="22"/>
  <c r="AH26" i="22" s="1"/>
  <c r="AE26" i="22"/>
  <c r="AG26" i="22" s="1"/>
  <c r="AB26" i="22"/>
  <c r="AD26" i="22" s="1"/>
  <c r="AA26" i="22"/>
  <c r="AC26" i="22" s="1"/>
  <c r="X26" i="22"/>
  <c r="Z26" i="22" s="1"/>
  <c r="W26" i="22"/>
  <c r="Y26" i="22" s="1"/>
  <c r="T26" i="22"/>
  <c r="V26" i="22" s="1"/>
  <c r="S26" i="22"/>
  <c r="U26" i="22" s="1"/>
  <c r="P26" i="22"/>
  <c r="R26" i="22" s="1"/>
  <c r="O26" i="22"/>
  <c r="Q26" i="22" s="1"/>
  <c r="L26" i="22"/>
  <c r="N26" i="22" s="1"/>
  <c r="K26" i="22"/>
  <c r="M26" i="22" s="1"/>
  <c r="H26" i="22"/>
  <c r="J26" i="22" s="1"/>
  <c r="G26" i="22"/>
  <c r="I26" i="22" s="1"/>
  <c r="E26" i="22"/>
  <c r="D26" i="22"/>
  <c r="C26" i="22"/>
  <c r="AV25" i="22"/>
  <c r="AX25" i="22" s="1"/>
  <c r="AU25" i="22"/>
  <c r="AW25" i="22" s="1"/>
  <c r="AR25" i="22"/>
  <c r="AT25" i="22" s="1"/>
  <c r="AQ25" i="22"/>
  <c r="AS25" i="22" s="1"/>
  <c r="AN25" i="22"/>
  <c r="AP25" i="22" s="1"/>
  <c r="AM25" i="22"/>
  <c r="AO25" i="22" s="1"/>
  <c r="AJ25" i="22"/>
  <c r="AL25" i="22" s="1"/>
  <c r="AI25" i="22"/>
  <c r="AK25" i="22" s="1"/>
  <c r="AF25" i="22"/>
  <c r="AH25" i="22" s="1"/>
  <c r="AE25" i="22"/>
  <c r="AG25" i="22" s="1"/>
  <c r="AB25" i="22"/>
  <c r="AD25" i="22" s="1"/>
  <c r="AA25" i="22"/>
  <c r="AC25" i="22" s="1"/>
  <c r="X25" i="22"/>
  <c r="Z25" i="22" s="1"/>
  <c r="W25" i="22"/>
  <c r="Y25" i="22" s="1"/>
  <c r="T25" i="22"/>
  <c r="V25" i="22" s="1"/>
  <c r="S25" i="22"/>
  <c r="U25" i="22" s="1"/>
  <c r="P25" i="22"/>
  <c r="R25" i="22" s="1"/>
  <c r="O25" i="22"/>
  <c r="Q25" i="22" s="1"/>
  <c r="L25" i="22"/>
  <c r="N25" i="22" s="1"/>
  <c r="K25" i="22"/>
  <c r="M25" i="22" s="1"/>
  <c r="H25" i="22"/>
  <c r="J25" i="22" s="1"/>
  <c r="G25" i="22"/>
  <c r="I25" i="22" s="1"/>
  <c r="E25" i="22"/>
  <c r="D25" i="22"/>
  <c r="C25" i="22"/>
  <c r="AV24" i="22"/>
  <c r="AX24" i="22" s="1"/>
  <c r="AU24" i="22"/>
  <c r="AW24" i="22" s="1"/>
  <c r="AR24" i="22"/>
  <c r="AT24" i="22" s="1"/>
  <c r="AQ24" i="22"/>
  <c r="AS24" i="22" s="1"/>
  <c r="AN24" i="22"/>
  <c r="AP24" i="22" s="1"/>
  <c r="AM24" i="22"/>
  <c r="AO24" i="22" s="1"/>
  <c r="AJ24" i="22"/>
  <c r="AL24" i="22" s="1"/>
  <c r="AI24" i="22"/>
  <c r="AK24" i="22" s="1"/>
  <c r="AF24" i="22"/>
  <c r="AH24" i="22" s="1"/>
  <c r="AE24" i="22"/>
  <c r="AG24" i="22" s="1"/>
  <c r="AB24" i="22"/>
  <c r="AD24" i="22" s="1"/>
  <c r="AA24" i="22"/>
  <c r="AC24" i="22" s="1"/>
  <c r="X24" i="22"/>
  <c r="Z24" i="22" s="1"/>
  <c r="W24" i="22"/>
  <c r="Y24" i="22" s="1"/>
  <c r="T24" i="22"/>
  <c r="V24" i="22" s="1"/>
  <c r="S24" i="22"/>
  <c r="U24" i="22" s="1"/>
  <c r="P24" i="22"/>
  <c r="R24" i="22" s="1"/>
  <c r="O24" i="22"/>
  <c r="Q24" i="22" s="1"/>
  <c r="L24" i="22"/>
  <c r="N24" i="22" s="1"/>
  <c r="K24" i="22"/>
  <c r="M24" i="22" s="1"/>
  <c r="H24" i="22"/>
  <c r="J24" i="22" s="1"/>
  <c r="G24" i="22"/>
  <c r="I24" i="22" s="1"/>
  <c r="E24" i="22"/>
  <c r="D24" i="22"/>
  <c r="C24" i="22"/>
  <c r="AV23" i="22"/>
  <c r="AX23" i="22" s="1"/>
  <c r="AU23" i="22"/>
  <c r="AW23" i="22" s="1"/>
  <c r="AR23" i="22"/>
  <c r="AT23" i="22" s="1"/>
  <c r="AQ23" i="22"/>
  <c r="AS23" i="22" s="1"/>
  <c r="AN23" i="22"/>
  <c r="AP23" i="22" s="1"/>
  <c r="AM23" i="22"/>
  <c r="AO23" i="22" s="1"/>
  <c r="AJ23" i="22"/>
  <c r="AL23" i="22" s="1"/>
  <c r="AI23" i="22"/>
  <c r="AK23" i="22" s="1"/>
  <c r="AF23" i="22"/>
  <c r="AH23" i="22" s="1"/>
  <c r="AE23" i="22"/>
  <c r="AG23" i="22" s="1"/>
  <c r="AB23" i="22"/>
  <c r="AD23" i="22" s="1"/>
  <c r="AA23" i="22"/>
  <c r="AC23" i="22" s="1"/>
  <c r="X23" i="22"/>
  <c r="Z23" i="22" s="1"/>
  <c r="W23" i="22"/>
  <c r="Y23" i="22" s="1"/>
  <c r="T23" i="22"/>
  <c r="V23" i="22" s="1"/>
  <c r="S23" i="22"/>
  <c r="U23" i="22" s="1"/>
  <c r="P23" i="22"/>
  <c r="R23" i="22" s="1"/>
  <c r="O23" i="22"/>
  <c r="Q23" i="22" s="1"/>
  <c r="L23" i="22"/>
  <c r="N23" i="22" s="1"/>
  <c r="K23" i="22"/>
  <c r="M23" i="22" s="1"/>
  <c r="H23" i="22"/>
  <c r="J23" i="22" s="1"/>
  <c r="G23" i="22"/>
  <c r="I23" i="22" s="1"/>
  <c r="E23" i="22"/>
  <c r="D23" i="22"/>
  <c r="C23" i="22"/>
  <c r="AV22" i="22"/>
  <c r="AX22" i="22" s="1"/>
  <c r="AU22" i="22"/>
  <c r="AW22" i="22" s="1"/>
  <c r="AR22" i="22"/>
  <c r="AT22" i="22" s="1"/>
  <c r="AQ22" i="22"/>
  <c r="AS22" i="22" s="1"/>
  <c r="AN22" i="22"/>
  <c r="AP22" i="22" s="1"/>
  <c r="AM22" i="22"/>
  <c r="AO22" i="22" s="1"/>
  <c r="AJ22" i="22"/>
  <c r="AL22" i="22" s="1"/>
  <c r="AI22" i="22"/>
  <c r="AK22" i="22" s="1"/>
  <c r="AF22" i="22"/>
  <c r="AH22" i="22" s="1"/>
  <c r="AE22" i="22"/>
  <c r="AG22" i="22" s="1"/>
  <c r="AB22" i="22"/>
  <c r="AD22" i="22" s="1"/>
  <c r="AA22" i="22"/>
  <c r="AC22" i="22" s="1"/>
  <c r="X22" i="22"/>
  <c r="Z22" i="22" s="1"/>
  <c r="W22" i="22"/>
  <c r="Y22" i="22" s="1"/>
  <c r="T22" i="22"/>
  <c r="V22" i="22" s="1"/>
  <c r="S22" i="22"/>
  <c r="U22" i="22" s="1"/>
  <c r="P22" i="22"/>
  <c r="R22" i="22" s="1"/>
  <c r="O22" i="22"/>
  <c r="Q22" i="22" s="1"/>
  <c r="L22" i="22"/>
  <c r="N22" i="22" s="1"/>
  <c r="K22" i="22"/>
  <c r="M22" i="22" s="1"/>
  <c r="H22" i="22"/>
  <c r="J22" i="22" s="1"/>
  <c r="G22" i="22"/>
  <c r="I22" i="22" s="1"/>
  <c r="E22" i="22"/>
  <c r="D22" i="22"/>
  <c r="C22" i="22"/>
  <c r="AV21" i="22"/>
  <c r="AX21" i="22" s="1"/>
  <c r="AU21" i="22"/>
  <c r="AW21" i="22" s="1"/>
  <c r="AR21" i="22"/>
  <c r="AT21" i="22" s="1"/>
  <c r="AQ21" i="22"/>
  <c r="AS21" i="22" s="1"/>
  <c r="AN21" i="22"/>
  <c r="AP21" i="22" s="1"/>
  <c r="AM21" i="22"/>
  <c r="AO21" i="22" s="1"/>
  <c r="AJ21" i="22"/>
  <c r="AL21" i="22" s="1"/>
  <c r="AI21" i="22"/>
  <c r="AK21" i="22" s="1"/>
  <c r="AF21" i="22"/>
  <c r="AH21" i="22" s="1"/>
  <c r="AE21" i="22"/>
  <c r="AG21" i="22" s="1"/>
  <c r="AB21" i="22"/>
  <c r="AD21" i="22" s="1"/>
  <c r="AA21" i="22"/>
  <c r="AC21" i="22" s="1"/>
  <c r="X21" i="22"/>
  <c r="Z21" i="22" s="1"/>
  <c r="W21" i="22"/>
  <c r="Y21" i="22" s="1"/>
  <c r="T21" i="22"/>
  <c r="V21" i="22" s="1"/>
  <c r="S21" i="22"/>
  <c r="U21" i="22" s="1"/>
  <c r="P21" i="22"/>
  <c r="R21" i="22" s="1"/>
  <c r="O21" i="22"/>
  <c r="Q21" i="22" s="1"/>
  <c r="L21" i="22"/>
  <c r="N21" i="22" s="1"/>
  <c r="K21" i="22"/>
  <c r="M21" i="22" s="1"/>
  <c r="H21" i="22"/>
  <c r="J21" i="22" s="1"/>
  <c r="G21" i="22"/>
  <c r="I21" i="22" s="1"/>
  <c r="E21" i="22"/>
  <c r="D21" i="22"/>
  <c r="C21" i="22"/>
  <c r="AV20" i="22"/>
  <c r="AX20" i="22" s="1"/>
  <c r="AU20" i="22"/>
  <c r="AW20" i="22" s="1"/>
  <c r="AR20" i="22"/>
  <c r="AT20" i="22" s="1"/>
  <c r="AQ20" i="22"/>
  <c r="AS20" i="22" s="1"/>
  <c r="AN20" i="22"/>
  <c r="AP20" i="22" s="1"/>
  <c r="AM20" i="22"/>
  <c r="AO20" i="22" s="1"/>
  <c r="AJ20" i="22"/>
  <c r="AL20" i="22" s="1"/>
  <c r="AI20" i="22"/>
  <c r="AK20" i="22" s="1"/>
  <c r="AF20" i="22"/>
  <c r="AH20" i="22" s="1"/>
  <c r="AE20" i="22"/>
  <c r="AG20" i="22" s="1"/>
  <c r="AB20" i="22"/>
  <c r="AD20" i="22" s="1"/>
  <c r="AA20" i="22"/>
  <c r="AC20" i="22" s="1"/>
  <c r="X20" i="22"/>
  <c r="Z20" i="22" s="1"/>
  <c r="W20" i="22"/>
  <c r="Y20" i="22" s="1"/>
  <c r="T20" i="22"/>
  <c r="V20" i="22" s="1"/>
  <c r="S20" i="22"/>
  <c r="U20" i="22" s="1"/>
  <c r="P20" i="22"/>
  <c r="R20" i="22" s="1"/>
  <c r="O20" i="22"/>
  <c r="Q20" i="22" s="1"/>
  <c r="L20" i="22"/>
  <c r="N20" i="22" s="1"/>
  <c r="K20" i="22"/>
  <c r="M20" i="22" s="1"/>
  <c r="H20" i="22"/>
  <c r="J20" i="22" s="1"/>
  <c r="G20" i="22"/>
  <c r="I20" i="22" s="1"/>
  <c r="E20" i="22"/>
  <c r="D20" i="22"/>
  <c r="C20" i="22"/>
  <c r="AV19" i="22"/>
  <c r="AX19" i="22" s="1"/>
  <c r="AU19" i="22"/>
  <c r="AW19" i="22" s="1"/>
  <c r="AR19" i="22"/>
  <c r="AT19" i="22" s="1"/>
  <c r="AQ19" i="22"/>
  <c r="AS19" i="22" s="1"/>
  <c r="AN19" i="22"/>
  <c r="AP19" i="22" s="1"/>
  <c r="AM19" i="22"/>
  <c r="AO19" i="22" s="1"/>
  <c r="AJ19" i="22"/>
  <c r="AL19" i="22" s="1"/>
  <c r="AI19" i="22"/>
  <c r="AK19" i="22" s="1"/>
  <c r="AF19" i="22"/>
  <c r="AH19" i="22" s="1"/>
  <c r="AE19" i="22"/>
  <c r="AG19" i="22" s="1"/>
  <c r="AB19" i="22"/>
  <c r="AD19" i="22" s="1"/>
  <c r="AA19" i="22"/>
  <c r="AC19" i="22" s="1"/>
  <c r="X19" i="22"/>
  <c r="Z19" i="22" s="1"/>
  <c r="W19" i="22"/>
  <c r="Y19" i="22" s="1"/>
  <c r="T19" i="22"/>
  <c r="V19" i="22" s="1"/>
  <c r="S19" i="22"/>
  <c r="U19" i="22" s="1"/>
  <c r="P19" i="22"/>
  <c r="R19" i="22" s="1"/>
  <c r="O19" i="22"/>
  <c r="Q19" i="22" s="1"/>
  <c r="L19" i="22"/>
  <c r="N19" i="22" s="1"/>
  <c r="K19" i="22"/>
  <c r="M19" i="22" s="1"/>
  <c r="H19" i="22"/>
  <c r="J19" i="22" s="1"/>
  <c r="G19" i="22"/>
  <c r="I19" i="22" s="1"/>
  <c r="E19" i="22"/>
  <c r="D19" i="22"/>
  <c r="C19" i="22"/>
  <c r="AV18" i="22"/>
  <c r="AX18" i="22" s="1"/>
  <c r="AU18" i="22"/>
  <c r="AW18" i="22" s="1"/>
  <c r="AR18" i="22"/>
  <c r="AT18" i="22" s="1"/>
  <c r="AQ18" i="22"/>
  <c r="AS18" i="22" s="1"/>
  <c r="AN18" i="22"/>
  <c r="AP18" i="22" s="1"/>
  <c r="AM18" i="22"/>
  <c r="AO18" i="22" s="1"/>
  <c r="AJ18" i="22"/>
  <c r="AL18" i="22" s="1"/>
  <c r="AI18" i="22"/>
  <c r="AK18" i="22" s="1"/>
  <c r="AF18" i="22"/>
  <c r="AH18" i="22" s="1"/>
  <c r="AE18" i="22"/>
  <c r="AG18" i="22" s="1"/>
  <c r="AB18" i="22"/>
  <c r="AD18" i="22" s="1"/>
  <c r="AA18" i="22"/>
  <c r="AC18" i="22" s="1"/>
  <c r="X18" i="22"/>
  <c r="Z18" i="22" s="1"/>
  <c r="W18" i="22"/>
  <c r="Y18" i="22" s="1"/>
  <c r="T18" i="22"/>
  <c r="V18" i="22" s="1"/>
  <c r="S18" i="22"/>
  <c r="U18" i="22" s="1"/>
  <c r="P18" i="22"/>
  <c r="R18" i="22" s="1"/>
  <c r="O18" i="22"/>
  <c r="Q18" i="22" s="1"/>
  <c r="L18" i="22"/>
  <c r="N18" i="22" s="1"/>
  <c r="K18" i="22"/>
  <c r="M18" i="22" s="1"/>
  <c r="H18" i="22"/>
  <c r="J18" i="22" s="1"/>
  <c r="G18" i="22"/>
  <c r="I18" i="22" s="1"/>
  <c r="E18" i="22"/>
  <c r="D18" i="22"/>
  <c r="C18" i="22"/>
  <c r="AV17" i="22"/>
  <c r="AX17" i="22" s="1"/>
  <c r="AU17" i="22"/>
  <c r="AW17" i="22" s="1"/>
  <c r="AR17" i="22"/>
  <c r="AT17" i="22" s="1"/>
  <c r="AQ17" i="22"/>
  <c r="AS17" i="22" s="1"/>
  <c r="AN17" i="22"/>
  <c r="AP17" i="22" s="1"/>
  <c r="AM17" i="22"/>
  <c r="AO17" i="22" s="1"/>
  <c r="AJ17" i="22"/>
  <c r="AL17" i="22" s="1"/>
  <c r="AI17" i="22"/>
  <c r="AK17" i="22" s="1"/>
  <c r="AF17" i="22"/>
  <c r="AH17" i="22" s="1"/>
  <c r="AE17" i="22"/>
  <c r="AG17" i="22" s="1"/>
  <c r="AB17" i="22"/>
  <c r="AD17" i="22" s="1"/>
  <c r="AA17" i="22"/>
  <c r="AC17" i="22" s="1"/>
  <c r="X17" i="22"/>
  <c r="Z17" i="22" s="1"/>
  <c r="W17" i="22"/>
  <c r="Y17" i="22" s="1"/>
  <c r="T17" i="22"/>
  <c r="V17" i="22" s="1"/>
  <c r="S17" i="22"/>
  <c r="U17" i="22" s="1"/>
  <c r="P17" i="22"/>
  <c r="R17" i="22" s="1"/>
  <c r="O17" i="22"/>
  <c r="Q17" i="22" s="1"/>
  <c r="L17" i="22"/>
  <c r="N17" i="22" s="1"/>
  <c r="K17" i="22"/>
  <c r="M17" i="22" s="1"/>
  <c r="H17" i="22"/>
  <c r="J17" i="22" s="1"/>
  <c r="G17" i="22"/>
  <c r="I17" i="22" s="1"/>
  <c r="E17" i="22"/>
  <c r="D17" i="22"/>
  <c r="C17" i="22"/>
  <c r="AV16" i="22"/>
  <c r="AX16" i="22" s="1"/>
  <c r="AU16" i="22"/>
  <c r="AW16" i="22" s="1"/>
  <c r="AR16" i="22"/>
  <c r="AT16" i="22" s="1"/>
  <c r="AQ16" i="22"/>
  <c r="AS16" i="22" s="1"/>
  <c r="AN16" i="22"/>
  <c r="AP16" i="22" s="1"/>
  <c r="AM16" i="22"/>
  <c r="AO16" i="22" s="1"/>
  <c r="AJ16" i="22"/>
  <c r="AL16" i="22" s="1"/>
  <c r="AI16" i="22"/>
  <c r="AK16" i="22" s="1"/>
  <c r="AF16" i="22"/>
  <c r="AH16" i="22" s="1"/>
  <c r="AE16" i="22"/>
  <c r="AG16" i="22" s="1"/>
  <c r="AB16" i="22"/>
  <c r="AD16" i="22" s="1"/>
  <c r="AA16" i="22"/>
  <c r="AC16" i="22" s="1"/>
  <c r="X16" i="22"/>
  <c r="Z16" i="22" s="1"/>
  <c r="W16" i="22"/>
  <c r="Y16" i="22" s="1"/>
  <c r="T16" i="22"/>
  <c r="V16" i="22" s="1"/>
  <c r="S16" i="22"/>
  <c r="U16" i="22" s="1"/>
  <c r="P16" i="22"/>
  <c r="R16" i="22" s="1"/>
  <c r="O16" i="22"/>
  <c r="Q16" i="22" s="1"/>
  <c r="L16" i="22"/>
  <c r="N16" i="22" s="1"/>
  <c r="K16" i="22"/>
  <c r="M16" i="22" s="1"/>
  <c r="H16" i="22"/>
  <c r="J16" i="22" s="1"/>
  <c r="G16" i="22"/>
  <c r="I16" i="22" s="1"/>
  <c r="E16" i="22"/>
  <c r="D16" i="22"/>
  <c r="C16" i="22"/>
  <c r="AV15" i="22"/>
  <c r="AX15" i="22" s="1"/>
  <c r="AU15" i="22"/>
  <c r="AW15" i="22" s="1"/>
  <c r="AR15" i="22"/>
  <c r="AT15" i="22" s="1"/>
  <c r="AQ15" i="22"/>
  <c r="AS15" i="22" s="1"/>
  <c r="AN15" i="22"/>
  <c r="AP15" i="22" s="1"/>
  <c r="AM15" i="22"/>
  <c r="AO15" i="22" s="1"/>
  <c r="AJ15" i="22"/>
  <c r="AL15" i="22" s="1"/>
  <c r="AI15" i="22"/>
  <c r="AK15" i="22" s="1"/>
  <c r="AF15" i="22"/>
  <c r="AH15" i="22" s="1"/>
  <c r="AE15" i="22"/>
  <c r="AG15" i="22" s="1"/>
  <c r="AB15" i="22"/>
  <c r="AD15" i="22" s="1"/>
  <c r="AA15" i="22"/>
  <c r="AC15" i="22" s="1"/>
  <c r="X15" i="22"/>
  <c r="Z15" i="22" s="1"/>
  <c r="W15" i="22"/>
  <c r="Y15" i="22" s="1"/>
  <c r="T15" i="22"/>
  <c r="V15" i="22" s="1"/>
  <c r="S15" i="22"/>
  <c r="U15" i="22" s="1"/>
  <c r="P15" i="22"/>
  <c r="R15" i="22" s="1"/>
  <c r="O15" i="22"/>
  <c r="Q15" i="22" s="1"/>
  <c r="L15" i="22"/>
  <c r="N15" i="22" s="1"/>
  <c r="K15" i="22"/>
  <c r="M15" i="22" s="1"/>
  <c r="H15" i="22"/>
  <c r="J15" i="22" s="1"/>
  <c r="G15" i="22"/>
  <c r="I15" i="22" s="1"/>
  <c r="E15" i="22"/>
  <c r="D15" i="22"/>
  <c r="C15" i="22"/>
  <c r="AV14" i="22"/>
  <c r="AX14" i="22" s="1"/>
  <c r="AU14" i="22"/>
  <c r="AW14" i="22" s="1"/>
  <c r="AR14" i="22"/>
  <c r="AT14" i="22" s="1"/>
  <c r="AQ14" i="22"/>
  <c r="AS14" i="22" s="1"/>
  <c r="AN14" i="22"/>
  <c r="AP14" i="22" s="1"/>
  <c r="AM14" i="22"/>
  <c r="AO14" i="22" s="1"/>
  <c r="AJ14" i="22"/>
  <c r="AL14" i="22" s="1"/>
  <c r="AI14" i="22"/>
  <c r="AK14" i="22" s="1"/>
  <c r="AF14" i="22"/>
  <c r="AH14" i="22" s="1"/>
  <c r="AE14" i="22"/>
  <c r="AG14" i="22" s="1"/>
  <c r="AB14" i="22"/>
  <c r="AD14" i="22" s="1"/>
  <c r="AA14" i="22"/>
  <c r="AC14" i="22" s="1"/>
  <c r="X14" i="22"/>
  <c r="Z14" i="22" s="1"/>
  <c r="W14" i="22"/>
  <c r="Y14" i="22" s="1"/>
  <c r="T14" i="22"/>
  <c r="V14" i="22" s="1"/>
  <c r="S14" i="22"/>
  <c r="U14" i="22" s="1"/>
  <c r="P14" i="22"/>
  <c r="R14" i="22" s="1"/>
  <c r="O14" i="22"/>
  <c r="Q14" i="22" s="1"/>
  <c r="L14" i="22"/>
  <c r="N14" i="22" s="1"/>
  <c r="K14" i="22"/>
  <c r="M14" i="22" s="1"/>
  <c r="H14" i="22"/>
  <c r="J14" i="22" s="1"/>
  <c r="G14" i="22"/>
  <c r="I14" i="22" s="1"/>
  <c r="E14" i="22"/>
  <c r="D14" i="22"/>
  <c r="C14" i="22"/>
  <c r="AV13" i="22"/>
  <c r="AX13" i="22" s="1"/>
  <c r="AU13" i="22"/>
  <c r="AW13" i="22" s="1"/>
  <c r="AR13" i="22"/>
  <c r="AT13" i="22" s="1"/>
  <c r="AQ13" i="22"/>
  <c r="AS13" i="22" s="1"/>
  <c r="AN13" i="22"/>
  <c r="AP13" i="22" s="1"/>
  <c r="AM13" i="22"/>
  <c r="AO13" i="22" s="1"/>
  <c r="AJ13" i="22"/>
  <c r="AL13" i="22" s="1"/>
  <c r="AI13" i="22"/>
  <c r="AK13" i="22" s="1"/>
  <c r="AF13" i="22"/>
  <c r="AH13" i="22" s="1"/>
  <c r="AE13" i="22"/>
  <c r="AG13" i="22" s="1"/>
  <c r="AB13" i="22"/>
  <c r="AD13" i="22" s="1"/>
  <c r="AA13" i="22"/>
  <c r="AC13" i="22" s="1"/>
  <c r="X13" i="22"/>
  <c r="Z13" i="22" s="1"/>
  <c r="W13" i="22"/>
  <c r="Y13" i="22" s="1"/>
  <c r="T13" i="22"/>
  <c r="V13" i="22" s="1"/>
  <c r="S13" i="22"/>
  <c r="U13" i="22" s="1"/>
  <c r="P13" i="22"/>
  <c r="R13" i="22" s="1"/>
  <c r="O13" i="22"/>
  <c r="Q13" i="22" s="1"/>
  <c r="L13" i="22"/>
  <c r="N13" i="22" s="1"/>
  <c r="K13" i="22"/>
  <c r="M13" i="22" s="1"/>
  <c r="H13" i="22"/>
  <c r="J13" i="22" s="1"/>
  <c r="G13" i="22"/>
  <c r="I13" i="22" s="1"/>
  <c r="E13" i="22"/>
  <c r="D13" i="22"/>
  <c r="C13" i="22"/>
  <c r="AV12" i="22"/>
  <c r="AX12" i="22" s="1"/>
  <c r="AU12" i="22"/>
  <c r="AW12" i="22" s="1"/>
  <c r="AR12" i="22"/>
  <c r="AT12" i="22" s="1"/>
  <c r="AQ12" i="22"/>
  <c r="AS12" i="22" s="1"/>
  <c r="AN12" i="22"/>
  <c r="AP12" i="22" s="1"/>
  <c r="AM12" i="22"/>
  <c r="AO12" i="22" s="1"/>
  <c r="AJ12" i="22"/>
  <c r="AL12" i="22" s="1"/>
  <c r="AI12" i="22"/>
  <c r="AK12" i="22" s="1"/>
  <c r="AF12" i="22"/>
  <c r="AH12" i="22" s="1"/>
  <c r="AE12" i="22"/>
  <c r="AG12" i="22" s="1"/>
  <c r="AB12" i="22"/>
  <c r="AD12" i="22" s="1"/>
  <c r="AA12" i="22"/>
  <c r="AC12" i="22" s="1"/>
  <c r="X12" i="22"/>
  <c r="Z12" i="22" s="1"/>
  <c r="W12" i="22"/>
  <c r="Y12" i="22" s="1"/>
  <c r="T12" i="22"/>
  <c r="V12" i="22" s="1"/>
  <c r="S12" i="22"/>
  <c r="U12" i="22" s="1"/>
  <c r="P12" i="22"/>
  <c r="R12" i="22" s="1"/>
  <c r="O12" i="22"/>
  <c r="Q12" i="22" s="1"/>
  <c r="L12" i="22"/>
  <c r="N12" i="22" s="1"/>
  <c r="K12" i="22"/>
  <c r="M12" i="22" s="1"/>
  <c r="H12" i="22"/>
  <c r="J12" i="22" s="1"/>
  <c r="G12" i="22"/>
  <c r="I12" i="22" s="1"/>
  <c r="E12" i="22"/>
  <c r="D12" i="22"/>
  <c r="C12" i="22"/>
  <c r="AV11" i="22"/>
  <c r="AX11" i="22" s="1"/>
  <c r="AU11" i="22"/>
  <c r="AW11" i="22" s="1"/>
  <c r="AR11" i="22"/>
  <c r="AT11" i="22" s="1"/>
  <c r="AQ11" i="22"/>
  <c r="AS11" i="22" s="1"/>
  <c r="AN11" i="22"/>
  <c r="AP11" i="22" s="1"/>
  <c r="AM11" i="22"/>
  <c r="AO11" i="22" s="1"/>
  <c r="AJ11" i="22"/>
  <c r="AL11" i="22" s="1"/>
  <c r="AI11" i="22"/>
  <c r="AK11" i="22" s="1"/>
  <c r="AF11" i="22"/>
  <c r="AH11" i="22" s="1"/>
  <c r="AE11" i="22"/>
  <c r="AG11" i="22" s="1"/>
  <c r="AB11" i="22"/>
  <c r="AD11" i="22" s="1"/>
  <c r="AA11" i="22"/>
  <c r="AC11" i="22" s="1"/>
  <c r="X11" i="22"/>
  <c r="Z11" i="22" s="1"/>
  <c r="W11" i="22"/>
  <c r="Y11" i="22" s="1"/>
  <c r="T11" i="22"/>
  <c r="V11" i="22" s="1"/>
  <c r="S11" i="22"/>
  <c r="U11" i="22" s="1"/>
  <c r="P11" i="22"/>
  <c r="R11" i="22" s="1"/>
  <c r="O11" i="22"/>
  <c r="Q11" i="22" s="1"/>
  <c r="L11" i="22"/>
  <c r="N11" i="22" s="1"/>
  <c r="K11" i="22"/>
  <c r="M11" i="22" s="1"/>
  <c r="H11" i="22"/>
  <c r="J11" i="22" s="1"/>
  <c r="G11" i="22"/>
  <c r="I11" i="22" s="1"/>
  <c r="E11" i="22"/>
  <c r="D11" i="22"/>
  <c r="C11" i="22"/>
  <c r="AV10" i="22"/>
  <c r="AX10" i="22" s="1"/>
  <c r="AU10" i="22"/>
  <c r="AW10" i="22" s="1"/>
  <c r="AR10" i="22"/>
  <c r="AT10" i="22" s="1"/>
  <c r="AQ10" i="22"/>
  <c r="AS10" i="22" s="1"/>
  <c r="AN10" i="22"/>
  <c r="AP10" i="22" s="1"/>
  <c r="AM10" i="22"/>
  <c r="AO10" i="22" s="1"/>
  <c r="AJ10" i="22"/>
  <c r="AL10" i="22" s="1"/>
  <c r="AI10" i="22"/>
  <c r="AK10" i="22" s="1"/>
  <c r="AF10" i="22"/>
  <c r="AH10" i="22" s="1"/>
  <c r="AE10" i="22"/>
  <c r="AG10" i="22" s="1"/>
  <c r="AB10" i="22"/>
  <c r="AD10" i="22" s="1"/>
  <c r="AA10" i="22"/>
  <c r="AC10" i="22" s="1"/>
  <c r="X10" i="22"/>
  <c r="Z10" i="22" s="1"/>
  <c r="W10" i="22"/>
  <c r="Y10" i="22" s="1"/>
  <c r="T10" i="22"/>
  <c r="V10" i="22" s="1"/>
  <c r="S10" i="22"/>
  <c r="U10" i="22" s="1"/>
  <c r="P10" i="22"/>
  <c r="R10" i="22" s="1"/>
  <c r="O10" i="22"/>
  <c r="Q10" i="22" s="1"/>
  <c r="L10" i="22"/>
  <c r="N10" i="22" s="1"/>
  <c r="K10" i="22"/>
  <c r="M10" i="22" s="1"/>
  <c r="H10" i="22"/>
  <c r="J10" i="22" s="1"/>
  <c r="G10" i="22"/>
  <c r="I10" i="22" s="1"/>
  <c r="E10" i="22"/>
  <c r="D10" i="22"/>
  <c r="C10" i="22"/>
  <c r="AV9" i="22"/>
  <c r="AX9" i="22" s="1"/>
  <c r="AU9" i="22"/>
  <c r="AW9" i="22" s="1"/>
  <c r="AR9" i="22"/>
  <c r="AT9" i="22" s="1"/>
  <c r="AQ9" i="22"/>
  <c r="AS9" i="22" s="1"/>
  <c r="AN9" i="22"/>
  <c r="AP9" i="22" s="1"/>
  <c r="AM9" i="22"/>
  <c r="AO9" i="22" s="1"/>
  <c r="AJ9" i="22"/>
  <c r="AL9" i="22" s="1"/>
  <c r="AI9" i="22"/>
  <c r="AK9" i="22" s="1"/>
  <c r="AF9" i="22"/>
  <c r="AH9" i="22" s="1"/>
  <c r="AE9" i="22"/>
  <c r="AG9" i="22" s="1"/>
  <c r="AB9" i="22"/>
  <c r="AD9" i="22" s="1"/>
  <c r="AA9" i="22"/>
  <c r="AC9" i="22" s="1"/>
  <c r="X9" i="22"/>
  <c r="Z9" i="22" s="1"/>
  <c r="W9" i="22"/>
  <c r="Y9" i="22" s="1"/>
  <c r="T9" i="22"/>
  <c r="V9" i="22" s="1"/>
  <c r="S9" i="22"/>
  <c r="U9" i="22" s="1"/>
  <c r="P9" i="22"/>
  <c r="R9" i="22" s="1"/>
  <c r="O9" i="22"/>
  <c r="Q9" i="22" s="1"/>
  <c r="L9" i="22"/>
  <c r="N9" i="22" s="1"/>
  <c r="K9" i="22"/>
  <c r="M9" i="22" s="1"/>
  <c r="H9" i="22"/>
  <c r="J9" i="22" s="1"/>
  <c r="G9" i="22"/>
  <c r="I9" i="22" s="1"/>
  <c r="E9" i="22"/>
  <c r="D9" i="22"/>
  <c r="C9" i="22"/>
  <c r="AV8" i="22"/>
  <c r="AX8" i="22" s="1"/>
  <c r="AU8" i="22"/>
  <c r="AW8" i="22" s="1"/>
  <c r="AR8" i="22"/>
  <c r="AT8" i="22" s="1"/>
  <c r="AQ8" i="22"/>
  <c r="AS8" i="22" s="1"/>
  <c r="AN8" i="22"/>
  <c r="AP8" i="22" s="1"/>
  <c r="AM8" i="22"/>
  <c r="AO8" i="22" s="1"/>
  <c r="AJ8" i="22"/>
  <c r="AL8" i="22" s="1"/>
  <c r="AI8" i="22"/>
  <c r="AK8" i="22" s="1"/>
  <c r="AF8" i="22"/>
  <c r="AH8" i="22" s="1"/>
  <c r="AE8" i="22"/>
  <c r="AG8" i="22" s="1"/>
  <c r="AB8" i="22"/>
  <c r="AD8" i="22" s="1"/>
  <c r="AA8" i="22"/>
  <c r="AC8" i="22" s="1"/>
  <c r="X8" i="22"/>
  <c r="Z8" i="22" s="1"/>
  <c r="W8" i="22"/>
  <c r="Y8" i="22" s="1"/>
  <c r="T8" i="22"/>
  <c r="V8" i="22" s="1"/>
  <c r="S8" i="22"/>
  <c r="U8" i="22" s="1"/>
  <c r="P8" i="22"/>
  <c r="R8" i="22" s="1"/>
  <c r="O8" i="22"/>
  <c r="Q8" i="22" s="1"/>
  <c r="L8" i="22"/>
  <c r="N8" i="22" s="1"/>
  <c r="K8" i="22"/>
  <c r="M8" i="22" s="1"/>
  <c r="H8" i="22"/>
  <c r="J8" i="22" s="1"/>
  <c r="G8" i="22"/>
  <c r="I8" i="22" s="1"/>
  <c r="E8" i="22"/>
  <c r="D8" i="22"/>
  <c r="C8" i="22"/>
  <c r="AV7" i="22"/>
  <c r="AX7" i="22" s="1"/>
  <c r="AU7" i="22"/>
  <c r="AW7" i="22" s="1"/>
  <c r="AR7" i="22"/>
  <c r="AT7" i="22" s="1"/>
  <c r="AQ7" i="22"/>
  <c r="AS7" i="22" s="1"/>
  <c r="AN7" i="22"/>
  <c r="AP7" i="22" s="1"/>
  <c r="AM7" i="22"/>
  <c r="AO7" i="22" s="1"/>
  <c r="AJ7" i="22"/>
  <c r="AL7" i="22" s="1"/>
  <c r="AI7" i="22"/>
  <c r="AK7" i="22" s="1"/>
  <c r="AF7" i="22"/>
  <c r="AH7" i="22" s="1"/>
  <c r="AE7" i="22"/>
  <c r="AG7" i="22" s="1"/>
  <c r="AB7" i="22"/>
  <c r="AD7" i="22" s="1"/>
  <c r="AA7" i="22"/>
  <c r="AC7" i="22" s="1"/>
  <c r="X7" i="22"/>
  <c r="Z7" i="22" s="1"/>
  <c r="W7" i="22"/>
  <c r="Y7" i="22" s="1"/>
  <c r="T7" i="22"/>
  <c r="V7" i="22" s="1"/>
  <c r="S7" i="22"/>
  <c r="U7" i="22" s="1"/>
  <c r="P7" i="22"/>
  <c r="R7" i="22" s="1"/>
  <c r="O7" i="22"/>
  <c r="Q7" i="22" s="1"/>
  <c r="L7" i="22"/>
  <c r="N7" i="22" s="1"/>
  <c r="K7" i="22"/>
  <c r="M7" i="22" s="1"/>
  <c r="H7" i="22"/>
  <c r="J7" i="22" s="1"/>
  <c r="G7" i="22"/>
  <c r="I7" i="22" s="1"/>
  <c r="E7" i="22"/>
  <c r="D7" i="22"/>
  <c r="C7" i="22"/>
  <c r="AV6" i="22"/>
  <c r="AX6" i="22" s="1"/>
  <c r="AU6" i="22"/>
  <c r="AW6" i="22" s="1"/>
  <c r="AR6" i="22"/>
  <c r="AT6" i="22" s="1"/>
  <c r="AQ6" i="22"/>
  <c r="AS6" i="22" s="1"/>
  <c r="AN6" i="22"/>
  <c r="AP6" i="22" s="1"/>
  <c r="AM6" i="22"/>
  <c r="AO6" i="22" s="1"/>
  <c r="AJ6" i="22"/>
  <c r="AL6" i="22" s="1"/>
  <c r="AI6" i="22"/>
  <c r="AK6" i="22" s="1"/>
  <c r="AF6" i="22"/>
  <c r="AH6" i="22" s="1"/>
  <c r="AE6" i="22"/>
  <c r="AG6" i="22" s="1"/>
  <c r="AB6" i="22"/>
  <c r="AD6" i="22" s="1"/>
  <c r="AA6" i="22"/>
  <c r="AC6" i="22" s="1"/>
  <c r="X6" i="22"/>
  <c r="Z6" i="22" s="1"/>
  <c r="W6" i="22"/>
  <c r="Y6" i="22" s="1"/>
  <c r="T6" i="22"/>
  <c r="V6" i="22" s="1"/>
  <c r="S6" i="22"/>
  <c r="U6" i="22" s="1"/>
  <c r="P6" i="22"/>
  <c r="R6" i="22" s="1"/>
  <c r="O6" i="22"/>
  <c r="Q6" i="22" s="1"/>
  <c r="L6" i="22"/>
  <c r="N6" i="22" s="1"/>
  <c r="K6" i="22"/>
  <c r="M6" i="22" s="1"/>
  <c r="H6" i="22"/>
  <c r="J6" i="22" s="1"/>
  <c r="G6" i="22"/>
  <c r="I6" i="22" s="1"/>
  <c r="E6" i="22"/>
  <c r="D6" i="22"/>
  <c r="C6" i="22"/>
  <c r="AV5" i="22"/>
  <c r="AX5" i="22" s="1"/>
  <c r="AU5" i="22"/>
  <c r="AW5" i="22" s="1"/>
  <c r="AR5" i="22"/>
  <c r="AT5" i="22" s="1"/>
  <c r="AQ5" i="22"/>
  <c r="AS5" i="22" s="1"/>
  <c r="AN5" i="22"/>
  <c r="AP5" i="22" s="1"/>
  <c r="AM5" i="22"/>
  <c r="AO5" i="22" s="1"/>
  <c r="AJ5" i="22"/>
  <c r="AL5" i="22" s="1"/>
  <c r="AI5" i="22"/>
  <c r="AK5" i="22" s="1"/>
  <c r="AF5" i="22"/>
  <c r="AH5" i="22" s="1"/>
  <c r="AE5" i="22"/>
  <c r="AG5" i="22" s="1"/>
  <c r="AB5" i="22"/>
  <c r="AD5" i="22" s="1"/>
  <c r="AA5" i="22"/>
  <c r="AC5" i="22" s="1"/>
  <c r="X5" i="22"/>
  <c r="Z5" i="22" s="1"/>
  <c r="W5" i="22"/>
  <c r="Y5" i="22" s="1"/>
  <c r="T5" i="22"/>
  <c r="V5" i="22" s="1"/>
  <c r="S5" i="22"/>
  <c r="U5" i="22" s="1"/>
  <c r="P5" i="22"/>
  <c r="R5" i="22" s="1"/>
  <c r="O5" i="22"/>
  <c r="Q5" i="22" s="1"/>
  <c r="L5" i="22"/>
  <c r="N5" i="22" s="1"/>
  <c r="K5" i="22"/>
  <c r="M5" i="22" s="1"/>
  <c r="H5" i="22"/>
  <c r="J5" i="22" s="1"/>
  <c r="G5" i="22"/>
  <c r="I5" i="22" s="1"/>
  <c r="E5" i="22"/>
  <c r="D5" i="22"/>
  <c r="C5" i="22"/>
  <c r="AV4" i="22"/>
  <c r="AX4" i="22" s="1"/>
  <c r="AU4" i="22"/>
  <c r="AW4" i="22" s="1"/>
  <c r="AR4" i="22"/>
  <c r="AT4" i="22" s="1"/>
  <c r="AQ4" i="22"/>
  <c r="AS4" i="22" s="1"/>
  <c r="AN4" i="22"/>
  <c r="AP4" i="22" s="1"/>
  <c r="AM4" i="22"/>
  <c r="AO4" i="22" s="1"/>
  <c r="AJ4" i="22"/>
  <c r="AL4" i="22" s="1"/>
  <c r="AI4" i="22"/>
  <c r="AK4" i="22" s="1"/>
  <c r="AF4" i="22"/>
  <c r="AH4" i="22" s="1"/>
  <c r="AE4" i="22"/>
  <c r="AG4" i="22" s="1"/>
  <c r="AB4" i="22"/>
  <c r="AD4" i="22" s="1"/>
  <c r="AA4" i="22"/>
  <c r="AC4" i="22" s="1"/>
  <c r="X4" i="22"/>
  <c r="Z4" i="22" s="1"/>
  <c r="W4" i="22"/>
  <c r="Y4" i="22" s="1"/>
  <c r="T4" i="22"/>
  <c r="V4" i="22" s="1"/>
  <c r="S4" i="22"/>
  <c r="U4" i="22" s="1"/>
  <c r="P4" i="22"/>
  <c r="R4" i="22" s="1"/>
  <c r="O4" i="22"/>
  <c r="Q4" i="22" s="1"/>
  <c r="L4" i="22"/>
  <c r="N4" i="22" s="1"/>
  <c r="K4" i="22"/>
  <c r="M4" i="22" s="1"/>
  <c r="H4" i="22"/>
  <c r="J4" i="22" s="1"/>
  <c r="G4" i="22"/>
  <c r="I4" i="22" s="1"/>
  <c r="E4" i="22"/>
  <c r="D4" i="22"/>
  <c r="C4" i="22"/>
  <c r="AV3" i="22"/>
  <c r="AX3" i="22" s="1"/>
  <c r="AU3" i="22"/>
  <c r="AW3" i="22" s="1"/>
  <c r="AR3" i="22"/>
  <c r="AT3" i="22" s="1"/>
  <c r="AQ3" i="22"/>
  <c r="AS3" i="22" s="1"/>
  <c r="AN3" i="22"/>
  <c r="AP3" i="22" s="1"/>
  <c r="AM3" i="22"/>
  <c r="AO3" i="22" s="1"/>
  <c r="AJ3" i="22"/>
  <c r="AL3" i="22" s="1"/>
  <c r="AI3" i="22"/>
  <c r="AK3" i="22" s="1"/>
  <c r="AF3" i="22"/>
  <c r="AH3" i="22" s="1"/>
  <c r="AE3" i="22"/>
  <c r="AG3" i="22" s="1"/>
  <c r="AB3" i="22"/>
  <c r="AD3" i="22" s="1"/>
  <c r="AA3" i="22"/>
  <c r="AC3" i="22" s="1"/>
  <c r="X3" i="22"/>
  <c r="Z3" i="22" s="1"/>
  <c r="W3" i="22"/>
  <c r="Y3" i="22" s="1"/>
  <c r="T3" i="22"/>
  <c r="V3" i="22" s="1"/>
  <c r="S3" i="22"/>
  <c r="U3" i="22" s="1"/>
  <c r="P3" i="22"/>
  <c r="R3" i="22" s="1"/>
  <c r="O3" i="22"/>
  <c r="Q3" i="22" s="1"/>
  <c r="L3" i="22"/>
  <c r="N3" i="22" s="1"/>
  <c r="K3" i="22"/>
  <c r="M3" i="22" s="1"/>
  <c r="H3" i="22"/>
  <c r="J3" i="22" s="1"/>
  <c r="G3" i="22"/>
  <c r="I3" i="22" s="1"/>
  <c r="E3" i="22"/>
  <c r="D3" i="22"/>
  <c r="C3" i="22"/>
  <c r="AV50" i="21"/>
  <c r="AX50" i="21" s="1"/>
  <c r="AU50" i="21"/>
  <c r="AW50" i="21" s="1"/>
  <c r="AR50" i="21"/>
  <c r="AT50" i="21" s="1"/>
  <c r="AQ50" i="21"/>
  <c r="AS50" i="21" s="1"/>
  <c r="AN50" i="21"/>
  <c r="AP50" i="21" s="1"/>
  <c r="AM50" i="21"/>
  <c r="AO50" i="21" s="1"/>
  <c r="AJ50" i="21"/>
  <c r="AL50" i="21" s="1"/>
  <c r="AI50" i="21"/>
  <c r="AK50" i="21" s="1"/>
  <c r="AF50" i="21"/>
  <c r="AH50" i="21" s="1"/>
  <c r="AE50" i="21"/>
  <c r="AG50" i="21" s="1"/>
  <c r="AB50" i="21"/>
  <c r="AD50" i="21" s="1"/>
  <c r="AA50" i="21"/>
  <c r="AC50" i="21" s="1"/>
  <c r="X50" i="21"/>
  <c r="Z50" i="21" s="1"/>
  <c r="W50" i="21"/>
  <c r="Y50" i="21" s="1"/>
  <c r="T50" i="21"/>
  <c r="V50" i="21" s="1"/>
  <c r="S50" i="21"/>
  <c r="U50" i="21" s="1"/>
  <c r="P50" i="21"/>
  <c r="R50" i="21" s="1"/>
  <c r="O50" i="21"/>
  <c r="Q50" i="21" s="1"/>
  <c r="L50" i="21"/>
  <c r="N50" i="21" s="1"/>
  <c r="K50" i="21"/>
  <c r="M50" i="21" s="1"/>
  <c r="H50" i="21"/>
  <c r="J50" i="21" s="1"/>
  <c r="G50" i="21"/>
  <c r="I50" i="21" s="1"/>
  <c r="E50" i="21"/>
  <c r="D50" i="21"/>
  <c r="C50" i="21"/>
  <c r="AV49" i="21"/>
  <c r="AX49" i="21" s="1"/>
  <c r="AU49" i="21"/>
  <c r="AW49" i="21" s="1"/>
  <c r="AR49" i="21"/>
  <c r="AT49" i="21" s="1"/>
  <c r="AQ49" i="21"/>
  <c r="AS49" i="21" s="1"/>
  <c r="AN49" i="21"/>
  <c r="AP49" i="21" s="1"/>
  <c r="AM49" i="21"/>
  <c r="AO49" i="21" s="1"/>
  <c r="AJ49" i="21"/>
  <c r="AL49" i="21" s="1"/>
  <c r="AI49" i="21"/>
  <c r="AK49" i="21" s="1"/>
  <c r="AF49" i="21"/>
  <c r="AH49" i="21" s="1"/>
  <c r="AE49" i="21"/>
  <c r="AG49" i="21" s="1"/>
  <c r="AB49" i="21"/>
  <c r="AD49" i="21" s="1"/>
  <c r="AA49" i="21"/>
  <c r="AC49" i="21" s="1"/>
  <c r="X49" i="21"/>
  <c r="Z49" i="21" s="1"/>
  <c r="W49" i="21"/>
  <c r="Y49" i="21" s="1"/>
  <c r="T49" i="21"/>
  <c r="V49" i="21" s="1"/>
  <c r="S49" i="21"/>
  <c r="U49" i="21" s="1"/>
  <c r="P49" i="21"/>
  <c r="R49" i="21" s="1"/>
  <c r="O49" i="21"/>
  <c r="Q49" i="21" s="1"/>
  <c r="L49" i="21"/>
  <c r="N49" i="21" s="1"/>
  <c r="K49" i="21"/>
  <c r="M49" i="21" s="1"/>
  <c r="H49" i="21"/>
  <c r="J49" i="21" s="1"/>
  <c r="G49" i="21"/>
  <c r="I49" i="21" s="1"/>
  <c r="E49" i="21"/>
  <c r="D49" i="21"/>
  <c r="C49" i="21"/>
  <c r="AV48" i="21"/>
  <c r="AX48" i="21" s="1"/>
  <c r="AU48" i="21"/>
  <c r="AW48" i="21" s="1"/>
  <c r="AR48" i="21"/>
  <c r="AT48" i="21" s="1"/>
  <c r="AQ48" i="21"/>
  <c r="AS48" i="21" s="1"/>
  <c r="AN48" i="21"/>
  <c r="AP48" i="21" s="1"/>
  <c r="AM48" i="21"/>
  <c r="AO48" i="21" s="1"/>
  <c r="AJ48" i="21"/>
  <c r="AL48" i="21" s="1"/>
  <c r="AI48" i="21"/>
  <c r="AK48" i="21" s="1"/>
  <c r="AF48" i="21"/>
  <c r="AH48" i="21" s="1"/>
  <c r="AE48" i="21"/>
  <c r="AG48" i="21" s="1"/>
  <c r="AB48" i="21"/>
  <c r="AD48" i="21" s="1"/>
  <c r="AA48" i="21"/>
  <c r="AC48" i="21" s="1"/>
  <c r="X48" i="21"/>
  <c r="Z48" i="21" s="1"/>
  <c r="W48" i="21"/>
  <c r="Y48" i="21" s="1"/>
  <c r="T48" i="21"/>
  <c r="V48" i="21" s="1"/>
  <c r="S48" i="21"/>
  <c r="U48" i="21" s="1"/>
  <c r="P48" i="21"/>
  <c r="R48" i="21" s="1"/>
  <c r="O48" i="21"/>
  <c r="Q48" i="21" s="1"/>
  <c r="L48" i="21"/>
  <c r="N48" i="21" s="1"/>
  <c r="K48" i="21"/>
  <c r="M48" i="21" s="1"/>
  <c r="H48" i="21"/>
  <c r="J48" i="21" s="1"/>
  <c r="G48" i="21"/>
  <c r="I48" i="21" s="1"/>
  <c r="E48" i="21"/>
  <c r="D48" i="21"/>
  <c r="C48" i="21"/>
  <c r="AV47" i="21"/>
  <c r="AX47" i="21" s="1"/>
  <c r="AU47" i="21"/>
  <c r="AW47" i="21" s="1"/>
  <c r="AR47" i="21"/>
  <c r="AT47" i="21" s="1"/>
  <c r="AQ47" i="21"/>
  <c r="AS47" i="21" s="1"/>
  <c r="AN47" i="21"/>
  <c r="AP47" i="21" s="1"/>
  <c r="AM47" i="21"/>
  <c r="AO47" i="21" s="1"/>
  <c r="AJ47" i="21"/>
  <c r="AL47" i="21" s="1"/>
  <c r="AI47" i="21"/>
  <c r="AK47" i="21" s="1"/>
  <c r="AF47" i="21"/>
  <c r="AH47" i="21" s="1"/>
  <c r="AE47" i="21"/>
  <c r="AG47" i="21" s="1"/>
  <c r="AB47" i="21"/>
  <c r="AD47" i="21" s="1"/>
  <c r="AA47" i="21"/>
  <c r="AC47" i="21" s="1"/>
  <c r="X47" i="21"/>
  <c r="Z47" i="21" s="1"/>
  <c r="W47" i="21"/>
  <c r="Y47" i="21" s="1"/>
  <c r="T47" i="21"/>
  <c r="V47" i="21" s="1"/>
  <c r="S47" i="21"/>
  <c r="U47" i="21" s="1"/>
  <c r="P47" i="21"/>
  <c r="R47" i="21" s="1"/>
  <c r="O47" i="21"/>
  <c r="Q47" i="21" s="1"/>
  <c r="L47" i="21"/>
  <c r="N47" i="21" s="1"/>
  <c r="K47" i="21"/>
  <c r="M47" i="21" s="1"/>
  <c r="H47" i="21"/>
  <c r="J47" i="21" s="1"/>
  <c r="G47" i="21"/>
  <c r="I47" i="21" s="1"/>
  <c r="E47" i="21"/>
  <c r="D47" i="21"/>
  <c r="C47" i="21"/>
  <c r="AV46" i="21"/>
  <c r="AX46" i="21" s="1"/>
  <c r="AU46" i="21"/>
  <c r="AW46" i="21" s="1"/>
  <c r="AR46" i="21"/>
  <c r="AT46" i="21" s="1"/>
  <c r="AQ46" i="21"/>
  <c r="AS46" i="21" s="1"/>
  <c r="AN46" i="21"/>
  <c r="AP46" i="21" s="1"/>
  <c r="AM46" i="21"/>
  <c r="AO46" i="21" s="1"/>
  <c r="AJ46" i="21"/>
  <c r="AL46" i="21" s="1"/>
  <c r="AI46" i="21"/>
  <c r="AK46" i="21" s="1"/>
  <c r="AF46" i="21"/>
  <c r="AH46" i="21" s="1"/>
  <c r="AE46" i="21"/>
  <c r="AG46" i="21" s="1"/>
  <c r="AB46" i="21"/>
  <c r="AD46" i="21" s="1"/>
  <c r="AA46" i="21"/>
  <c r="AC46" i="21" s="1"/>
  <c r="X46" i="21"/>
  <c r="Z46" i="21" s="1"/>
  <c r="W46" i="21"/>
  <c r="Y46" i="21" s="1"/>
  <c r="T46" i="21"/>
  <c r="V46" i="21" s="1"/>
  <c r="S46" i="21"/>
  <c r="U46" i="21" s="1"/>
  <c r="P46" i="21"/>
  <c r="R46" i="21" s="1"/>
  <c r="O46" i="21"/>
  <c r="Q46" i="21" s="1"/>
  <c r="L46" i="21"/>
  <c r="N46" i="21" s="1"/>
  <c r="K46" i="21"/>
  <c r="M46" i="21" s="1"/>
  <c r="H46" i="21"/>
  <c r="J46" i="21" s="1"/>
  <c r="G46" i="21"/>
  <c r="I46" i="21" s="1"/>
  <c r="E46" i="21"/>
  <c r="D46" i="21"/>
  <c r="C46" i="21"/>
  <c r="AV45" i="21"/>
  <c r="AX45" i="21" s="1"/>
  <c r="AU45" i="21"/>
  <c r="AW45" i="21" s="1"/>
  <c r="AR45" i="21"/>
  <c r="AT45" i="21" s="1"/>
  <c r="AQ45" i="21"/>
  <c r="AS45" i="21" s="1"/>
  <c r="AN45" i="21"/>
  <c r="AP45" i="21" s="1"/>
  <c r="AM45" i="21"/>
  <c r="AO45" i="21" s="1"/>
  <c r="AJ45" i="21"/>
  <c r="AL45" i="21" s="1"/>
  <c r="AI45" i="21"/>
  <c r="AK45" i="21" s="1"/>
  <c r="AF45" i="21"/>
  <c r="AH45" i="21" s="1"/>
  <c r="AE45" i="21"/>
  <c r="AG45" i="21" s="1"/>
  <c r="AB45" i="21"/>
  <c r="AD45" i="21" s="1"/>
  <c r="AA45" i="21"/>
  <c r="AC45" i="21" s="1"/>
  <c r="X45" i="21"/>
  <c r="Z45" i="21" s="1"/>
  <c r="W45" i="21"/>
  <c r="Y45" i="21" s="1"/>
  <c r="T45" i="21"/>
  <c r="V45" i="21" s="1"/>
  <c r="S45" i="21"/>
  <c r="U45" i="21" s="1"/>
  <c r="P45" i="21"/>
  <c r="R45" i="21" s="1"/>
  <c r="O45" i="21"/>
  <c r="Q45" i="21" s="1"/>
  <c r="L45" i="21"/>
  <c r="N45" i="21" s="1"/>
  <c r="K45" i="21"/>
  <c r="M45" i="21" s="1"/>
  <c r="H45" i="21"/>
  <c r="J45" i="21" s="1"/>
  <c r="G45" i="21"/>
  <c r="I45" i="21" s="1"/>
  <c r="E45" i="21"/>
  <c r="D45" i="21"/>
  <c r="C45" i="21"/>
  <c r="AV44" i="21"/>
  <c r="AX44" i="21" s="1"/>
  <c r="AU44" i="21"/>
  <c r="AW44" i="21" s="1"/>
  <c r="AR44" i="21"/>
  <c r="AT44" i="21" s="1"/>
  <c r="AQ44" i="21"/>
  <c r="AS44" i="21" s="1"/>
  <c r="AN44" i="21"/>
  <c r="AP44" i="21" s="1"/>
  <c r="AM44" i="21"/>
  <c r="AO44" i="21" s="1"/>
  <c r="AJ44" i="21"/>
  <c r="AL44" i="21" s="1"/>
  <c r="AI44" i="21"/>
  <c r="AK44" i="21" s="1"/>
  <c r="AF44" i="21"/>
  <c r="AH44" i="21" s="1"/>
  <c r="AE44" i="21"/>
  <c r="AG44" i="21" s="1"/>
  <c r="AB44" i="21"/>
  <c r="AD44" i="21" s="1"/>
  <c r="AA44" i="21"/>
  <c r="AC44" i="21" s="1"/>
  <c r="X44" i="21"/>
  <c r="Z44" i="21" s="1"/>
  <c r="W44" i="21"/>
  <c r="Y44" i="21" s="1"/>
  <c r="T44" i="21"/>
  <c r="V44" i="21" s="1"/>
  <c r="S44" i="21"/>
  <c r="U44" i="21" s="1"/>
  <c r="P44" i="21"/>
  <c r="R44" i="21" s="1"/>
  <c r="O44" i="21"/>
  <c r="Q44" i="21" s="1"/>
  <c r="L44" i="21"/>
  <c r="N44" i="21" s="1"/>
  <c r="K44" i="21"/>
  <c r="M44" i="21" s="1"/>
  <c r="H44" i="21"/>
  <c r="J44" i="21" s="1"/>
  <c r="G44" i="21"/>
  <c r="I44" i="21" s="1"/>
  <c r="E44" i="21"/>
  <c r="D44" i="21"/>
  <c r="C44" i="21"/>
  <c r="AV43" i="21"/>
  <c r="AX43" i="21" s="1"/>
  <c r="AU43" i="21"/>
  <c r="AW43" i="21" s="1"/>
  <c r="AR43" i="21"/>
  <c r="AT43" i="21" s="1"/>
  <c r="AQ43" i="21"/>
  <c r="AS43" i="21" s="1"/>
  <c r="AN43" i="21"/>
  <c r="AP43" i="21" s="1"/>
  <c r="AM43" i="21"/>
  <c r="AO43" i="21" s="1"/>
  <c r="AJ43" i="21"/>
  <c r="AL43" i="21" s="1"/>
  <c r="AI43" i="21"/>
  <c r="AK43" i="21" s="1"/>
  <c r="AF43" i="21"/>
  <c r="AH43" i="21" s="1"/>
  <c r="AE43" i="21"/>
  <c r="AG43" i="21" s="1"/>
  <c r="AB43" i="21"/>
  <c r="AD43" i="21" s="1"/>
  <c r="AA43" i="21"/>
  <c r="AC43" i="21" s="1"/>
  <c r="X43" i="21"/>
  <c r="Z43" i="21" s="1"/>
  <c r="W43" i="21"/>
  <c r="Y43" i="21" s="1"/>
  <c r="T43" i="21"/>
  <c r="V43" i="21" s="1"/>
  <c r="S43" i="21"/>
  <c r="U43" i="21" s="1"/>
  <c r="P43" i="21"/>
  <c r="R43" i="21" s="1"/>
  <c r="O43" i="21"/>
  <c r="Q43" i="21" s="1"/>
  <c r="L43" i="21"/>
  <c r="N43" i="21" s="1"/>
  <c r="K43" i="21"/>
  <c r="M43" i="21" s="1"/>
  <c r="H43" i="21"/>
  <c r="J43" i="21" s="1"/>
  <c r="G43" i="21"/>
  <c r="I43" i="21" s="1"/>
  <c r="E43" i="21"/>
  <c r="D43" i="21"/>
  <c r="C43" i="21"/>
  <c r="AV42" i="21"/>
  <c r="AX42" i="21" s="1"/>
  <c r="AU42" i="21"/>
  <c r="AW42" i="21" s="1"/>
  <c r="AR42" i="21"/>
  <c r="AT42" i="21" s="1"/>
  <c r="AQ42" i="21"/>
  <c r="AS42" i="21" s="1"/>
  <c r="AN42" i="21"/>
  <c r="AP42" i="21" s="1"/>
  <c r="AM42" i="21"/>
  <c r="AO42" i="21" s="1"/>
  <c r="AJ42" i="21"/>
  <c r="AL42" i="21" s="1"/>
  <c r="AI42" i="21"/>
  <c r="AK42" i="21" s="1"/>
  <c r="AF42" i="21"/>
  <c r="AH42" i="21" s="1"/>
  <c r="AE42" i="21"/>
  <c r="AG42" i="21" s="1"/>
  <c r="AB42" i="21"/>
  <c r="AD42" i="21" s="1"/>
  <c r="AA42" i="21"/>
  <c r="AC42" i="21" s="1"/>
  <c r="X42" i="21"/>
  <c r="Z42" i="21" s="1"/>
  <c r="W42" i="21"/>
  <c r="Y42" i="21" s="1"/>
  <c r="T42" i="21"/>
  <c r="V42" i="21" s="1"/>
  <c r="S42" i="21"/>
  <c r="U42" i="21" s="1"/>
  <c r="P42" i="21"/>
  <c r="R42" i="21" s="1"/>
  <c r="O42" i="21"/>
  <c r="Q42" i="21" s="1"/>
  <c r="L42" i="21"/>
  <c r="N42" i="21" s="1"/>
  <c r="K42" i="21"/>
  <c r="M42" i="21" s="1"/>
  <c r="H42" i="21"/>
  <c r="J42" i="21" s="1"/>
  <c r="G42" i="21"/>
  <c r="I42" i="21" s="1"/>
  <c r="E42" i="21"/>
  <c r="D42" i="21"/>
  <c r="C42" i="21"/>
  <c r="AV41" i="21"/>
  <c r="AX41" i="21" s="1"/>
  <c r="AU41" i="21"/>
  <c r="AW41" i="21" s="1"/>
  <c r="AR41" i="21"/>
  <c r="AT41" i="21" s="1"/>
  <c r="AQ41" i="21"/>
  <c r="AS41" i="21" s="1"/>
  <c r="AN41" i="21"/>
  <c r="AP41" i="21" s="1"/>
  <c r="AM41" i="21"/>
  <c r="AO41" i="21" s="1"/>
  <c r="AJ41" i="21"/>
  <c r="AL41" i="21" s="1"/>
  <c r="AI41" i="21"/>
  <c r="AK41" i="21" s="1"/>
  <c r="AF41" i="21"/>
  <c r="AH41" i="21" s="1"/>
  <c r="AE41" i="21"/>
  <c r="AG41" i="21" s="1"/>
  <c r="AB41" i="21"/>
  <c r="AD41" i="21" s="1"/>
  <c r="AA41" i="21"/>
  <c r="AC41" i="21" s="1"/>
  <c r="X41" i="21"/>
  <c r="Z41" i="21" s="1"/>
  <c r="W41" i="21"/>
  <c r="Y41" i="21" s="1"/>
  <c r="T41" i="21"/>
  <c r="V41" i="21" s="1"/>
  <c r="S41" i="21"/>
  <c r="U41" i="21" s="1"/>
  <c r="P41" i="21"/>
  <c r="R41" i="21" s="1"/>
  <c r="O41" i="21"/>
  <c r="Q41" i="21" s="1"/>
  <c r="L41" i="21"/>
  <c r="N41" i="21" s="1"/>
  <c r="K41" i="21"/>
  <c r="M41" i="21" s="1"/>
  <c r="H41" i="21"/>
  <c r="J41" i="21" s="1"/>
  <c r="G41" i="21"/>
  <c r="I41" i="21" s="1"/>
  <c r="E41" i="21"/>
  <c r="D41" i="21"/>
  <c r="C41" i="21"/>
  <c r="AV40" i="21"/>
  <c r="AX40" i="21" s="1"/>
  <c r="AU40" i="21"/>
  <c r="AW40" i="21" s="1"/>
  <c r="AR40" i="21"/>
  <c r="AT40" i="21" s="1"/>
  <c r="AQ40" i="21"/>
  <c r="AS40" i="21" s="1"/>
  <c r="AN40" i="21"/>
  <c r="AP40" i="21" s="1"/>
  <c r="AM40" i="21"/>
  <c r="AO40" i="21" s="1"/>
  <c r="AJ40" i="21"/>
  <c r="AL40" i="21" s="1"/>
  <c r="AI40" i="21"/>
  <c r="AK40" i="21" s="1"/>
  <c r="AF40" i="21"/>
  <c r="AH40" i="21" s="1"/>
  <c r="AE40" i="21"/>
  <c r="AG40" i="21" s="1"/>
  <c r="AB40" i="21"/>
  <c r="AD40" i="21" s="1"/>
  <c r="AA40" i="21"/>
  <c r="AC40" i="21" s="1"/>
  <c r="X40" i="21"/>
  <c r="Z40" i="21" s="1"/>
  <c r="W40" i="21"/>
  <c r="Y40" i="21" s="1"/>
  <c r="T40" i="21"/>
  <c r="V40" i="21" s="1"/>
  <c r="S40" i="21"/>
  <c r="U40" i="21" s="1"/>
  <c r="P40" i="21"/>
  <c r="R40" i="21" s="1"/>
  <c r="O40" i="21"/>
  <c r="Q40" i="21" s="1"/>
  <c r="L40" i="21"/>
  <c r="N40" i="21" s="1"/>
  <c r="K40" i="21"/>
  <c r="M40" i="21" s="1"/>
  <c r="H40" i="21"/>
  <c r="J40" i="21" s="1"/>
  <c r="G40" i="21"/>
  <c r="I40" i="21" s="1"/>
  <c r="E40" i="21"/>
  <c r="D40" i="21"/>
  <c r="C40" i="21"/>
  <c r="AV39" i="21"/>
  <c r="AX39" i="21" s="1"/>
  <c r="AU39" i="21"/>
  <c r="AW39" i="21" s="1"/>
  <c r="AR39" i="21"/>
  <c r="AT39" i="21" s="1"/>
  <c r="AQ39" i="21"/>
  <c r="AS39" i="21" s="1"/>
  <c r="AN39" i="21"/>
  <c r="AP39" i="21" s="1"/>
  <c r="AM39" i="21"/>
  <c r="AO39" i="21" s="1"/>
  <c r="AJ39" i="21"/>
  <c r="AL39" i="21" s="1"/>
  <c r="AI39" i="21"/>
  <c r="AK39" i="21" s="1"/>
  <c r="AF39" i="21"/>
  <c r="AH39" i="21" s="1"/>
  <c r="AE39" i="21"/>
  <c r="AG39" i="21" s="1"/>
  <c r="AB39" i="21"/>
  <c r="AD39" i="21" s="1"/>
  <c r="AA39" i="21"/>
  <c r="AC39" i="21" s="1"/>
  <c r="X39" i="21"/>
  <c r="Z39" i="21" s="1"/>
  <c r="W39" i="21"/>
  <c r="Y39" i="21" s="1"/>
  <c r="T39" i="21"/>
  <c r="V39" i="21" s="1"/>
  <c r="S39" i="21"/>
  <c r="U39" i="21" s="1"/>
  <c r="P39" i="21"/>
  <c r="R39" i="21" s="1"/>
  <c r="O39" i="21"/>
  <c r="Q39" i="21" s="1"/>
  <c r="L39" i="21"/>
  <c r="N39" i="21" s="1"/>
  <c r="K39" i="21"/>
  <c r="M39" i="21" s="1"/>
  <c r="H39" i="21"/>
  <c r="J39" i="21" s="1"/>
  <c r="G39" i="21"/>
  <c r="I39" i="21" s="1"/>
  <c r="E39" i="21"/>
  <c r="D39" i="21"/>
  <c r="C39" i="21"/>
  <c r="AV38" i="21"/>
  <c r="AX38" i="21" s="1"/>
  <c r="AU38" i="21"/>
  <c r="AW38" i="21" s="1"/>
  <c r="AR38" i="21"/>
  <c r="AT38" i="21" s="1"/>
  <c r="AQ38" i="21"/>
  <c r="AS38" i="21" s="1"/>
  <c r="AN38" i="21"/>
  <c r="AP38" i="21" s="1"/>
  <c r="AM38" i="21"/>
  <c r="AO38" i="21" s="1"/>
  <c r="AJ38" i="21"/>
  <c r="AL38" i="21" s="1"/>
  <c r="AI38" i="21"/>
  <c r="AK38" i="21" s="1"/>
  <c r="AF38" i="21"/>
  <c r="AH38" i="21" s="1"/>
  <c r="AE38" i="21"/>
  <c r="AG38" i="21" s="1"/>
  <c r="AB38" i="21"/>
  <c r="AD38" i="21" s="1"/>
  <c r="AA38" i="21"/>
  <c r="AC38" i="21" s="1"/>
  <c r="X38" i="21"/>
  <c r="Z38" i="21" s="1"/>
  <c r="W38" i="21"/>
  <c r="Y38" i="21" s="1"/>
  <c r="T38" i="21"/>
  <c r="V38" i="21" s="1"/>
  <c r="S38" i="21"/>
  <c r="U38" i="21" s="1"/>
  <c r="P38" i="21"/>
  <c r="R38" i="21" s="1"/>
  <c r="O38" i="21"/>
  <c r="Q38" i="21" s="1"/>
  <c r="L38" i="21"/>
  <c r="N38" i="21" s="1"/>
  <c r="K38" i="21"/>
  <c r="M38" i="21" s="1"/>
  <c r="H38" i="21"/>
  <c r="J38" i="21" s="1"/>
  <c r="G38" i="21"/>
  <c r="I38" i="21" s="1"/>
  <c r="E38" i="21"/>
  <c r="D38" i="21"/>
  <c r="C38" i="21"/>
  <c r="AV37" i="21"/>
  <c r="AX37" i="21" s="1"/>
  <c r="AU37" i="21"/>
  <c r="AW37" i="21" s="1"/>
  <c r="AR37" i="21"/>
  <c r="AT37" i="21" s="1"/>
  <c r="AQ37" i="21"/>
  <c r="AS37" i="21" s="1"/>
  <c r="AN37" i="21"/>
  <c r="AP37" i="21" s="1"/>
  <c r="AM37" i="21"/>
  <c r="AO37" i="21" s="1"/>
  <c r="AJ37" i="21"/>
  <c r="AL37" i="21" s="1"/>
  <c r="AI37" i="21"/>
  <c r="AK37" i="21" s="1"/>
  <c r="AF37" i="21"/>
  <c r="AH37" i="21" s="1"/>
  <c r="AE37" i="21"/>
  <c r="AG37" i="21" s="1"/>
  <c r="AB37" i="21"/>
  <c r="AD37" i="21" s="1"/>
  <c r="AA37" i="21"/>
  <c r="AC37" i="21" s="1"/>
  <c r="X37" i="21"/>
  <c r="Z37" i="21" s="1"/>
  <c r="W37" i="21"/>
  <c r="Y37" i="21" s="1"/>
  <c r="T37" i="21"/>
  <c r="V37" i="21" s="1"/>
  <c r="S37" i="21"/>
  <c r="U37" i="21" s="1"/>
  <c r="P37" i="21"/>
  <c r="R37" i="21" s="1"/>
  <c r="O37" i="21"/>
  <c r="Q37" i="21" s="1"/>
  <c r="L37" i="21"/>
  <c r="N37" i="21" s="1"/>
  <c r="K37" i="21"/>
  <c r="M37" i="21" s="1"/>
  <c r="H37" i="21"/>
  <c r="J37" i="21" s="1"/>
  <c r="G37" i="21"/>
  <c r="I37" i="21" s="1"/>
  <c r="E37" i="21"/>
  <c r="D37" i="21"/>
  <c r="C37" i="21"/>
  <c r="AV36" i="21"/>
  <c r="AX36" i="21" s="1"/>
  <c r="AU36" i="21"/>
  <c r="AW36" i="21" s="1"/>
  <c r="AR36" i="21"/>
  <c r="AT36" i="21" s="1"/>
  <c r="AQ36" i="21"/>
  <c r="AS36" i="21" s="1"/>
  <c r="AN36" i="21"/>
  <c r="AP36" i="21" s="1"/>
  <c r="AM36" i="21"/>
  <c r="AO36" i="21" s="1"/>
  <c r="AJ36" i="21"/>
  <c r="AL36" i="21" s="1"/>
  <c r="AI36" i="21"/>
  <c r="AK36" i="21" s="1"/>
  <c r="AF36" i="21"/>
  <c r="AH36" i="21" s="1"/>
  <c r="AE36" i="21"/>
  <c r="AG36" i="21" s="1"/>
  <c r="AB36" i="21"/>
  <c r="AD36" i="21" s="1"/>
  <c r="AA36" i="21"/>
  <c r="AC36" i="21" s="1"/>
  <c r="X36" i="21"/>
  <c r="Z36" i="21" s="1"/>
  <c r="W36" i="21"/>
  <c r="Y36" i="21" s="1"/>
  <c r="T36" i="21"/>
  <c r="V36" i="21" s="1"/>
  <c r="S36" i="21"/>
  <c r="U36" i="21" s="1"/>
  <c r="P36" i="21"/>
  <c r="R36" i="21" s="1"/>
  <c r="O36" i="21"/>
  <c r="Q36" i="21" s="1"/>
  <c r="L36" i="21"/>
  <c r="N36" i="21" s="1"/>
  <c r="K36" i="21"/>
  <c r="M36" i="21" s="1"/>
  <c r="H36" i="21"/>
  <c r="J36" i="21" s="1"/>
  <c r="G36" i="21"/>
  <c r="I36" i="21" s="1"/>
  <c r="E36" i="21"/>
  <c r="D36" i="21"/>
  <c r="C36" i="21"/>
  <c r="AV35" i="21"/>
  <c r="AX35" i="21" s="1"/>
  <c r="AU35" i="21"/>
  <c r="AW35" i="21" s="1"/>
  <c r="AR35" i="21"/>
  <c r="AT35" i="21" s="1"/>
  <c r="AQ35" i="21"/>
  <c r="AS35" i="21" s="1"/>
  <c r="AN35" i="21"/>
  <c r="AP35" i="21" s="1"/>
  <c r="AM35" i="21"/>
  <c r="AO35" i="21" s="1"/>
  <c r="AJ35" i="21"/>
  <c r="AL35" i="21" s="1"/>
  <c r="AI35" i="21"/>
  <c r="AK35" i="21" s="1"/>
  <c r="AF35" i="21"/>
  <c r="AH35" i="21" s="1"/>
  <c r="AE35" i="21"/>
  <c r="AG35" i="21" s="1"/>
  <c r="AB35" i="21"/>
  <c r="AD35" i="21" s="1"/>
  <c r="AA35" i="21"/>
  <c r="AC35" i="21" s="1"/>
  <c r="X35" i="21"/>
  <c r="Z35" i="21" s="1"/>
  <c r="W35" i="21"/>
  <c r="Y35" i="21" s="1"/>
  <c r="T35" i="21"/>
  <c r="V35" i="21" s="1"/>
  <c r="S35" i="21"/>
  <c r="U35" i="21" s="1"/>
  <c r="P35" i="21"/>
  <c r="R35" i="21" s="1"/>
  <c r="O35" i="21"/>
  <c r="Q35" i="21" s="1"/>
  <c r="L35" i="21"/>
  <c r="N35" i="21" s="1"/>
  <c r="K35" i="21"/>
  <c r="M35" i="21" s="1"/>
  <c r="H35" i="21"/>
  <c r="J35" i="21" s="1"/>
  <c r="G35" i="21"/>
  <c r="I35" i="21" s="1"/>
  <c r="E35" i="21"/>
  <c r="D35" i="21"/>
  <c r="C35" i="21"/>
  <c r="AV34" i="21"/>
  <c r="AX34" i="21" s="1"/>
  <c r="AU34" i="21"/>
  <c r="AW34" i="21" s="1"/>
  <c r="AR34" i="21"/>
  <c r="AT34" i="21" s="1"/>
  <c r="AQ34" i="21"/>
  <c r="AS34" i="21" s="1"/>
  <c r="AN34" i="21"/>
  <c r="AP34" i="21" s="1"/>
  <c r="AM34" i="21"/>
  <c r="AO34" i="21" s="1"/>
  <c r="AJ34" i="21"/>
  <c r="AL34" i="21" s="1"/>
  <c r="AI34" i="21"/>
  <c r="AK34" i="21" s="1"/>
  <c r="AF34" i="21"/>
  <c r="AH34" i="21" s="1"/>
  <c r="AE34" i="21"/>
  <c r="AG34" i="21" s="1"/>
  <c r="AB34" i="21"/>
  <c r="AD34" i="21" s="1"/>
  <c r="AA34" i="21"/>
  <c r="AC34" i="21" s="1"/>
  <c r="X34" i="21"/>
  <c r="Z34" i="21" s="1"/>
  <c r="W34" i="21"/>
  <c r="Y34" i="21" s="1"/>
  <c r="T34" i="21"/>
  <c r="V34" i="21" s="1"/>
  <c r="S34" i="21"/>
  <c r="U34" i="21" s="1"/>
  <c r="P34" i="21"/>
  <c r="R34" i="21" s="1"/>
  <c r="O34" i="21"/>
  <c r="Q34" i="21" s="1"/>
  <c r="L34" i="21"/>
  <c r="N34" i="21" s="1"/>
  <c r="K34" i="21"/>
  <c r="M34" i="21" s="1"/>
  <c r="H34" i="21"/>
  <c r="J34" i="21" s="1"/>
  <c r="G34" i="21"/>
  <c r="I34" i="21" s="1"/>
  <c r="E34" i="21"/>
  <c r="D34" i="21"/>
  <c r="C34" i="21"/>
  <c r="AV33" i="21"/>
  <c r="AX33" i="21" s="1"/>
  <c r="AU33" i="21"/>
  <c r="AW33" i="21" s="1"/>
  <c r="AR33" i="21"/>
  <c r="AT33" i="21" s="1"/>
  <c r="AQ33" i="21"/>
  <c r="AS33" i="21" s="1"/>
  <c r="AN33" i="21"/>
  <c r="AP33" i="21" s="1"/>
  <c r="AM33" i="21"/>
  <c r="AO33" i="21" s="1"/>
  <c r="AJ33" i="21"/>
  <c r="AL33" i="21" s="1"/>
  <c r="AI33" i="21"/>
  <c r="AK33" i="21" s="1"/>
  <c r="AF33" i="21"/>
  <c r="AH33" i="21" s="1"/>
  <c r="AE33" i="21"/>
  <c r="AG33" i="21" s="1"/>
  <c r="AB33" i="21"/>
  <c r="AD33" i="21" s="1"/>
  <c r="AA33" i="21"/>
  <c r="AC33" i="21" s="1"/>
  <c r="X33" i="21"/>
  <c r="Z33" i="21" s="1"/>
  <c r="W33" i="21"/>
  <c r="Y33" i="21" s="1"/>
  <c r="T33" i="21"/>
  <c r="V33" i="21" s="1"/>
  <c r="S33" i="21"/>
  <c r="U33" i="21" s="1"/>
  <c r="P33" i="21"/>
  <c r="R33" i="21" s="1"/>
  <c r="O33" i="21"/>
  <c r="Q33" i="21" s="1"/>
  <c r="L33" i="21"/>
  <c r="N33" i="21" s="1"/>
  <c r="K33" i="21"/>
  <c r="M33" i="21" s="1"/>
  <c r="H33" i="21"/>
  <c r="J33" i="21" s="1"/>
  <c r="G33" i="21"/>
  <c r="I33" i="21" s="1"/>
  <c r="E33" i="21"/>
  <c r="D33" i="21"/>
  <c r="C33" i="21"/>
  <c r="AV32" i="21"/>
  <c r="AX32" i="21" s="1"/>
  <c r="AU32" i="21"/>
  <c r="AW32" i="21" s="1"/>
  <c r="AR32" i="21"/>
  <c r="AT32" i="21" s="1"/>
  <c r="AQ32" i="21"/>
  <c r="AS32" i="21" s="1"/>
  <c r="AN32" i="21"/>
  <c r="AP32" i="21" s="1"/>
  <c r="AM32" i="21"/>
  <c r="AO32" i="21" s="1"/>
  <c r="AJ32" i="21"/>
  <c r="AL32" i="21" s="1"/>
  <c r="AI32" i="21"/>
  <c r="AK32" i="21" s="1"/>
  <c r="AF32" i="21"/>
  <c r="AH32" i="21" s="1"/>
  <c r="AE32" i="21"/>
  <c r="AG32" i="21" s="1"/>
  <c r="AB32" i="21"/>
  <c r="AD32" i="21" s="1"/>
  <c r="AA32" i="21"/>
  <c r="AC32" i="21" s="1"/>
  <c r="X32" i="21"/>
  <c r="Z32" i="21" s="1"/>
  <c r="W32" i="21"/>
  <c r="Y32" i="21" s="1"/>
  <c r="T32" i="21"/>
  <c r="V32" i="21" s="1"/>
  <c r="S32" i="21"/>
  <c r="U32" i="21" s="1"/>
  <c r="P32" i="21"/>
  <c r="R32" i="21" s="1"/>
  <c r="O32" i="21"/>
  <c r="Q32" i="21" s="1"/>
  <c r="L32" i="21"/>
  <c r="N32" i="21" s="1"/>
  <c r="K32" i="21"/>
  <c r="M32" i="21" s="1"/>
  <c r="H32" i="21"/>
  <c r="J32" i="21" s="1"/>
  <c r="G32" i="21"/>
  <c r="I32" i="21" s="1"/>
  <c r="E32" i="21"/>
  <c r="D32" i="21"/>
  <c r="C32" i="21"/>
  <c r="AV31" i="21"/>
  <c r="AX31" i="21" s="1"/>
  <c r="AU31" i="21"/>
  <c r="AW31" i="21" s="1"/>
  <c r="AR31" i="21"/>
  <c r="AT31" i="21" s="1"/>
  <c r="AQ31" i="21"/>
  <c r="AS31" i="21" s="1"/>
  <c r="AN31" i="21"/>
  <c r="AP31" i="21" s="1"/>
  <c r="AM31" i="21"/>
  <c r="AO31" i="21" s="1"/>
  <c r="AJ31" i="21"/>
  <c r="AL31" i="21" s="1"/>
  <c r="AI31" i="21"/>
  <c r="AK31" i="21" s="1"/>
  <c r="AF31" i="21"/>
  <c r="AH31" i="21" s="1"/>
  <c r="AE31" i="21"/>
  <c r="AG31" i="21" s="1"/>
  <c r="AB31" i="21"/>
  <c r="AD31" i="21" s="1"/>
  <c r="AA31" i="21"/>
  <c r="AC31" i="21" s="1"/>
  <c r="X31" i="21"/>
  <c r="Z31" i="21" s="1"/>
  <c r="W31" i="21"/>
  <c r="Y31" i="21" s="1"/>
  <c r="T31" i="21"/>
  <c r="V31" i="21" s="1"/>
  <c r="S31" i="21"/>
  <c r="U31" i="21" s="1"/>
  <c r="P31" i="21"/>
  <c r="R31" i="21" s="1"/>
  <c r="O31" i="21"/>
  <c r="Q31" i="21" s="1"/>
  <c r="L31" i="21"/>
  <c r="N31" i="21" s="1"/>
  <c r="K31" i="21"/>
  <c r="M31" i="21" s="1"/>
  <c r="H31" i="21"/>
  <c r="J31" i="21" s="1"/>
  <c r="G31" i="21"/>
  <c r="I31" i="21" s="1"/>
  <c r="E31" i="21"/>
  <c r="D31" i="21"/>
  <c r="C31" i="21"/>
  <c r="AV30" i="21"/>
  <c r="AX30" i="21" s="1"/>
  <c r="AU30" i="21"/>
  <c r="AW30" i="21" s="1"/>
  <c r="AR30" i="21"/>
  <c r="AT30" i="21" s="1"/>
  <c r="AQ30" i="21"/>
  <c r="AS30" i="21" s="1"/>
  <c r="AN30" i="21"/>
  <c r="AP30" i="21" s="1"/>
  <c r="AM30" i="21"/>
  <c r="AO30" i="21" s="1"/>
  <c r="AJ30" i="21"/>
  <c r="AL30" i="21" s="1"/>
  <c r="AI30" i="21"/>
  <c r="AK30" i="21" s="1"/>
  <c r="AF30" i="21"/>
  <c r="AH30" i="21" s="1"/>
  <c r="AE30" i="21"/>
  <c r="AG30" i="21" s="1"/>
  <c r="AB30" i="21"/>
  <c r="AD30" i="21" s="1"/>
  <c r="AA30" i="21"/>
  <c r="AC30" i="21" s="1"/>
  <c r="X30" i="21"/>
  <c r="Z30" i="21" s="1"/>
  <c r="W30" i="21"/>
  <c r="Y30" i="21" s="1"/>
  <c r="T30" i="21"/>
  <c r="V30" i="21" s="1"/>
  <c r="S30" i="21"/>
  <c r="U30" i="21" s="1"/>
  <c r="P30" i="21"/>
  <c r="R30" i="21" s="1"/>
  <c r="O30" i="21"/>
  <c r="Q30" i="21" s="1"/>
  <c r="L30" i="21"/>
  <c r="N30" i="21" s="1"/>
  <c r="K30" i="21"/>
  <c r="M30" i="21" s="1"/>
  <c r="H30" i="21"/>
  <c r="J30" i="21" s="1"/>
  <c r="G30" i="21"/>
  <c r="I30" i="21" s="1"/>
  <c r="E30" i="21"/>
  <c r="D30" i="21"/>
  <c r="C30" i="21"/>
  <c r="AV29" i="21"/>
  <c r="AX29" i="21" s="1"/>
  <c r="AU29" i="21"/>
  <c r="AW29" i="21" s="1"/>
  <c r="AR29" i="21"/>
  <c r="AT29" i="21" s="1"/>
  <c r="AQ29" i="21"/>
  <c r="AS29" i="21" s="1"/>
  <c r="AN29" i="21"/>
  <c r="AP29" i="21" s="1"/>
  <c r="AM29" i="21"/>
  <c r="AO29" i="21" s="1"/>
  <c r="AJ29" i="21"/>
  <c r="AL29" i="21" s="1"/>
  <c r="AI29" i="21"/>
  <c r="AK29" i="21" s="1"/>
  <c r="AF29" i="21"/>
  <c r="AH29" i="21" s="1"/>
  <c r="AE29" i="21"/>
  <c r="AG29" i="21" s="1"/>
  <c r="AB29" i="21"/>
  <c r="AD29" i="21" s="1"/>
  <c r="AA29" i="21"/>
  <c r="AC29" i="21" s="1"/>
  <c r="X29" i="21"/>
  <c r="Z29" i="21" s="1"/>
  <c r="W29" i="21"/>
  <c r="Y29" i="21" s="1"/>
  <c r="T29" i="21"/>
  <c r="V29" i="21" s="1"/>
  <c r="S29" i="21"/>
  <c r="U29" i="21" s="1"/>
  <c r="P29" i="21"/>
  <c r="R29" i="21" s="1"/>
  <c r="O29" i="21"/>
  <c r="Q29" i="21" s="1"/>
  <c r="L29" i="21"/>
  <c r="N29" i="21" s="1"/>
  <c r="K29" i="21"/>
  <c r="M29" i="21" s="1"/>
  <c r="H29" i="21"/>
  <c r="J29" i="21" s="1"/>
  <c r="G29" i="21"/>
  <c r="I29" i="21" s="1"/>
  <c r="E29" i="21"/>
  <c r="D29" i="21"/>
  <c r="C29" i="21"/>
  <c r="AV28" i="21"/>
  <c r="AX28" i="21" s="1"/>
  <c r="AU28" i="21"/>
  <c r="AW28" i="21" s="1"/>
  <c r="AR28" i="21"/>
  <c r="AT28" i="21" s="1"/>
  <c r="AQ28" i="21"/>
  <c r="AS28" i="21" s="1"/>
  <c r="AN28" i="21"/>
  <c r="AP28" i="21" s="1"/>
  <c r="AM28" i="21"/>
  <c r="AO28" i="21" s="1"/>
  <c r="AJ28" i="21"/>
  <c r="AL28" i="21" s="1"/>
  <c r="AI28" i="21"/>
  <c r="AK28" i="21" s="1"/>
  <c r="AF28" i="21"/>
  <c r="AH28" i="21" s="1"/>
  <c r="AE28" i="21"/>
  <c r="AG28" i="21" s="1"/>
  <c r="AB28" i="21"/>
  <c r="AD28" i="21" s="1"/>
  <c r="AA28" i="21"/>
  <c r="AC28" i="21" s="1"/>
  <c r="X28" i="21"/>
  <c r="Z28" i="21" s="1"/>
  <c r="W28" i="21"/>
  <c r="Y28" i="21" s="1"/>
  <c r="T28" i="21"/>
  <c r="V28" i="21" s="1"/>
  <c r="S28" i="21"/>
  <c r="U28" i="21" s="1"/>
  <c r="P28" i="21"/>
  <c r="R28" i="21" s="1"/>
  <c r="O28" i="21"/>
  <c r="Q28" i="21" s="1"/>
  <c r="L28" i="21"/>
  <c r="N28" i="21" s="1"/>
  <c r="K28" i="21"/>
  <c r="M28" i="21" s="1"/>
  <c r="H28" i="21"/>
  <c r="J28" i="21" s="1"/>
  <c r="G28" i="21"/>
  <c r="I28" i="21" s="1"/>
  <c r="E28" i="21"/>
  <c r="D28" i="21"/>
  <c r="C28" i="21"/>
  <c r="AV27" i="21"/>
  <c r="AX27" i="21" s="1"/>
  <c r="AU27" i="21"/>
  <c r="AW27" i="21" s="1"/>
  <c r="AR27" i="21"/>
  <c r="AT27" i="21" s="1"/>
  <c r="AQ27" i="21"/>
  <c r="AS27" i="21" s="1"/>
  <c r="AN27" i="21"/>
  <c r="AP27" i="21" s="1"/>
  <c r="AM27" i="21"/>
  <c r="AO27" i="21" s="1"/>
  <c r="AJ27" i="21"/>
  <c r="AL27" i="21" s="1"/>
  <c r="AI27" i="21"/>
  <c r="AK27" i="21" s="1"/>
  <c r="AF27" i="21"/>
  <c r="AH27" i="21" s="1"/>
  <c r="AE27" i="21"/>
  <c r="AG27" i="21" s="1"/>
  <c r="AB27" i="21"/>
  <c r="AD27" i="21" s="1"/>
  <c r="AA27" i="21"/>
  <c r="AC27" i="21" s="1"/>
  <c r="X27" i="21"/>
  <c r="Z27" i="21" s="1"/>
  <c r="W27" i="21"/>
  <c r="Y27" i="21" s="1"/>
  <c r="T27" i="21"/>
  <c r="V27" i="21" s="1"/>
  <c r="S27" i="21"/>
  <c r="U27" i="21" s="1"/>
  <c r="P27" i="21"/>
  <c r="R27" i="21" s="1"/>
  <c r="O27" i="21"/>
  <c r="Q27" i="21" s="1"/>
  <c r="L27" i="21"/>
  <c r="N27" i="21" s="1"/>
  <c r="K27" i="21"/>
  <c r="M27" i="21" s="1"/>
  <c r="H27" i="21"/>
  <c r="J27" i="21" s="1"/>
  <c r="G27" i="21"/>
  <c r="I27" i="21" s="1"/>
  <c r="E27" i="21"/>
  <c r="D27" i="21"/>
  <c r="C27" i="21"/>
  <c r="AV26" i="21"/>
  <c r="AX26" i="21" s="1"/>
  <c r="AU26" i="21"/>
  <c r="AW26" i="21" s="1"/>
  <c r="AR26" i="21"/>
  <c r="AT26" i="21" s="1"/>
  <c r="AQ26" i="21"/>
  <c r="AS26" i="21" s="1"/>
  <c r="AN26" i="21"/>
  <c r="AP26" i="21" s="1"/>
  <c r="AM26" i="21"/>
  <c r="AO26" i="21" s="1"/>
  <c r="AJ26" i="21"/>
  <c r="AL26" i="21" s="1"/>
  <c r="AI26" i="21"/>
  <c r="AK26" i="21" s="1"/>
  <c r="AF26" i="21"/>
  <c r="AH26" i="21" s="1"/>
  <c r="AE26" i="21"/>
  <c r="AG26" i="21" s="1"/>
  <c r="AB26" i="21"/>
  <c r="AD26" i="21" s="1"/>
  <c r="AA26" i="21"/>
  <c r="AC26" i="21" s="1"/>
  <c r="X26" i="21"/>
  <c r="Z26" i="21" s="1"/>
  <c r="W26" i="21"/>
  <c r="Y26" i="21" s="1"/>
  <c r="T26" i="21"/>
  <c r="V26" i="21" s="1"/>
  <c r="S26" i="21"/>
  <c r="U26" i="21" s="1"/>
  <c r="P26" i="21"/>
  <c r="R26" i="21" s="1"/>
  <c r="O26" i="21"/>
  <c r="Q26" i="21" s="1"/>
  <c r="L26" i="21"/>
  <c r="N26" i="21" s="1"/>
  <c r="K26" i="21"/>
  <c r="M26" i="21" s="1"/>
  <c r="H26" i="21"/>
  <c r="J26" i="21" s="1"/>
  <c r="G26" i="21"/>
  <c r="I26" i="21" s="1"/>
  <c r="E26" i="21"/>
  <c r="D26" i="21"/>
  <c r="C26" i="21"/>
  <c r="AV25" i="21"/>
  <c r="AX25" i="21" s="1"/>
  <c r="AU25" i="21"/>
  <c r="AW25" i="21" s="1"/>
  <c r="AR25" i="21"/>
  <c r="AT25" i="21" s="1"/>
  <c r="AQ25" i="21"/>
  <c r="AS25" i="21" s="1"/>
  <c r="AN25" i="21"/>
  <c r="AP25" i="21" s="1"/>
  <c r="AM25" i="21"/>
  <c r="AO25" i="21" s="1"/>
  <c r="AJ25" i="21"/>
  <c r="AL25" i="21" s="1"/>
  <c r="AI25" i="21"/>
  <c r="AK25" i="21" s="1"/>
  <c r="AF25" i="21"/>
  <c r="AH25" i="21" s="1"/>
  <c r="AE25" i="21"/>
  <c r="AG25" i="21" s="1"/>
  <c r="AB25" i="21"/>
  <c r="AD25" i="21" s="1"/>
  <c r="AA25" i="21"/>
  <c r="AC25" i="21" s="1"/>
  <c r="X25" i="21"/>
  <c r="Z25" i="21" s="1"/>
  <c r="W25" i="21"/>
  <c r="Y25" i="21" s="1"/>
  <c r="T25" i="21"/>
  <c r="V25" i="21" s="1"/>
  <c r="S25" i="21"/>
  <c r="U25" i="21" s="1"/>
  <c r="P25" i="21"/>
  <c r="R25" i="21" s="1"/>
  <c r="O25" i="21"/>
  <c r="Q25" i="21" s="1"/>
  <c r="L25" i="21"/>
  <c r="N25" i="21" s="1"/>
  <c r="K25" i="21"/>
  <c r="M25" i="21" s="1"/>
  <c r="H25" i="21"/>
  <c r="J25" i="21" s="1"/>
  <c r="G25" i="21"/>
  <c r="I25" i="21" s="1"/>
  <c r="E25" i="21"/>
  <c r="D25" i="21"/>
  <c r="C25" i="21"/>
  <c r="AV24" i="21"/>
  <c r="AX24" i="21" s="1"/>
  <c r="AU24" i="21"/>
  <c r="AW24" i="21" s="1"/>
  <c r="AR24" i="21"/>
  <c r="AT24" i="21" s="1"/>
  <c r="AQ24" i="21"/>
  <c r="AS24" i="21" s="1"/>
  <c r="AN24" i="21"/>
  <c r="AP24" i="21" s="1"/>
  <c r="AM24" i="21"/>
  <c r="AO24" i="21" s="1"/>
  <c r="AJ24" i="21"/>
  <c r="AL24" i="21" s="1"/>
  <c r="AI24" i="21"/>
  <c r="AK24" i="21" s="1"/>
  <c r="AF24" i="21"/>
  <c r="AH24" i="21" s="1"/>
  <c r="AE24" i="21"/>
  <c r="AG24" i="21" s="1"/>
  <c r="AB24" i="21"/>
  <c r="AD24" i="21" s="1"/>
  <c r="AA24" i="21"/>
  <c r="AC24" i="21" s="1"/>
  <c r="X24" i="21"/>
  <c r="Z24" i="21" s="1"/>
  <c r="W24" i="21"/>
  <c r="Y24" i="21" s="1"/>
  <c r="T24" i="21"/>
  <c r="V24" i="21" s="1"/>
  <c r="S24" i="21"/>
  <c r="U24" i="21" s="1"/>
  <c r="P24" i="21"/>
  <c r="R24" i="21" s="1"/>
  <c r="O24" i="21"/>
  <c r="Q24" i="21" s="1"/>
  <c r="L24" i="21"/>
  <c r="N24" i="21" s="1"/>
  <c r="K24" i="21"/>
  <c r="M24" i="21" s="1"/>
  <c r="H24" i="21"/>
  <c r="J24" i="21" s="1"/>
  <c r="G24" i="21"/>
  <c r="I24" i="21" s="1"/>
  <c r="E24" i="21"/>
  <c r="D24" i="21"/>
  <c r="C24" i="21"/>
  <c r="AV23" i="21"/>
  <c r="AX23" i="21" s="1"/>
  <c r="AU23" i="21"/>
  <c r="AW23" i="21" s="1"/>
  <c r="AR23" i="21"/>
  <c r="AT23" i="21" s="1"/>
  <c r="AQ23" i="21"/>
  <c r="AS23" i="21" s="1"/>
  <c r="AN23" i="21"/>
  <c r="AP23" i="21" s="1"/>
  <c r="AM23" i="21"/>
  <c r="AO23" i="21" s="1"/>
  <c r="AJ23" i="21"/>
  <c r="AL23" i="21" s="1"/>
  <c r="AI23" i="21"/>
  <c r="AK23" i="21" s="1"/>
  <c r="AF23" i="21"/>
  <c r="AH23" i="21" s="1"/>
  <c r="AE23" i="21"/>
  <c r="AG23" i="21" s="1"/>
  <c r="AB23" i="21"/>
  <c r="AD23" i="21" s="1"/>
  <c r="AA23" i="21"/>
  <c r="AC23" i="21" s="1"/>
  <c r="X23" i="21"/>
  <c r="Z23" i="21" s="1"/>
  <c r="W23" i="21"/>
  <c r="Y23" i="21" s="1"/>
  <c r="T23" i="21"/>
  <c r="V23" i="21" s="1"/>
  <c r="S23" i="21"/>
  <c r="U23" i="21" s="1"/>
  <c r="P23" i="21"/>
  <c r="R23" i="21" s="1"/>
  <c r="O23" i="21"/>
  <c r="Q23" i="21" s="1"/>
  <c r="L23" i="21"/>
  <c r="N23" i="21" s="1"/>
  <c r="K23" i="21"/>
  <c r="M23" i="21" s="1"/>
  <c r="H23" i="21"/>
  <c r="J23" i="21" s="1"/>
  <c r="G23" i="21"/>
  <c r="I23" i="21" s="1"/>
  <c r="E23" i="21"/>
  <c r="D23" i="21"/>
  <c r="C23" i="21"/>
  <c r="AV22" i="21"/>
  <c r="AX22" i="21" s="1"/>
  <c r="AU22" i="21"/>
  <c r="AW22" i="21" s="1"/>
  <c r="AR22" i="21"/>
  <c r="AT22" i="21" s="1"/>
  <c r="AQ22" i="21"/>
  <c r="AS22" i="21" s="1"/>
  <c r="AN22" i="21"/>
  <c r="AP22" i="21" s="1"/>
  <c r="AM22" i="21"/>
  <c r="AO22" i="21" s="1"/>
  <c r="AJ22" i="21"/>
  <c r="AL22" i="21" s="1"/>
  <c r="AI22" i="21"/>
  <c r="AK22" i="21" s="1"/>
  <c r="AF22" i="21"/>
  <c r="AH22" i="21" s="1"/>
  <c r="AE22" i="21"/>
  <c r="AG22" i="21" s="1"/>
  <c r="AB22" i="21"/>
  <c r="AD22" i="21" s="1"/>
  <c r="AA22" i="21"/>
  <c r="AC22" i="21" s="1"/>
  <c r="X22" i="21"/>
  <c r="Z22" i="21" s="1"/>
  <c r="W22" i="21"/>
  <c r="Y22" i="21" s="1"/>
  <c r="T22" i="21"/>
  <c r="V22" i="21" s="1"/>
  <c r="S22" i="21"/>
  <c r="U22" i="21" s="1"/>
  <c r="P22" i="21"/>
  <c r="R22" i="21" s="1"/>
  <c r="O22" i="21"/>
  <c r="Q22" i="21" s="1"/>
  <c r="L22" i="21"/>
  <c r="N22" i="21" s="1"/>
  <c r="K22" i="21"/>
  <c r="M22" i="21" s="1"/>
  <c r="H22" i="21"/>
  <c r="J22" i="21" s="1"/>
  <c r="G22" i="21"/>
  <c r="I22" i="21" s="1"/>
  <c r="E22" i="21"/>
  <c r="D22" i="21"/>
  <c r="C22" i="21"/>
  <c r="AV21" i="21"/>
  <c r="AX21" i="21" s="1"/>
  <c r="AU21" i="21"/>
  <c r="AW21" i="21" s="1"/>
  <c r="AR21" i="21"/>
  <c r="AT21" i="21" s="1"/>
  <c r="AQ21" i="21"/>
  <c r="AS21" i="21" s="1"/>
  <c r="AN21" i="21"/>
  <c r="AP21" i="21" s="1"/>
  <c r="AM21" i="21"/>
  <c r="AO21" i="21" s="1"/>
  <c r="AJ21" i="21"/>
  <c r="AL21" i="21" s="1"/>
  <c r="AI21" i="21"/>
  <c r="AK21" i="21" s="1"/>
  <c r="AF21" i="21"/>
  <c r="AH21" i="21" s="1"/>
  <c r="AE21" i="21"/>
  <c r="AG21" i="21" s="1"/>
  <c r="AB21" i="21"/>
  <c r="AD21" i="21" s="1"/>
  <c r="AA21" i="21"/>
  <c r="AC21" i="21" s="1"/>
  <c r="X21" i="21"/>
  <c r="Z21" i="21" s="1"/>
  <c r="W21" i="21"/>
  <c r="Y21" i="21" s="1"/>
  <c r="T21" i="21"/>
  <c r="V21" i="21" s="1"/>
  <c r="S21" i="21"/>
  <c r="U21" i="21" s="1"/>
  <c r="P21" i="21"/>
  <c r="R21" i="21" s="1"/>
  <c r="O21" i="21"/>
  <c r="Q21" i="21" s="1"/>
  <c r="L21" i="21"/>
  <c r="N21" i="21" s="1"/>
  <c r="K21" i="21"/>
  <c r="M21" i="21" s="1"/>
  <c r="H21" i="21"/>
  <c r="J21" i="21" s="1"/>
  <c r="G21" i="21"/>
  <c r="I21" i="21" s="1"/>
  <c r="E21" i="21"/>
  <c r="D21" i="21"/>
  <c r="C21" i="21"/>
  <c r="AV20" i="21"/>
  <c r="AX20" i="21" s="1"/>
  <c r="AU20" i="21"/>
  <c r="AW20" i="21" s="1"/>
  <c r="AR20" i="21"/>
  <c r="AT20" i="21" s="1"/>
  <c r="AQ20" i="21"/>
  <c r="AS20" i="21" s="1"/>
  <c r="AN20" i="21"/>
  <c r="AP20" i="21" s="1"/>
  <c r="AM20" i="21"/>
  <c r="AO20" i="21" s="1"/>
  <c r="AJ20" i="21"/>
  <c r="AL20" i="21" s="1"/>
  <c r="AI20" i="21"/>
  <c r="AK20" i="21" s="1"/>
  <c r="AF20" i="21"/>
  <c r="AH20" i="21" s="1"/>
  <c r="AE20" i="21"/>
  <c r="AG20" i="21" s="1"/>
  <c r="AB20" i="21"/>
  <c r="AD20" i="21" s="1"/>
  <c r="AA20" i="21"/>
  <c r="AC20" i="21" s="1"/>
  <c r="X20" i="21"/>
  <c r="Z20" i="21" s="1"/>
  <c r="W20" i="21"/>
  <c r="Y20" i="21" s="1"/>
  <c r="T20" i="21"/>
  <c r="V20" i="21" s="1"/>
  <c r="S20" i="21"/>
  <c r="U20" i="21" s="1"/>
  <c r="P20" i="21"/>
  <c r="R20" i="21" s="1"/>
  <c r="O20" i="21"/>
  <c r="Q20" i="21" s="1"/>
  <c r="L20" i="21"/>
  <c r="N20" i="21" s="1"/>
  <c r="K20" i="21"/>
  <c r="M20" i="21" s="1"/>
  <c r="H20" i="21"/>
  <c r="J20" i="21" s="1"/>
  <c r="G20" i="21"/>
  <c r="I20" i="21" s="1"/>
  <c r="E20" i="21"/>
  <c r="D20" i="21"/>
  <c r="C20" i="21"/>
  <c r="AV19" i="21"/>
  <c r="AX19" i="21" s="1"/>
  <c r="AU19" i="21"/>
  <c r="AW19" i="21" s="1"/>
  <c r="AR19" i="21"/>
  <c r="AT19" i="21" s="1"/>
  <c r="AQ19" i="21"/>
  <c r="AS19" i="21" s="1"/>
  <c r="AN19" i="21"/>
  <c r="AP19" i="21" s="1"/>
  <c r="AM19" i="21"/>
  <c r="AO19" i="21" s="1"/>
  <c r="AJ19" i="21"/>
  <c r="AL19" i="21" s="1"/>
  <c r="AI19" i="21"/>
  <c r="AK19" i="21" s="1"/>
  <c r="AF19" i="21"/>
  <c r="AH19" i="21" s="1"/>
  <c r="AE19" i="21"/>
  <c r="AG19" i="21" s="1"/>
  <c r="AB19" i="21"/>
  <c r="AD19" i="21" s="1"/>
  <c r="AA19" i="21"/>
  <c r="AC19" i="21" s="1"/>
  <c r="X19" i="21"/>
  <c r="Z19" i="21" s="1"/>
  <c r="W19" i="21"/>
  <c r="Y19" i="21" s="1"/>
  <c r="T19" i="21"/>
  <c r="V19" i="21" s="1"/>
  <c r="S19" i="21"/>
  <c r="U19" i="21" s="1"/>
  <c r="P19" i="21"/>
  <c r="R19" i="21" s="1"/>
  <c r="O19" i="21"/>
  <c r="Q19" i="21" s="1"/>
  <c r="L19" i="21"/>
  <c r="N19" i="21" s="1"/>
  <c r="K19" i="21"/>
  <c r="M19" i="21" s="1"/>
  <c r="H19" i="21"/>
  <c r="J19" i="21" s="1"/>
  <c r="G19" i="21"/>
  <c r="I19" i="21" s="1"/>
  <c r="E19" i="21"/>
  <c r="D19" i="21"/>
  <c r="C19" i="21"/>
  <c r="AV18" i="21"/>
  <c r="AX18" i="21" s="1"/>
  <c r="AU18" i="21"/>
  <c r="AW18" i="21" s="1"/>
  <c r="AR18" i="21"/>
  <c r="AT18" i="21" s="1"/>
  <c r="AQ18" i="21"/>
  <c r="AS18" i="21" s="1"/>
  <c r="AN18" i="21"/>
  <c r="AP18" i="21" s="1"/>
  <c r="AM18" i="21"/>
  <c r="AO18" i="21" s="1"/>
  <c r="AJ18" i="21"/>
  <c r="AL18" i="21" s="1"/>
  <c r="AI18" i="21"/>
  <c r="AK18" i="21" s="1"/>
  <c r="AF18" i="21"/>
  <c r="AH18" i="21" s="1"/>
  <c r="AE18" i="21"/>
  <c r="AG18" i="21" s="1"/>
  <c r="AB18" i="21"/>
  <c r="AD18" i="21" s="1"/>
  <c r="AA18" i="21"/>
  <c r="AC18" i="21" s="1"/>
  <c r="X18" i="21"/>
  <c r="Z18" i="21" s="1"/>
  <c r="W18" i="21"/>
  <c r="Y18" i="21" s="1"/>
  <c r="T18" i="21"/>
  <c r="V18" i="21" s="1"/>
  <c r="S18" i="21"/>
  <c r="U18" i="21" s="1"/>
  <c r="P18" i="21"/>
  <c r="R18" i="21" s="1"/>
  <c r="O18" i="21"/>
  <c r="Q18" i="21" s="1"/>
  <c r="L18" i="21"/>
  <c r="N18" i="21" s="1"/>
  <c r="K18" i="21"/>
  <c r="M18" i="21" s="1"/>
  <c r="H18" i="21"/>
  <c r="J18" i="21" s="1"/>
  <c r="G18" i="21"/>
  <c r="I18" i="21" s="1"/>
  <c r="E18" i="21"/>
  <c r="D18" i="21"/>
  <c r="C18" i="21"/>
  <c r="AV17" i="21"/>
  <c r="AX17" i="21" s="1"/>
  <c r="AU17" i="21"/>
  <c r="AW17" i="21" s="1"/>
  <c r="AR17" i="21"/>
  <c r="AT17" i="21" s="1"/>
  <c r="AQ17" i="21"/>
  <c r="AS17" i="21" s="1"/>
  <c r="AN17" i="21"/>
  <c r="AP17" i="21" s="1"/>
  <c r="AM17" i="21"/>
  <c r="AO17" i="21" s="1"/>
  <c r="AJ17" i="21"/>
  <c r="AL17" i="21" s="1"/>
  <c r="AI17" i="21"/>
  <c r="AK17" i="21" s="1"/>
  <c r="AF17" i="21"/>
  <c r="AH17" i="21" s="1"/>
  <c r="AE17" i="21"/>
  <c r="AG17" i="21" s="1"/>
  <c r="AB17" i="21"/>
  <c r="AD17" i="21" s="1"/>
  <c r="AA17" i="21"/>
  <c r="AC17" i="21" s="1"/>
  <c r="X17" i="21"/>
  <c r="Z17" i="21" s="1"/>
  <c r="W17" i="21"/>
  <c r="Y17" i="21" s="1"/>
  <c r="T17" i="21"/>
  <c r="V17" i="21" s="1"/>
  <c r="S17" i="21"/>
  <c r="U17" i="21" s="1"/>
  <c r="P17" i="21"/>
  <c r="R17" i="21" s="1"/>
  <c r="O17" i="21"/>
  <c r="Q17" i="21" s="1"/>
  <c r="L17" i="21"/>
  <c r="N17" i="21" s="1"/>
  <c r="K17" i="21"/>
  <c r="M17" i="21" s="1"/>
  <c r="H17" i="21"/>
  <c r="J17" i="21" s="1"/>
  <c r="G17" i="21"/>
  <c r="I17" i="21" s="1"/>
  <c r="E17" i="21"/>
  <c r="D17" i="21"/>
  <c r="C17" i="21"/>
  <c r="AV16" i="21"/>
  <c r="AX16" i="21" s="1"/>
  <c r="AU16" i="21"/>
  <c r="AW16" i="21" s="1"/>
  <c r="AR16" i="21"/>
  <c r="AT16" i="21" s="1"/>
  <c r="AQ16" i="21"/>
  <c r="AS16" i="21" s="1"/>
  <c r="AN16" i="21"/>
  <c r="AP16" i="21" s="1"/>
  <c r="AM16" i="21"/>
  <c r="AO16" i="21" s="1"/>
  <c r="AJ16" i="21"/>
  <c r="AL16" i="21" s="1"/>
  <c r="AI16" i="21"/>
  <c r="AK16" i="21" s="1"/>
  <c r="AF16" i="21"/>
  <c r="AH16" i="21" s="1"/>
  <c r="AE16" i="21"/>
  <c r="AG16" i="21" s="1"/>
  <c r="AB16" i="21"/>
  <c r="AD16" i="21" s="1"/>
  <c r="AA16" i="21"/>
  <c r="AC16" i="21" s="1"/>
  <c r="X16" i="21"/>
  <c r="Z16" i="21" s="1"/>
  <c r="W16" i="21"/>
  <c r="Y16" i="21" s="1"/>
  <c r="T16" i="21"/>
  <c r="V16" i="21" s="1"/>
  <c r="S16" i="21"/>
  <c r="U16" i="21" s="1"/>
  <c r="P16" i="21"/>
  <c r="R16" i="21" s="1"/>
  <c r="O16" i="21"/>
  <c r="Q16" i="21" s="1"/>
  <c r="L16" i="21"/>
  <c r="N16" i="21" s="1"/>
  <c r="K16" i="21"/>
  <c r="M16" i="21" s="1"/>
  <c r="H16" i="21"/>
  <c r="J16" i="21" s="1"/>
  <c r="G16" i="21"/>
  <c r="I16" i="21" s="1"/>
  <c r="E16" i="21"/>
  <c r="D16" i="21"/>
  <c r="C16" i="21"/>
  <c r="AV15" i="21"/>
  <c r="AX15" i="21" s="1"/>
  <c r="AU15" i="21"/>
  <c r="AW15" i="21" s="1"/>
  <c r="AR15" i="21"/>
  <c r="AT15" i="21" s="1"/>
  <c r="AQ15" i="21"/>
  <c r="AS15" i="21" s="1"/>
  <c r="AN15" i="21"/>
  <c r="AP15" i="21" s="1"/>
  <c r="AM15" i="21"/>
  <c r="AO15" i="21" s="1"/>
  <c r="AJ15" i="21"/>
  <c r="AL15" i="21" s="1"/>
  <c r="AI15" i="21"/>
  <c r="AK15" i="21" s="1"/>
  <c r="AF15" i="21"/>
  <c r="AH15" i="21" s="1"/>
  <c r="AE15" i="21"/>
  <c r="AG15" i="21" s="1"/>
  <c r="AB15" i="21"/>
  <c r="AD15" i="21" s="1"/>
  <c r="AA15" i="21"/>
  <c r="AC15" i="21" s="1"/>
  <c r="X15" i="21"/>
  <c r="Z15" i="21" s="1"/>
  <c r="W15" i="21"/>
  <c r="Y15" i="21" s="1"/>
  <c r="T15" i="21"/>
  <c r="V15" i="21" s="1"/>
  <c r="S15" i="21"/>
  <c r="U15" i="21" s="1"/>
  <c r="P15" i="21"/>
  <c r="R15" i="21" s="1"/>
  <c r="O15" i="21"/>
  <c r="Q15" i="21" s="1"/>
  <c r="L15" i="21"/>
  <c r="N15" i="21" s="1"/>
  <c r="K15" i="21"/>
  <c r="M15" i="21" s="1"/>
  <c r="H15" i="21"/>
  <c r="J15" i="21" s="1"/>
  <c r="G15" i="21"/>
  <c r="I15" i="21" s="1"/>
  <c r="E15" i="21"/>
  <c r="D15" i="21"/>
  <c r="C15" i="21"/>
  <c r="AV14" i="21"/>
  <c r="AX14" i="21" s="1"/>
  <c r="AU14" i="21"/>
  <c r="AW14" i="21" s="1"/>
  <c r="AR14" i="21"/>
  <c r="AT14" i="21" s="1"/>
  <c r="AQ14" i="21"/>
  <c r="AS14" i="21" s="1"/>
  <c r="AN14" i="21"/>
  <c r="AP14" i="21" s="1"/>
  <c r="AM14" i="21"/>
  <c r="AO14" i="21" s="1"/>
  <c r="AJ14" i="21"/>
  <c r="AL14" i="21" s="1"/>
  <c r="AI14" i="21"/>
  <c r="AK14" i="21" s="1"/>
  <c r="AF14" i="21"/>
  <c r="AH14" i="21" s="1"/>
  <c r="AE14" i="21"/>
  <c r="AG14" i="21" s="1"/>
  <c r="AB14" i="21"/>
  <c r="AD14" i="21" s="1"/>
  <c r="AA14" i="21"/>
  <c r="AC14" i="21" s="1"/>
  <c r="X14" i="21"/>
  <c r="Z14" i="21" s="1"/>
  <c r="W14" i="21"/>
  <c r="Y14" i="21" s="1"/>
  <c r="T14" i="21"/>
  <c r="V14" i="21" s="1"/>
  <c r="S14" i="21"/>
  <c r="U14" i="21" s="1"/>
  <c r="P14" i="21"/>
  <c r="R14" i="21" s="1"/>
  <c r="O14" i="21"/>
  <c r="Q14" i="21" s="1"/>
  <c r="L14" i="21"/>
  <c r="N14" i="21" s="1"/>
  <c r="K14" i="21"/>
  <c r="M14" i="21" s="1"/>
  <c r="H14" i="21"/>
  <c r="J14" i="21" s="1"/>
  <c r="G14" i="21"/>
  <c r="I14" i="21" s="1"/>
  <c r="E14" i="21"/>
  <c r="D14" i="21"/>
  <c r="C14" i="21"/>
  <c r="AV13" i="21"/>
  <c r="AX13" i="21" s="1"/>
  <c r="AU13" i="21"/>
  <c r="AW13" i="21" s="1"/>
  <c r="AR13" i="21"/>
  <c r="AT13" i="21" s="1"/>
  <c r="AQ13" i="21"/>
  <c r="AS13" i="21" s="1"/>
  <c r="AN13" i="21"/>
  <c r="AP13" i="21" s="1"/>
  <c r="AM13" i="21"/>
  <c r="AO13" i="21" s="1"/>
  <c r="AJ13" i="21"/>
  <c r="AL13" i="21" s="1"/>
  <c r="AI13" i="21"/>
  <c r="AK13" i="21" s="1"/>
  <c r="AF13" i="21"/>
  <c r="AH13" i="21" s="1"/>
  <c r="AE13" i="21"/>
  <c r="AG13" i="21" s="1"/>
  <c r="AB13" i="21"/>
  <c r="AD13" i="21" s="1"/>
  <c r="AA13" i="21"/>
  <c r="AC13" i="21" s="1"/>
  <c r="X13" i="21"/>
  <c r="Z13" i="21" s="1"/>
  <c r="W13" i="21"/>
  <c r="Y13" i="21" s="1"/>
  <c r="T13" i="21"/>
  <c r="V13" i="21" s="1"/>
  <c r="S13" i="21"/>
  <c r="U13" i="21" s="1"/>
  <c r="P13" i="21"/>
  <c r="R13" i="21" s="1"/>
  <c r="O13" i="21"/>
  <c r="Q13" i="21" s="1"/>
  <c r="L13" i="21"/>
  <c r="N13" i="21" s="1"/>
  <c r="K13" i="21"/>
  <c r="M13" i="21" s="1"/>
  <c r="H13" i="21"/>
  <c r="J13" i="21" s="1"/>
  <c r="G13" i="21"/>
  <c r="I13" i="21" s="1"/>
  <c r="E13" i="21"/>
  <c r="D13" i="21"/>
  <c r="C13" i="21"/>
  <c r="AV12" i="21"/>
  <c r="AX12" i="21" s="1"/>
  <c r="AU12" i="21"/>
  <c r="AW12" i="21" s="1"/>
  <c r="AR12" i="21"/>
  <c r="AT12" i="21" s="1"/>
  <c r="AQ12" i="21"/>
  <c r="AS12" i="21" s="1"/>
  <c r="AN12" i="21"/>
  <c r="AP12" i="21" s="1"/>
  <c r="AM12" i="21"/>
  <c r="AO12" i="21" s="1"/>
  <c r="AJ12" i="21"/>
  <c r="AL12" i="21" s="1"/>
  <c r="AI12" i="21"/>
  <c r="AK12" i="21" s="1"/>
  <c r="AF12" i="21"/>
  <c r="AH12" i="21" s="1"/>
  <c r="AE12" i="21"/>
  <c r="AG12" i="21" s="1"/>
  <c r="AB12" i="21"/>
  <c r="AD12" i="21" s="1"/>
  <c r="AA12" i="21"/>
  <c r="AC12" i="21" s="1"/>
  <c r="X12" i="21"/>
  <c r="Z12" i="21" s="1"/>
  <c r="W12" i="21"/>
  <c r="Y12" i="21" s="1"/>
  <c r="T12" i="21"/>
  <c r="V12" i="21" s="1"/>
  <c r="S12" i="21"/>
  <c r="U12" i="21" s="1"/>
  <c r="P12" i="21"/>
  <c r="R12" i="21" s="1"/>
  <c r="O12" i="21"/>
  <c r="Q12" i="21" s="1"/>
  <c r="L12" i="21"/>
  <c r="N12" i="21" s="1"/>
  <c r="K12" i="21"/>
  <c r="M12" i="21" s="1"/>
  <c r="H12" i="21"/>
  <c r="J12" i="21" s="1"/>
  <c r="G12" i="21"/>
  <c r="I12" i="21" s="1"/>
  <c r="E12" i="21"/>
  <c r="D12" i="21"/>
  <c r="C12" i="21"/>
  <c r="AV11" i="21"/>
  <c r="AX11" i="21" s="1"/>
  <c r="AU11" i="21"/>
  <c r="AW11" i="21" s="1"/>
  <c r="AR11" i="21"/>
  <c r="AT11" i="21" s="1"/>
  <c r="AQ11" i="21"/>
  <c r="AS11" i="21" s="1"/>
  <c r="AN11" i="21"/>
  <c r="AP11" i="21" s="1"/>
  <c r="AM11" i="21"/>
  <c r="AO11" i="21" s="1"/>
  <c r="AJ11" i="21"/>
  <c r="AL11" i="21" s="1"/>
  <c r="AI11" i="21"/>
  <c r="AK11" i="21" s="1"/>
  <c r="AF11" i="21"/>
  <c r="AH11" i="21" s="1"/>
  <c r="AE11" i="21"/>
  <c r="AG11" i="21" s="1"/>
  <c r="AB11" i="21"/>
  <c r="AD11" i="21" s="1"/>
  <c r="AA11" i="21"/>
  <c r="AC11" i="21" s="1"/>
  <c r="X11" i="21"/>
  <c r="Z11" i="21" s="1"/>
  <c r="W11" i="21"/>
  <c r="Y11" i="21" s="1"/>
  <c r="T11" i="21"/>
  <c r="V11" i="21" s="1"/>
  <c r="S11" i="21"/>
  <c r="U11" i="21" s="1"/>
  <c r="P11" i="21"/>
  <c r="R11" i="21" s="1"/>
  <c r="O11" i="21"/>
  <c r="Q11" i="21" s="1"/>
  <c r="L11" i="21"/>
  <c r="N11" i="21" s="1"/>
  <c r="K11" i="21"/>
  <c r="M11" i="21" s="1"/>
  <c r="H11" i="21"/>
  <c r="J11" i="21" s="1"/>
  <c r="G11" i="21"/>
  <c r="I11" i="21" s="1"/>
  <c r="E11" i="21"/>
  <c r="D11" i="21"/>
  <c r="C11" i="21"/>
  <c r="AV10" i="21"/>
  <c r="AX10" i="21" s="1"/>
  <c r="AU10" i="21"/>
  <c r="AW10" i="21" s="1"/>
  <c r="AR10" i="21"/>
  <c r="AT10" i="21" s="1"/>
  <c r="AQ10" i="21"/>
  <c r="AS10" i="21" s="1"/>
  <c r="AN10" i="21"/>
  <c r="AP10" i="21" s="1"/>
  <c r="AM10" i="21"/>
  <c r="AO10" i="21" s="1"/>
  <c r="AJ10" i="21"/>
  <c r="AL10" i="21" s="1"/>
  <c r="AI10" i="21"/>
  <c r="AK10" i="21" s="1"/>
  <c r="AF10" i="21"/>
  <c r="AH10" i="21" s="1"/>
  <c r="AE10" i="21"/>
  <c r="AG10" i="21" s="1"/>
  <c r="AB10" i="21"/>
  <c r="AD10" i="21" s="1"/>
  <c r="AA10" i="21"/>
  <c r="AC10" i="21" s="1"/>
  <c r="X10" i="21"/>
  <c r="Z10" i="21" s="1"/>
  <c r="W10" i="21"/>
  <c r="Y10" i="21" s="1"/>
  <c r="T10" i="21"/>
  <c r="V10" i="21" s="1"/>
  <c r="S10" i="21"/>
  <c r="U10" i="21" s="1"/>
  <c r="P10" i="21"/>
  <c r="R10" i="21" s="1"/>
  <c r="O10" i="21"/>
  <c r="Q10" i="21" s="1"/>
  <c r="L10" i="21"/>
  <c r="N10" i="21" s="1"/>
  <c r="K10" i="21"/>
  <c r="M10" i="21" s="1"/>
  <c r="H10" i="21"/>
  <c r="J10" i="21" s="1"/>
  <c r="G10" i="21"/>
  <c r="I10" i="21" s="1"/>
  <c r="E10" i="21"/>
  <c r="D10" i="21"/>
  <c r="C10" i="21"/>
  <c r="AV9" i="21"/>
  <c r="AX9" i="21" s="1"/>
  <c r="AU9" i="21"/>
  <c r="AW9" i="21" s="1"/>
  <c r="AR9" i="21"/>
  <c r="AT9" i="21" s="1"/>
  <c r="AQ9" i="21"/>
  <c r="AS9" i="21" s="1"/>
  <c r="AN9" i="21"/>
  <c r="AP9" i="21" s="1"/>
  <c r="AM9" i="21"/>
  <c r="AO9" i="21" s="1"/>
  <c r="AJ9" i="21"/>
  <c r="AL9" i="21" s="1"/>
  <c r="AI9" i="21"/>
  <c r="AK9" i="21" s="1"/>
  <c r="AF9" i="21"/>
  <c r="AH9" i="21" s="1"/>
  <c r="AE9" i="21"/>
  <c r="AG9" i="21" s="1"/>
  <c r="AB9" i="21"/>
  <c r="AD9" i="21" s="1"/>
  <c r="AA9" i="21"/>
  <c r="AC9" i="21" s="1"/>
  <c r="X9" i="21"/>
  <c r="Z9" i="21" s="1"/>
  <c r="W9" i="21"/>
  <c r="Y9" i="21" s="1"/>
  <c r="T9" i="21"/>
  <c r="V9" i="21" s="1"/>
  <c r="S9" i="21"/>
  <c r="U9" i="21" s="1"/>
  <c r="P9" i="21"/>
  <c r="R9" i="21" s="1"/>
  <c r="O9" i="21"/>
  <c r="Q9" i="21" s="1"/>
  <c r="L9" i="21"/>
  <c r="N9" i="21" s="1"/>
  <c r="K9" i="21"/>
  <c r="M9" i="21" s="1"/>
  <c r="H9" i="21"/>
  <c r="J9" i="21" s="1"/>
  <c r="G9" i="21"/>
  <c r="I9" i="21" s="1"/>
  <c r="E9" i="21"/>
  <c r="D9" i="21"/>
  <c r="C9" i="21"/>
  <c r="AV8" i="21"/>
  <c r="AX8" i="21" s="1"/>
  <c r="AU8" i="21"/>
  <c r="AW8" i="21" s="1"/>
  <c r="AR8" i="21"/>
  <c r="AT8" i="21" s="1"/>
  <c r="AQ8" i="21"/>
  <c r="AS8" i="21" s="1"/>
  <c r="AN8" i="21"/>
  <c r="AP8" i="21" s="1"/>
  <c r="AM8" i="21"/>
  <c r="AO8" i="21" s="1"/>
  <c r="AJ8" i="21"/>
  <c r="AL8" i="21" s="1"/>
  <c r="AI8" i="21"/>
  <c r="AK8" i="21" s="1"/>
  <c r="AF8" i="21"/>
  <c r="AH8" i="21" s="1"/>
  <c r="AE8" i="21"/>
  <c r="AG8" i="21" s="1"/>
  <c r="AB8" i="21"/>
  <c r="AD8" i="21" s="1"/>
  <c r="AA8" i="21"/>
  <c r="AC8" i="21" s="1"/>
  <c r="X8" i="21"/>
  <c r="Z8" i="21" s="1"/>
  <c r="W8" i="21"/>
  <c r="Y8" i="21" s="1"/>
  <c r="T8" i="21"/>
  <c r="V8" i="21" s="1"/>
  <c r="S8" i="21"/>
  <c r="U8" i="21" s="1"/>
  <c r="P8" i="21"/>
  <c r="R8" i="21" s="1"/>
  <c r="O8" i="21"/>
  <c r="Q8" i="21" s="1"/>
  <c r="L8" i="21"/>
  <c r="N8" i="21" s="1"/>
  <c r="K8" i="21"/>
  <c r="M8" i="21" s="1"/>
  <c r="H8" i="21"/>
  <c r="J8" i="21" s="1"/>
  <c r="G8" i="21"/>
  <c r="I8" i="21" s="1"/>
  <c r="E8" i="21"/>
  <c r="D8" i="21"/>
  <c r="C8" i="21"/>
  <c r="AV7" i="21"/>
  <c r="AX7" i="21" s="1"/>
  <c r="AU7" i="21"/>
  <c r="AW7" i="21" s="1"/>
  <c r="AR7" i="21"/>
  <c r="AT7" i="21" s="1"/>
  <c r="AQ7" i="21"/>
  <c r="AS7" i="21" s="1"/>
  <c r="AN7" i="21"/>
  <c r="AP7" i="21" s="1"/>
  <c r="AM7" i="21"/>
  <c r="AO7" i="21" s="1"/>
  <c r="AJ7" i="21"/>
  <c r="AL7" i="21" s="1"/>
  <c r="AI7" i="21"/>
  <c r="AK7" i="21" s="1"/>
  <c r="AF7" i="21"/>
  <c r="AH7" i="21" s="1"/>
  <c r="AE7" i="21"/>
  <c r="AG7" i="21" s="1"/>
  <c r="AB7" i="21"/>
  <c r="AD7" i="21" s="1"/>
  <c r="AA7" i="21"/>
  <c r="AC7" i="21" s="1"/>
  <c r="X7" i="21"/>
  <c r="Z7" i="21" s="1"/>
  <c r="W7" i="21"/>
  <c r="Y7" i="21" s="1"/>
  <c r="T7" i="21"/>
  <c r="V7" i="21" s="1"/>
  <c r="S7" i="21"/>
  <c r="U7" i="21" s="1"/>
  <c r="P7" i="21"/>
  <c r="R7" i="21" s="1"/>
  <c r="O7" i="21"/>
  <c r="Q7" i="21" s="1"/>
  <c r="L7" i="21"/>
  <c r="N7" i="21" s="1"/>
  <c r="K7" i="21"/>
  <c r="M7" i="21" s="1"/>
  <c r="H7" i="21"/>
  <c r="J7" i="21" s="1"/>
  <c r="G7" i="21"/>
  <c r="I7" i="21" s="1"/>
  <c r="E7" i="21"/>
  <c r="D7" i="21"/>
  <c r="C7" i="21"/>
  <c r="AV6" i="21"/>
  <c r="AX6" i="21" s="1"/>
  <c r="AU6" i="21"/>
  <c r="AW6" i="21" s="1"/>
  <c r="AR6" i="21"/>
  <c r="AT6" i="21" s="1"/>
  <c r="AQ6" i="21"/>
  <c r="AS6" i="21" s="1"/>
  <c r="AN6" i="21"/>
  <c r="AP6" i="21" s="1"/>
  <c r="AM6" i="21"/>
  <c r="AO6" i="21" s="1"/>
  <c r="AJ6" i="21"/>
  <c r="AL6" i="21" s="1"/>
  <c r="AI6" i="21"/>
  <c r="AK6" i="21" s="1"/>
  <c r="AF6" i="21"/>
  <c r="AH6" i="21" s="1"/>
  <c r="AE6" i="21"/>
  <c r="AG6" i="21" s="1"/>
  <c r="AB6" i="21"/>
  <c r="AD6" i="21" s="1"/>
  <c r="AA6" i="21"/>
  <c r="AC6" i="21" s="1"/>
  <c r="X6" i="21"/>
  <c r="Z6" i="21" s="1"/>
  <c r="W6" i="21"/>
  <c r="Y6" i="21" s="1"/>
  <c r="T6" i="21"/>
  <c r="V6" i="21" s="1"/>
  <c r="S6" i="21"/>
  <c r="U6" i="21" s="1"/>
  <c r="P6" i="21"/>
  <c r="R6" i="21" s="1"/>
  <c r="O6" i="21"/>
  <c r="Q6" i="21" s="1"/>
  <c r="L6" i="21"/>
  <c r="N6" i="21" s="1"/>
  <c r="K6" i="21"/>
  <c r="M6" i="21" s="1"/>
  <c r="H6" i="21"/>
  <c r="J6" i="21" s="1"/>
  <c r="G6" i="21"/>
  <c r="I6" i="21" s="1"/>
  <c r="E6" i="21"/>
  <c r="D6" i="21"/>
  <c r="C6" i="21"/>
  <c r="AV5" i="21"/>
  <c r="AX5" i="21" s="1"/>
  <c r="AU5" i="21"/>
  <c r="AW5" i="21" s="1"/>
  <c r="AR5" i="21"/>
  <c r="AT5" i="21" s="1"/>
  <c r="AQ5" i="21"/>
  <c r="AS5" i="21" s="1"/>
  <c r="AN5" i="21"/>
  <c r="AP5" i="21" s="1"/>
  <c r="AM5" i="21"/>
  <c r="AO5" i="21" s="1"/>
  <c r="AJ5" i="21"/>
  <c r="AL5" i="21" s="1"/>
  <c r="AI5" i="21"/>
  <c r="AK5" i="21" s="1"/>
  <c r="AF5" i="21"/>
  <c r="AH5" i="21" s="1"/>
  <c r="AE5" i="21"/>
  <c r="AG5" i="21" s="1"/>
  <c r="AB5" i="21"/>
  <c r="AD5" i="21" s="1"/>
  <c r="AA5" i="21"/>
  <c r="AC5" i="21" s="1"/>
  <c r="X5" i="21"/>
  <c r="Z5" i="21" s="1"/>
  <c r="W5" i="21"/>
  <c r="Y5" i="21" s="1"/>
  <c r="T5" i="21"/>
  <c r="V5" i="21" s="1"/>
  <c r="S5" i="21"/>
  <c r="U5" i="21" s="1"/>
  <c r="P5" i="21"/>
  <c r="R5" i="21" s="1"/>
  <c r="O5" i="21"/>
  <c r="Q5" i="21" s="1"/>
  <c r="L5" i="21"/>
  <c r="N5" i="21" s="1"/>
  <c r="K5" i="21"/>
  <c r="M5" i="21" s="1"/>
  <c r="H5" i="21"/>
  <c r="J5" i="21" s="1"/>
  <c r="G5" i="21"/>
  <c r="I5" i="21" s="1"/>
  <c r="E5" i="21"/>
  <c r="D5" i="21"/>
  <c r="C5" i="21"/>
  <c r="AV4" i="21"/>
  <c r="AX4" i="21" s="1"/>
  <c r="AU4" i="21"/>
  <c r="AW4" i="21" s="1"/>
  <c r="AR4" i="21"/>
  <c r="AT4" i="21" s="1"/>
  <c r="AQ4" i="21"/>
  <c r="AS4" i="21" s="1"/>
  <c r="AN4" i="21"/>
  <c r="AP4" i="21" s="1"/>
  <c r="AM4" i="21"/>
  <c r="AO4" i="21" s="1"/>
  <c r="AJ4" i="21"/>
  <c r="AL4" i="21" s="1"/>
  <c r="AI4" i="21"/>
  <c r="AK4" i="21" s="1"/>
  <c r="AF4" i="21"/>
  <c r="AH4" i="21" s="1"/>
  <c r="AE4" i="21"/>
  <c r="AG4" i="21" s="1"/>
  <c r="AB4" i="21"/>
  <c r="AD4" i="21" s="1"/>
  <c r="AA4" i="21"/>
  <c r="AC4" i="21" s="1"/>
  <c r="X4" i="21"/>
  <c r="Z4" i="21" s="1"/>
  <c r="W4" i="21"/>
  <c r="Y4" i="21" s="1"/>
  <c r="T4" i="21"/>
  <c r="V4" i="21" s="1"/>
  <c r="S4" i="21"/>
  <c r="U4" i="21" s="1"/>
  <c r="P4" i="21"/>
  <c r="R4" i="21" s="1"/>
  <c r="O4" i="21"/>
  <c r="Q4" i="21" s="1"/>
  <c r="L4" i="21"/>
  <c r="N4" i="21" s="1"/>
  <c r="K4" i="21"/>
  <c r="M4" i="21" s="1"/>
  <c r="H4" i="21"/>
  <c r="J4" i="21" s="1"/>
  <c r="G4" i="21"/>
  <c r="I4" i="21" s="1"/>
  <c r="E4" i="21"/>
  <c r="D4" i="21"/>
  <c r="C4" i="21"/>
  <c r="AV3" i="21"/>
  <c r="AX3" i="21" s="1"/>
  <c r="AU3" i="21"/>
  <c r="AW3" i="21" s="1"/>
  <c r="AR3" i="21"/>
  <c r="AT3" i="21" s="1"/>
  <c r="AQ3" i="21"/>
  <c r="AS3" i="21" s="1"/>
  <c r="AN3" i="21"/>
  <c r="AP3" i="21" s="1"/>
  <c r="AM3" i="21"/>
  <c r="AO3" i="21" s="1"/>
  <c r="AJ3" i="21"/>
  <c r="AL3" i="21" s="1"/>
  <c r="AI3" i="21"/>
  <c r="AK3" i="21" s="1"/>
  <c r="AF3" i="21"/>
  <c r="AH3" i="21" s="1"/>
  <c r="AE3" i="21"/>
  <c r="AG3" i="21" s="1"/>
  <c r="AB3" i="21"/>
  <c r="AD3" i="21" s="1"/>
  <c r="AA3" i="21"/>
  <c r="AC3" i="21" s="1"/>
  <c r="X3" i="21"/>
  <c r="Z3" i="21" s="1"/>
  <c r="W3" i="21"/>
  <c r="Y3" i="21" s="1"/>
  <c r="T3" i="21"/>
  <c r="V3" i="21" s="1"/>
  <c r="S3" i="21"/>
  <c r="U3" i="21" s="1"/>
  <c r="P3" i="21"/>
  <c r="R3" i="21" s="1"/>
  <c r="O3" i="21"/>
  <c r="Q3" i="21" s="1"/>
  <c r="L3" i="21"/>
  <c r="N3" i="21" s="1"/>
  <c r="K3" i="21"/>
  <c r="M3" i="21" s="1"/>
  <c r="H3" i="21"/>
  <c r="J3" i="21" s="1"/>
  <c r="G3" i="21"/>
  <c r="I3" i="21" s="1"/>
  <c r="E3" i="21"/>
  <c r="D3" i="21"/>
  <c r="C3" i="21"/>
  <c r="AV50" i="20"/>
  <c r="AX50" i="20" s="1"/>
  <c r="AU50" i="20"/>
  <c r="AW50" i="20" s="1"/>
  <c r="AR50" i="20"/>
  <c r="AT50" i="20" s="1"/>
  <c r="AQ50" i="20"/>
  <c r="AS50" i="20" s="1"/>
  <c r="AN50" i="20"/>
  <c r="AP50" i="20" s="1"/>
  <c r="AM50" i="20"/>
  <c r="AO50" i="20" s="1"/>
  <c r="AJ50" i="20"/>
  <c r="AL50" i="20" s="1"/>
  <c r="AI50" i="20"/>
  <c r="AK50" i="20" s="1"/>
  <c r="AF50" i="20"/>
  <c r="AH50" i="20" s="1"/>
  <c r="AE50" i="20"/>
  <c r="AG50" i="20" s="1"/>
  <c r="AB50" i="20"/>
  <c r="AD50" i="20" s="1"/>
  <c r="AA50" i="20"/>
  <c r="AC50" i="20" s="1"/>
  <c r="X50" i="20"/>
  <c r="Z50" i="20" s="1"/>
  <c r="W50" i="20"/>
  <c r="Y50" i="20" s="1"/>
  <c r="T50" i="20"/>
  <c r="V50" i="20" s="1"/>
  <c r="S50" i="20"/>
  <c r="U50" i="20" s="1"/>
  <c r="P50" i="20"/>
  <c r="R50" i="20" s="1"/>
  <c r="O50" i="20"/>
  <c r="Q50" i="20" s="1"/>
  <c r="L50" i="20"/>
  <c r="N50" i="20" s="1"/>
  <c r="K50" i="20"/>
  <c r="M50" i="20" s="1"/>
  <c r="H50" i="20"/>
  <c r="J50" i="20" s="1"/>
  <c r="G50" i="20"/>
  <c r="I50" i="20" s="1"/>
  <c r="E50" i="20"/>
  <c r="D50" i="20"/>
  <c r="C50" i="20"/>
  <c r="AV49" i="20"/>
  <c r="AX49" i="20" s="1"/>
  <c r="AU49" i="20"/>
  <c r="AW49" i="20" s="1"/>
  <c r="AR49" i="20"/>
  <c r="AT49" i="20" s="1"/>
  <c r="AQ49" i="20"/>
  <c r="AS49" i="20" s="1"/>
  <c r="AN49" i="20"/>
  <c r="AP49" i="20" s="1"/>
  <c r="AM49" i="20"/>
  <c r="AO49" i="20" s="1"/>
  <c r="AJ49" i="20"/>
  <c r="AL49" i="20" s="1"/>
  <c r="AI49" i="20"/>
  <c r="AK49" i="20" s="1"/>
  <c r="AF49" i="20"/>
  <c r="AH49" i="20" s="1"/>
  <c r="AE49" i="20"/>
  <c r="AG49" i="20" s="1"/>
  <c r="AB49" i="20"/>
  <c r="AD49" i="20" s="1"/>
  <c r="AA49" i="20"/>
  <c r="AC49" i="20" s="1"/>
  <c r="X49" i="20"/>
  <c r="Z49" i="20" s="1"/>
  <c r="W49" i="20"/>
  <c r="Y49" i="20" s="1"/>
  <c r="T49" i="20"/>
  <c r="V49" i="20" s="1"/>
  <c r="S49" i="20"/>
  <c r="U49" i="20" s="1"/>
  <c r="P49" i="20"/>
  <c r="R49" i="20" s="1"/>
  <c r="O49" i="20"/>
  <c r="Q49" i="20" s="1"/>
  <c r="L49" i="20"/>
  <c r="N49" i="20" s="1"/>
  <c r="K49" i="20"/>
  <c r="M49" i="20" s="1"/>
  <c r="H49" i="20"/>
  <c r="J49" i="20" s="1"/>
  <c r="G49" i="20"/>
  <c r="I49" i="20" s="1"/>
  <c r="E49" i="20"/>
  <c r="D49" i="20"/>
  <c r="C49" i="20"/>
  <c r="AV48" i="20"/>
  <c r="AX48" i="20" s="1"/>
  <c r="AU48" i="20"/>
  <c r="AW48" i="20" s="1"/>
  <c r="AR48" i="20"/>
  <c r="AT48" i="20" s="1"/>
  <c r="AQ48" i="20"/>
  <c r="AS48" i="20" s="1"/>
  <c r="AN48" i="20"/>
  <c r="AP48" i="20" s="1"/>
  <c r="AM48" i="20"/>
  <c r="AO48" i="20" s="1"/>
  <c r="AJ48" i="20"/>
  <c r="AL48" i="20" s="1"/>
  <c r="AI48" i="20"/>
  <c r="AK48" i="20" s="1"/>
  <c r="AF48" i="20"/>
  <c r="AH48" i="20" s="1"/>
  <c r="AE48" i="20"/>
  <c r="AG48" i="20" s="1"/>
  <c r="AB48" i="20"/>
  <c r="AD48" i="20" s="1"/>
  <c r="AA48" i="20"/>
  <c r="AC48" i="20" s="1"/>
  <c r="X48" i="20"/>
  <c r="Z48" i="20" s="1"/>
  <c r="W48" i="20"/>
  <c r="Y48" i="20" s="1"/>
  <c r="T48" i="20"/>
  <c r="V48" i="20" s="1"/>
  <c r="S48" i="20"/>
  <c r="U48" i="20" s="1"/>
  <c r="P48" i="20"/>
  <c r="R48" i="20" s="1"/>
  <c r="O48" i="20"/>
  <c r="Q48" i="20" s="1"/>
  <c r="L48" i="20"/>
  <c r="N48" i="20" s="1"/>
  <c r="K48" i="20"/>
  <c r="M48" i="20" s="1"/>
  <c r="H48" i="20"/>
  <c r="J48" i="20" s="1"/>
  <c r="G48" i="20"/>
  <c r="I48" i="20" s="1"/>
  <c r="E48" i="20"/>
  <c r="D48" i="20"/>
  <c r="C48" i="20"/>
  <c r="AV47" i="20"/>
  <c r="AX47" i="20" s="1"/>
  <c r="AU47" i="20"/>
  <c r="AW47" i="20" s="1"/>
  <c r="AR47" i="20"/>
  <c r="AT47" i="20" s="1"/>
  <c r="AQ47" i="20"/>
  <c r="AS47" i="20" s="1"/>
  <c r="AN47" i="20"/>
  <c r="AP47" i="20" s="1"/>
  <c r="AM47" i="20"/>
  <c r="AO47" i="20" s="1"/>
  <c r="AJ47" i="20"/>
  <c r="AL47" i="20" s="1"/>
  <c r="AI47" i="20"/>
  <c r="AK47" i="20" s="1"/>
  <c r="AF47" i="20"/>
  <c r="AH47" i="20" s="1"/>
  <c r="AE47" i="20"/>
  <c r="AG47" i="20" s="1"/>
  <c r="AB47" i="20"/>
  <c r="AD47" i="20" s="1"/>
  <c r="AA47" i="20"/>
  <c r="AC47" i="20" s="1"/>
  <c r="X47" i="20"/>
  <c r="Z47" i="20" s="1"/>
  <c r="W47" i="20"/>
  <c r="Y47" i="20" s="1"/>
  <c r="T47" i="20"/>
  <c r="V47" i="20" s="1"/>
  <c r="S47" i="20"/>
  <c r="U47" i="20" s="1"/>
  <c r="P47" i="20"/>
  <c r="R47" i="20" s="1"/>
  <c r="O47" i="20"/>
  <c r="Q47" i="20" s="1"/>
  <c r="L47" i="20"/>
  <c r="N47" i="20" s="1"/>
  <c r="K47" i="20"/>
  <c r="M47" i="20" s="1"/>
  <c r="H47" i="20"/>
  <c r="J47" i="20" s="1"/>
  <c r="G47" i="20"/>
  <c r="I47" i="20" s="1"/>
  <c r="E47" i="20"/>
  <c r="D47" i="20"/>
  <c r="C47" i="20"/>
  <c r="AV46" i="20"/>
  <c r="AX46" i="20" s="1"/>
  <c r="AU46" i="20"/>
  <c r="AW46" i="20" s="1"/>
  <c r="AR46" i="20"/>
  <c r="AT46" i="20" s="1"/>
  <c r="AQ46" i="20"/>
  <c r="AS46" i="20" s="1"/>
  <c r="AN46" i="20"/>
  <c r="AP46" i="20" s="1"/>
  <c r="AM46" i="20"/>
  <c r="AO46" i="20" s="1"/>
  <c r="AJ46" i="20"/>
  <c r="AL46" i="20" s="1"/>
  <c r="AI46" i="20"/>
  <c r="AK46" i="20" s="1"/>
  <c r="AF46" i="20"/>
  <c r="AH46" i="20" s="1"/>
  <c r="AE46" i="20"/>
  <c r="AG46" i="20" s="1"/>
  <c r="AB46" i="20"/>
  <c r="AD46" i="20" s="1"/>
  <c r="AA46" i="20"/>
  <c r="AC46" i="20" s="1"/>
  <c r="X46" i="20"/>
  <c r="Z46" i="20" s="1"/>
  <c r="W46" i="20"/>
  <c r="Y46" i="20" s="1"/>
  <c r="T46" i="20"/>
  <c r="V46" i="20" s="1"/>
  <c r="S46" i="20"/>
  <c r="U46" i="20" s="1"/>
  <c r="P46" i="20"/>
  <c r="R46" i="20" s="1"/>
  <c r="O46" i="20"/>
  <c r="Q46" i="20" s="1"/>
  <c r="L46" i="20"/>
  <c r="N46" i="20" s="1"/>
  <c r="K46" i="20"/>
  <c r="M46" i="20" s="1"/>
  <c r="H46" i="20"/>
  <c r="J46" i="20" s="1"/>
  <c r="G46" i="20"/>
  <c r="I46" i="20" s="1"/>
  <c r="E46" i="20"/>
  <c r="D46" i="20"/>
  <c r="C46" i="20"/>
  <c r="AV45" i="20"/>
  <c r="AX45" i="20" s="1"/>
  <c r="AU45" i="20"/>
  <c r="AW45" i="20" s="1"/>
  <c r="AR45" i="20"/>
  <c r="AT45" i="20" s="1"/>
  <c r="AQ45" i="20"/>
  <c r="AS45" i="20" s="1"/>
  <c r="AN45" i="20"/>
  <c r="AP45" i="20" s="1"/>
  <c r="AM45" i="20"/>
  <c r="AO45" i="20" s="1"/>
  <c r="AJ45" i="20"/>
  <c r="AL45" i="20" s="1"/>
  <c r="AI45" i="20"/>
  <c r="AK45" i="20" s="1"/>
  <c r="AF45" i="20"/>
  <c r="AH45" i="20" s="1"/>
  <c r="AE45" i="20"/>
  <c r="AG45" i="20" s="1"/>
  <c r="AB45" i="20"/>
  <c r="AD45" i="20" s="1"/>
  <c r="AA45" i="20"/>
  <c r="AC45" i="20" s="1"/>
  <c r="X45" i="20"/>
  <c r="Z45" i="20" s="1"/>
  <c r="W45" i="20"/>
  <c r="Y45" i="20" s="1"/>
  <c r="T45" i="20"/>
  <c r="V45" i="20" s="1"/>
  <c r="S45" i="20"/>
  <c r="U45" i="20" s="1"/>
  <c r="P45" i="20"/>
  <c r="R45" i="20" s="1"/>
  <c r="O45" i="20"/>
  <c r="Q45" i="20" s="1"/>
  <c r="L45" i="20"/>
  <c r="N45" i="20" s="1"/>
  <c r="K45" i="20"/>
  <c r="M45" i="20" s="1"/>
  <c r="H45" i="20"/>
  <c r="J45" i="20" s="1"/>
  <c r="G45" i="20"/>
  <c r="I45" i="20" s="1"/>
  <c r="E45" i="20"/>
  <c r="D45" i="20"/>
  <c r="C45" i="20"/>
  <c r="AV44" i="20"/>
  <c r="AX44" i="20" s="1"/>
  <c r="AU44" i="20"/>
  <c r="AW44" i="20" s="1"/>
  <c r="AR44" i="20"/>
  <c r="AT44" i="20" s="1"/>
  <c r="AQ44" i="20"/>
  <c r="AS44" i="20" s="1"/>
  <c r="AN44" i="20"/>
  <c r="AP44" i="20" s="1"/>
  <c r="AM44" i="20"/>
  <c r="AO44" i="20" s="1"/>
  <c r="AJ44" i="20"/>
  <c r="AL44" i="20" s="1"/>
  <c r="AI44" i="20"/>
  <c r="AK44" i="20" s="1"/>
  <c r="AF44" i="20"/>
  <c r="AH44" i="20" s="1"/>
  <c r="AE44" i="20"/>
  <c r="AG44" i="20" s="1"/>
  <c r="AB44" i="20"/>
  <c r="AD44" i="20" s="1"/>
  <c r="AA44" i="20"/>
  <c r="AC44" i="20" s="1"/>
  <c r="X44" i="20"/>
  <c r="Z44" i="20" s="1"/>
  <c r="W44" i="20"/>
  <c r="Y44" i="20" s="1"/>
  <c r="T44" i="20"/>
  <c r="V44" i="20" s="1"/>
  <c r="S44" i="20"/>
  <c r="U44" i="20" s="1"/>
  <c r="P44" i="20"/>
  <c r="R44" i="20" s="1"/>
  <c r="O44" i="20"/>
  <c r="Q44" i="20" s="1"/>
  <c r="L44" i="20"/>
  <c r="N44" i="20" s="1"/>
  <c r="K44" i="20"/>
  <c r="M44" i="20" s="1"/>
  <c r="H44" i="20"/>
  <c r="J44" i="20" s="1"/>
  <c r="G44" i="20"/>
  <c r="I44" i="20" s="1"/>
  <c r="E44" i="20"/>
  <c r="D44" i="20"/>
  <c r="C44" i="20"/>
  <c r="AV43" i="20"/>
  <c r="AX43" i="20" s="1"/>
  <c r="AU43" i="20"/>
  <c r="AW43" i="20" s="1"/>
  <c r="AR43" i="20"/>
  <c r="AT43" i="20" s="1"/>
  <c r="AQ43" i="20"/>
  <c r="AS43" i="20" s="1"/>
  <c r="AN43" i="20"/>
  <c r="AP43" i="20" s="1"/>
  <c r="AM43" i="20"/>
  <c r="AO43" i="20" s="1"/>
  <c r="AJ43" i="20"/>
  <c r="AL43" i="20" s="1"/>
  <c r="AI43" i="20"/>
  <c r="AK43" i="20" s="1"/>
  <c r="AF43" i="20"/>
  <c r="AH43" i="20" s="1"/>
  <c r="AE43" i="20"/>
  <c r="AG43" i="20" s="1"/>
  <c r="AB43" i="20"/>
  <c r="AD43" i="20" s="1"/>
  <c r="AA43" i="20"/>
  <c r="AC43" i="20" s="1"/>
  <c r="X43" i="20"/>
  <c r="Z43" i="20" s="1"/>
  <c r="W43" i="20"/>
  <c r="Y43" i="20" s="1"/>
  <c r="T43" i="20"/>
  <c r="V43" i="20" s="1"/>
  <c r="S43" i="20"/>
  <c r="U43" i="20" s="1"/>
  <c r="P43" i="20"/>
  <c r="R43" i="20" s="1"/>
  <c r="O43" i="20"/>
  <c r="Q43" i="20" s="1"/>
  <c r="L43" i="20"/>
  <c r="N43" i="20" s="1"/>
  <c r="K43" i="20"/>
  <c r="M43" i="20" s="1"/>
  <c r="H43" i="20"/>
  <c r="J43" i="20" s="1"/>
  <c r="G43" i="20"/>
  <c r="I43" i="20" s="1"/>
  <c r="E43" i="20"/>
  <c r="D43" i="20"/>
  <c r="C43" i="20"/>
  <c r="AV42" i="20"/>
  <c r="AX42" i="20" s="1"/>
  <c r="AU42" i="20"/>
  <c r="AW42" i="20" s="1"/>
  <c r="AR42" i="20"/>
  <c r="AT42" i="20" s="1"/>
  <c r="AQ42" i="20"/>
  <c r="AS42" i="20" s="1"/>
  <c r="AN42" i="20"/>
  <c r="AP42" i="20" s="1"/>
  <c r="AM42" i="20"/>
  <c r="AO42" i="20" s="1"/>
  <c r="AJ42" i="20"/>
  <c r="AL42" i="20" s="1"/>
  <c r="AI42" i="20"/>
  <c r="AK42" i="20" s="1"/>
  <c r="AF42" i="20"/>
  <c r="AH42" i="20" s="1"/>
  <c r="AE42" i="20"/>
  <c r="AG42" i="20" s="1"/>
  <c r="AB42" i="20"/>
  <c r="AD42" i="20" s="1"/>
  <c r="AA42" i="20"/>
  <c r="AC42" i="20" s="1"/>
  <c r="X42" i="20"/>
  <c r="Z42" i="20" s="1"/>
  <c r="W42" i="20"/>
  <c r="Y42" i="20" s="1"/>
  <c r="T42" i="20"/>
  <c r="V42" i="20" s="1"/>
  <c r="S42" i="20"/>
  <c r="U42" i="20" s="1"/>
  <c r="P42" i="20"/>
  <c r="R42" i="20" s="1"/>
  <c r="O42" i="20"/>
  <c r="Q42" i="20" s="1"/>
  <c r="L42" i="20"/>
  <c r="N42" i="20" s="1"/>
  <c r="K42" i="20"/>
  <c r="M42" i="20" s="1"/>
  <c r="H42" i="20"/>
  <c r="J42" i="20" s="1"/>
  <c r="G42" i="20"/>
  <c r="I42" i="20" s="1"/>
  <c r="E42" i="20"/>
  <c r="D42" i="20"/>
  <c r="C42" i="20"/>
  <c r="AV41" i="20"/>
  <c r="AX41" i="20" s="1"/>
  <c r="AU41" i="20"/>
  <c r="AW41" i="20" s="1"/>
  <c r="AR41" i="20"/>
  <c r="AT41" i="20" s="1"/>
  <c r="AQ41" i="20"/>
  <c r="AS41" i="20" s="1"/>
  <c r="AN41" i="20"/>
  <c r="AP41" i="20" s="1"/>
  <c r="AM41" i="20"/>
  <c r="AO41" i="20" s="1"/>
  <c r="AJ41" i="20"/>
  <c r="AL41" i="20" s="1"/>
  <c r="AI41" i="20"/>
  <c r="AK41" i="20" s="1"/>
  <c r="AF41" i="20"/>
  <c r="AH41" i="20" s="1"/>
  <c r="AE41" i="20"/>
  <c r="AG41" i="20" s="1"/>
  <c r="AB41" i="20"/>
  <c r="AD41" i="20" s="1"/>
  <c r="AA41" i="20"/>
  <c r="AC41" i="20" s="1"/>
  <c r="X41" i="20"/>
  <c r="Z41" i="20" s="1"/>
  <c r="W41" i="20"/>
  <c r="Y41" i="20" s="1"/>
  <c r="T41" i="20"/>
  <c r="V41" i="20" s="1"/>
  <c r="S41" i="20"/>
  <c r="U41" i="20" s="1"/>
  <c r="P41" i="20"/>
  <c r="R41" i="20" s="1"/>
  <c r="O41" i="20"/>
  <c r="Q41" i="20" s="1"/>
  <c r="L41" i="20"/>
  <c r="N41" i="20" s="1"/>
  <c r="K41" i="20"/>
  <c r="M41" i="20" s="1"/>
  <c r="H41" i="20"/>
  <c r="J41" i="20" s="1"/>
  <c r="G41" i="20"/>
  <c r="I41" i="20" s="1"/>
  <c r="E41" i="20"/>
  <c r="D41" i="20"/>
  <c r="C41" i="20"/>
  <c r="AV40" i="20"/>
  <c r="AX40" i="20" s="1"/>
  <c r="AU40" i="20"/>
  <c r="AW40" i="20" s="1"/>
  <c r="AR40" i="20"/>
  <c r="AT40" i="20" s="1"/>
  <c r="AQ40" i="20"/>
  <c r="AS40" i="20" s="1"/>
  <c r="AN40" i="20"/>
  <c r="AP40" i="20" s="1"/>
  <c r="AM40" i="20"/>
  <c r="AO40" i="20" s="1"/>
  <c r="AJ40" i="20"/>
  <c r="AL40" i="20" s="1"/>
  <c r="AI40" i="20"/>
  <c r="AK40" i="20" s="1"/>
  <c r="AF40" i="20"/>
  <c r="AH40" i="20" s="1"/>
  <c r="AE40" i="20"/>
  <c r="AG40" i="20" s="1"/>
  <c r="AB40" i="20"/>
  <c r="AD40" i="20" s="1"/>
  <c r="AA40" i="20"/>
  <c r="AC40" i="20" s="1"/>
  <c r="X40" i="20"/>
  <c r="Z40" i="20" s="1"/>
  <c r="W40" i="20"/>
  <c r="Y40" i="20" s="1"/>
  <c r="T40" i="20"/>
  <c r="V40" i="20" s="1"/>
  <c r="S40" i="20"/>
  <c r="U40" i="20" s="1"/>
  <c r="P40" i="20"/>
  <c r="R40" i="20" s="1"/>
  <c r="O40" i="20"/>
  <c r="Q40" i="20" s="1"/>
  <c r="L40" i="20"/>
  <c r="N40" i="20" s="1"/>
  <c r="K40" i="20"/>
  <c r="M40" i="20" s="1"/>
  <c r="H40" i="20"/>
  <c r="J40" i="20" s="1"/>
  <c r="G40" i="20"/>
  <c r="I40" i="20" s="1"/>
  <c r="E40" i="20"/>
  <c r="D40" i="20"/>
  <c r="C40" i="20"/>
  <c r="AV39" i="20"/>
  <c r="AX39" i="20" s="1"/>
  <c r="AU39" i="20"/>
  <c r="AW39" i="20" s="1"/>
  <c r="AR39" i="20"/>
  <c r="AT39" i="20" s="1"/>
  <c r="AQ39" i="20"/>
  <c r="AS39" i="20" s="1"/>
  <c r="AN39" i="20"/>
  <c r="AP39" i="20" s="1"/>
  <c r="AM39" i="20"/>
  <c r="AO39" i="20" s="1"/>
  <c r="AJ39" i="20"/>
  <c r="AL39" i="20" s="1"/>
  <c r="AI39" i="20"/>
  <c r="AK39" i="20" s="1"/>
  <c r="AF39" i="20"/>
  <c r="AH39" i="20" s="1"/>
  <c r="AE39" i="20"/>
  <c r="AG39" i="20" s="1"/>
  <c r="AB39" i="20"/>
  <c r="AD39" i="20" s="1"/>
  <c r="AA39" i="20"/>
  <c r="AC39" i="20" s="1"/>
  <c r="X39" i="20"/>
  <c r="Z39" i="20" s="1"/>
  <c r="W39" i="20"/>
  <c r="Y39" i="20" s="1"/>
  <c r="T39" i="20"/>
  <c r="V39" i="20" s="1"/>
  <c r="S39" i="20"/>
  <c r="U39" i="20" s="1"/>
  <c r="P39" i="20"/>
  <c r="R39" i="20" s="1"/>
  <c r="O39" i="20"/>
  <c r="Q39" i="20" s="1"/>
  <c r="L39" i="20"/>
  <c r="N39" i="20" s="1"/>
  <c r="K39" i="20"/>
  <c r="M39" i="20" s="1"/>
  <c r="H39" i="20"/>
  <c r="J39" i="20" s="1"/>
  <c r="G39" i="20"/>
  <c r="I39" i="20" s="1"/>
  <c r="E39" i="20"/>
  <c r="D39" i="20"/>
  <c r="C39" i="20"/>
  <c r="AV38" i="20"/>
  <c r="AX38" i="20" s="1"/>
  <c r="AU38" i="20"/>
  <c r="AW38" i="20" s="1"/>
  <c r="AR38" i="20"/>
  <c r="AT38" i="20" s="1"/>
  <c r="AQ38" i="20"/>
  <c r="AS38" i="20" s="1"/>
  <c r="AN38" i="20"/>
  <c r="AP38" i="20" s="1"/>
  <c r="AM38" i="20"/>
  <c r="AO38" i="20" s="1"/>
  <c r="AJ38" i="20"/>
  <c r="AL38" i="20" s="1"/>
  <c r="AI38" i="20"/>
  <c r="AK38" i="20" s="1"/>
  <c r="AF38" i="20"/>
  <c r="AH38" i="20" s="1"/>
  <c r="AE38" i="20"/>
  <c r="AG38" i="20" s="1"/>
  <c r="AB38" i="20"/>
  <c r="AD38" i="20" s="1"/>
  <c r="AA38" i="20"/>
  <c r="AC38" i="20" s="1"/>
  <c r="X38" i="20"/>
  <c r="Z38" i="20" s="1"/>
  <c r="W38" i="20"/>
  <c r="Y38" i="20" s="1"/>
  <c r="T38" i="20"/>
  <c r="V38" i="20" s="1"/>
  <c r="S38" i="20"/>
  <c r="U38" i="20" s="1"/>
  <c r="P38" i="20"/>
  <c r="R38" i="20" s="1"/>
  <c r="O38" i="20"/>
  <c r="Q38" i="20" s="1"/>
  <c r="L38" i="20"/>
  <c r="N38" i="20" s="1"/>
  <c r="K38" i="20"/>
  <c r="M38" i="20" s="1"/>
  <c r="H38" i="20"/>
  <c r="J38" i="20" s="1"/>
  <c r="G38" i="20"/>
  <c r="I38" i="20" s="1"/>
  <c r="E38" i="20"/>
  <c r="D38" i="20"/>
  <c r="C38" i="20"/>
  <c r="AV37" i="20"/>
  <c r="AX37" i="20" s="1"/>
  <c r="AU37" i="20"/>
  <c r="AW37" i="20" s="1"/>
  <c r="AR37" i="20"/>
  <c r="AT37" i="20" s="1"/>
  <c r="AQ37" i="20"/>
  <c r="AS37" i="20" s="1"/>
  <c r="AN37" i="20"/>
  <c r="AP37" i="20" s="1"/>
  <c r="AM37" i="20"/>
  <c r="AO37" i="20" s="1"/>
  <c r="AJ37" i="20"/>
  <c r="AL37" i="20" s="1"/>
  <c r="AI37" i="20"/>
  <c r="AK37" i="20" s="1"/>
  <c r="AF37" i="20"/>
  <c r="AH37" i="20" s="1"/>
  <c r="AE37" i="20"/>
  <c r="AG37" i="20" s="1"/>
  <c r="AB37" i="20"/>
  <c r="AD37" i="20" s="1"/>
  <c r="AA37" i="20"/>
  <c r="AC37" i="20" s="1"/>
  <c r="X37" i="20"/>
  <c r="Z37" i="20" s="1"/>
  <c r="W37" i="20"/>
  <c r="Y37" i="20" s="1"/>
  <c r="T37" i="20"/>
  <c r="V37" i="20" s="1"/>
  <c r="S37" i="20"/>
  <c r="U37" i="20" s="1"/>
  <c r="P37" i="20"/>
  <c r="R37" i="20" s="1"/>
  <c r="O37" i="20"/>
  <c r="Q37" i="20" s="1"/>
  <c r="L37" i="20"/>
  <c r="N37" i="20" s="1"/>
  <c r="K37" i="20"/>
  <c r="M37" i="20" s="1"/>
  <c r="H37" i="20"/>
  <c r="J37" i="20" s="1"/>
  <c r="G37" i="20"/>
  <c r="I37" i="20" s="1"/>
  <c r="E37" i="20"/>
  <c r="D37" i="20"/>
  <c r="C37" i="20"/>
  <c r="AV36" i="20"/>
  <c r="AX36" i="20" s="1"/>
  <c r="AU36" i="20"/>
  <c r="AW36" i="20" s="1"/>
  <c r="AR36" i="20"/>
  <c r="AT36" i="20" s="1"/>
  <c r="AQ36" i="20"/>
  <c r="AS36" i="20" s="1"/>
  <c r="AN36" i="20"/>
  <c r="AP36" i="20" s="1"/>
  <c r="AM36" i="20"/>
  <c r="AO36" i="20" s="1"/>
  <c r="AJ36" i="20"/>
  <c r="AL36" i="20" s="1"/>
  <c r="AI36" i="20"/>
  <c r="AK36" i="20" s="1"/>
  <c r="AF36" i="20"/>
  <c r="AH36" i="20" s="1"/>
  <c r="AE36" i="20"/>
  <c r="AG36" i="20" s="1"/>
  <c r="AB36" i="20"/>
  <c r="AD36" i="20" s="1"/>
  <c r="AA36" i="20"/>
  <c r="AC36" i="20" s="1"/>
  <c r="X36" i="20"/>
  <c r="Z36" i="20" s="1"/>
  <c r="W36" i="20"/>
  <c r="Y36" i="20" s="1"/>
  <c r="T36" i="20"/>
  <c r="V36" i="20" s="1"/>
  <c r="S36" i="20"/>
  <c r="U36" i="20" s="1"/>
  <c r="P36" i="20"/>
  <c r="R36" i="20" s="1"/>
  <c r="O36" i="20"/>
  <c r="Q36" i="20" s="1"/>
  <c r="L36" i="20"/>
  <c r="N36" i="20" s="1"/>
  <c r="K36" i="20"/>
  <c r="M36" i="20" s="1"/>
  <c r="H36" i="20"/>
  <c r="J36" i="20" s="1"/>
  <c r="G36" i="20"/>
  <c r="I36" i="20" s="1"/>
  <c r="E36" i="20"/>
  <c r="D36" i="20"/>
  <c r="C36" i="20"/>
  <c r="AV35" i="20"/>
  <c r="AX35" i="20" s="1"/>
  <c r="AU35" i="20"/>
  <c r="AW35" i="20" s="1"/>
  <c r="AR35" i="20"/>
  <c r="AT35" i="20" s="1"/>
  <c r="AQ35" i="20"/>
  <c r="AS35" i="20" s="1"/>
  <c r="AN35" i="20"/>
  <c r="AP35" i="20" s="1"/>
  <c r="AM35" i="20"/>
  <c r="AO35" i="20" s="1"/>
  <c r="AJ35" i="20"/>
  <c r="AL35" i="20" s="1"/>
  <c r="AI35" i="20"/>
  <c r="AK35" i="20" s="1"/>
  <c r="AF35" i="20"/>
  <c r="AH35" i="20" s="1"/>
  <c r="AE35" i="20"/>
  <c r="AG35" i="20" s="1"/>
  <c r="AB35" i="20"/>
  <c r="AD35" i="20" s="1"/>
  <c r="AA35" i="20"/>
  <c r="AC35" i="20" s="1"/>
  <c r="X35" i="20"/>
  <c r="Z35" i="20" s="1"/>
  <c r="W35" i="20"/>
  <c r="Y35" i="20" s="1"/>
  <c r="T35" i="20"/>
  <c r="V35" i="20" s="1"/>
  <c r="S35" i="20"/>
  <c r="U35" i="20" s="1"/>
  <c r="P35" i="20"/>
  <c r="R35" i="20" s="1"/>
  <c r="O35" i="20"/>
  <c r="Q35" i="20" s="1"/>
  <c r="L35" i="20"/>
  <c r="N35" i="20" s="1"/>
  <c r="K35" i="20"/>
  <c r="M35" i="20" s="1"/>
  <c r="H35" i="20"/>
  <c r="J35" i="20" s="1"/>
  <c r="G35" i="20"/>
  <c r="I35" i="20" s="1"/>
  <c r="E35" i="20"/>
  <c r="D35" i="20"/>
  <c r="C35" i="20"/>
  <c r="AV34" i="20"/>
  <c r="AX34" i="20" s="1"/>
  <c r="AU34" i="20"/>
  <c r="AW34" i="20" s="1"/>
  <c r="AR34" i="20"/>
  <c r="AT34" i="20" s="1"/>
  <c r="AQ34" i="20"/>
  <c r="AS34" i="20" s="1"/>
  <c r="AN34" i="20"/>
  <c r="AP34" i="20" s="1"/>
  <c r="AM34" i="20"/>
  <c r="AO34" i="20" s="1"/>
  <c r="AJ34" i="20"/>
  <c r="AL34" i="20" s="1"/>
  <c r="AI34" i="20"/>
  <c r="AK34" i="20" s="1"/>
  <c r="AF34" i="20"/>
  <c r="AH34" i="20" s="1"/>
  <c r="AE34" i="20"/>
  <c r="AG34" i="20" s="1"/>
  <c r="AB34" i="20"/>
  <c r="AD34" i="20" s="1"/>
  <c r="AA34" i="20"/>
  <c r="AC34" i="20" s="1"/>
  <c r="X34" i="20"/>
  <c r="Z34" i="20" s="1"/>
  <c r="W34" i="20"/>
  <c r="Y34" i="20" s="1"/>
  <c r="T34" i="20"/>
  <c r="V34" i="20" s="1"/>
  <c r="S34" i="20"/>
  <c r="U34" i="20" s="1"/>
  <c r="P34" i="20"/>
  <c r="R34" i="20" s="1"/>
  <c r="O34" i="20"/>
  <c r="Q34" i="20" s="1"/>
  <c r="L34" i="20"/>
  <c r="N34" i="20" s="1"/>
  <c r="K34" i="20"/>
  <c r="M34" i="20" s="1"/>
  <c r="H34" i="20"/>
  <c r="J34" i="20" s="1"/>
  <c r="G34" i="20"/>
  <c r="I34" i="20" s="1"/>
  <c r="E34" i="20"/>
  <c r="D34" i="20"/>
  <c r="C34" i="20"/>
  <c r="AV33" i="20"/>
  <c r="AX33" i="20" s="1"/>
  <c r="AU33" i="20"/>
  <c r="AW33" i="20" s="1"/>
  <c r="AR33" i="20"/>
  <c r="AT33" i="20" s="1"/>
  <c r="AQ33" i="20"/>
  <c r="AS33" i="20" s="1"/>
  <c r="AN33" i="20"/>
  <c r="AP33" i="20" s="1"/>
  <c r="AM33" i="20"/>
  <c r="AO33" i="20" s="1"/>
  <c r="AJ33" i="20"/>
  <c r="AL33" i="20" s="1"/>
  <c r="AI33" i="20"/>
  <c r="AK33" i="20" s="1"/>
  <c r="AF33" i="20"/>
  <c r="AH33" i="20" s="1"/>
  <c r="AE33" i="20"/>
  <c r="AG33" i="20" s="1"/>
  <c r="AB33" i="20"/>
  <c r="AD33" i="20" s="1"/>
  <c r="AA33" i="20"/>
  <c r="AC33" i="20" s="1"/>
  <c r="X33" i="20"/>
  <c r="Z33" i="20" s="1"/>
  <c r="W33" i="20"/>
  <c r="Y33" i="20" s="1"/>
  <c r="T33" i="20"/>
  <c r="V33" i="20" s="1"/>
  <c r="S33" i="20"/>
  <c r="U33" i="20" s="1"/>
  <c r="P33" i="20"/>
  <c r="R33" i="20" s="1"/>
  <c r="O33" i="20"/>
  <c r="Q33" i="20" s="1"/>
  <c r="L33" i="20"/>
  <c r="N33" i="20" s="1"/>
  <c r="K33" i="20"/>
  <c r="M33" i="20" s="1"/>
  <c r="H33" i="20"/>
  <c r="J33" i="20" s="1"/>
  <c r="G33" i="20"/>
  <c r="I33" i="20" s="1"/>
  <c r="E33" i="20"/>
  <c r="D33" i="20"/>
  <c r="C33" i="20"/>
  <c r="AV32" i="20"/>
  <c r="AX32" i="20" s="1"/>
  <c r="AU32" i="20"/>
  <c r="AW32" i="20" s="1"/>
  <c r="AR32" i="20"/>
  <c r="AT32" i="20" s="1"/>
  <c r="AQ32" i="20"/>
  <c r="AS32" i="20" s="1"/>
  <c r="AN32" i="20"/>
  <c r="AP32" i="20" s="1"/>
  <c r="AM32" i="20"/>
  <c r="AO32" i="20" s="1"/>
  <c r="AJ32" i="20"/>
  <c r="AL32" i="20" s="1"/>
  <c r="AI32" i="20"/>
  <c r="AK32" i="20" s="1"/>
  <c r="AF32" i="20"/>
  <c r="AH32" i="20" s="1"/>
  <c r="AE32" i="20"/>
  <c r="AG32" i="20" s="1"/>
  <c r="AB32" i="20"/>
  <c r="AD32" i="20" s="1"/>
  <c r="AA32" i="20"/>
  <c r="AC32" i="20" s="1"/>
  <c r="X32" i="20"/>
  <c r="Z32" i="20" s="1"/>
  <c r="W32" i="20"/>
  <c r="Y32" i="20" s="1"/>
  <c r="T32" i="20"/>
  <c r="V32" i="20" s="1"/>
  <c r="S32" i="20"/>
  <c r="U32" i="20" s="1"/>
  <c r="P32" i="20"/>
  <c r="R32" i="20" s="1"/>
  <c r="O32" i="20"/>
  <c r="Q32" i="20" s="1"/>
  <c r="L32" i="20"/>
  <c r="N32" i="20" s="1"/>
  <c r="K32" i="20"/>
  <c r="M32" i="20" s="1"/>
  <c r="H32" i="20"/>
  <c r="J32" i="20" s="1"/>
  <c r="G32" i="20"/>
  <c r="I32" i="20" s="1"/>
  <c r="E32" i="20"/>
  <c r="D32" i="20"/>
  <c r="C32" i="20"/>
  <c r="AV31" i="20"/>
  <c r="AX31" i="20" s="1"/>
  <c r="AU31" i="20"/>
  <c r="AW31" i="20" s="1"/>
  <c r="AR31" i="20"/>
  <c r="AT31" i="20" s="1"/>
  <c r="AQ31" i="20"/>
  <c r="AS31" i="20" s="1"/>
  <c r="AN31" i="20"/>
  <c r="AP31" i="20" s="1"/>
  <c r="AM31" i="20"/>
  <c r="AO31" i="20" s="1"/>
  <c r="AJ31" i="20"/>
  <c r="AL31" i="20" s="1"/>
  <c r="AI31" i="20"/>
  <c r="AK31" i="20" s="1"/>
  <c r="AF31" i="20"/>
  <c r="AH31" i="20" s="1"/>
  <c r="AE31" i="20"/>
  <c r="AG31" i="20" s="1"/>
  <c r="AB31" i="20"/>
  <c r="AD31" i="20" s="1"/>
  <c r="AA31" i="20"/>
  <c r="AC31" i="20" s="1"/>
  <c r="X31" i="20"/>
  <c r="Z31" i="20" s="1"/>
  <c r="W31" i="20"/>
  <c r="Y31" i="20" s="1"/>
  <c r="T31" i="20"/>
  <c r="V31" i="20" s="1"/>
  <c r="S31" i="20"/>
  <c r="U31" i="20" s="1"/>
  <c r="P31" i="20"/>
  <c r="R31" i="20" s="1"/>
  <c r="O31" i="20"/>
  <c r="Q31" i="20" s="1"/>
  <c r="L31" i="20"/>
  <c r="N31" i="20" s="1"/>
  <c r="K31" i="20"/>
  <c r="M31" i="20" s="1"/>
  <c r="H31" i="20"/>
  <c r="J31" i="20" s="1"/>
  <c r="G31" i="20"/>
  <c r="I31" i="20" s="1"/>
  <c r="E31" i="20"/>
  <c r="D31" i="20"/>
  <c r="C31" i="20"/>
  <c r="AV30" i="20"/>
  <c r="AX30" i="20" s="1"/>
  <c r="AU30" i="20"/>
  <c r="AW30" i="20" s="1"/>
  <c r="AR30" i="20"/>
  <c r="AT30" i="20" s="1"/>
  <c r="AQ30" i="20"/>
  <c r="AS30" i="20" s="1"/>
  <c r="AN30" i="20"/>
  <c r="AP30" i="20" s="1"/>
  <c r="AM30" i="20"/>
  <c r="AO30" i="20" s="1"/>
  <c r="AJ30" i="20"/>
  <c r="AL30" i="20" s="1"/>
  <c r="AI30" i="20"/>
  <c r="AK30" i="20" s="1"/>
  <c r="AF30" i="20"/>
  <c r="AH30" i="20" s="1"/>
  <c r="AE30" i="20"/>
  <c r="AG30" i="20" s="1"/>
  <c r="AB30" i="20"/>
  <c r="AD30" i="20" s="1"/>
  <c r="AA30" i="20"/>
  <c r="AC30" i="20" s="1"/>
  <c r="X30" i="20"/>
  <c r="Z30" i="20" s="1"/>
  <c r="W30" i="20"/>
  <c r="Y30" i="20" s="1"/>
  <c r="T30" i="20"/>
  <c r="V30" i="20" s="1"/>
  <c r="S30" i="20"/>
  <c r="U30" i="20" s="1"/>
  <c r="P30" i="20"/>
  <c r="R30" i="20" s="1"/>
  <c r="O30" i="20"/>
  <c r="Q30" i="20" s="1"/>
  <c r="L30" i="20"/>
  <c r="N30" i="20" s="1"/>
  <c r="K30" i="20"/>
  <c r="M30" i="20" s="1"/>
  <c r="H30" i="20"/>
  <c r="J30" i="20" s="1"/>
  <c r="G30" i="20"/>
  <c r="I30" i="20" s="1"/>
  <c r="E30" i="20"/>
  <c r="D30" i="20"/>
  <c r="C30" i="20"/>
  <c r="AV29" i="20"/>
  <c r="AX29" i="20" s="1"/>
  <c r="AU29" i="20"/>
  <c r="AW29" i="20" s="1"/>
  <c r="AR29" i="20"/>
  <c r="AT29" i="20" s="1"/>
  <c r="AQ29" i="20"/>
  <c r="AS29" i="20" s="1"/>
  <c r="AN29" i="20"/>
  <c r="AP29" i="20" s="1"/>
  <c r="AM29" i="20"/>
  <c r="AO29" i="20" s="1"/>
  <c r="AJ29" i="20"/>
  <c r="AL29" i="20" s="1"/>
  <c r="AI29" i="20"/>
  <c r="AK29" i="20" s="1"/>
  <c r="AF29" i="20"/>
  <c r="AH29" i="20" s="1"/>
  <c r="AE29" i="20"/>
  <c r="AG29" i="20" s="1"/>
  <c r="AB29" i="20"/>
  <c r="AD29" i="20" s="1"/>
  <c r="AA29" i="20"/>
  <c r="AC29" i="20" s="1"/>
  <c r="X29" i="20"/>
  <c r="Z29" i="20" s="1"/>
  <c r="W29" i="20"/>
  <c r="Y29" i="20" s="1"/>
  <c r="T29" i="20"/>
  <c r="V29" i="20" s="1"/>
  <c r="S29" i="20"/>
  <c r="U29" i="20" s="1"/>
  <c r="P29" i="20"/>
  <c r="R29" i="20" s="1"/>
  <c r="O29" i="20"/>
  <c r="Q29" i="20" s="1"/>
  <c r="L29" i="20"/>
  <c r="N29" i="20" s="1"/>
  <c r="K29" i="20"/>
  <c r="M29" i="20" s="1"/>
  <c r="H29" i="20"/>
  <c r="J29" i="20" s="1"/>
  <c r="G29" i="20"/>
  <c r="I29" i="20" s="1"/>
  <c r="E29" i="20"/>
  <c r="D29" i="20"/>
  <c r="C29" i="20"/>
  <c r="AV28" i="20"/>
  <c r="AX28" i="20" s="1"/>
  <c r="AU28" i="20"/>
  <c r="AW28" i="20" s="1"/>
  <c r="AR28" i="20"/>
  <c r="AT28" i="20" s="1"/>
  <c r="AQ28" i="20"/>
  <c r="AS28" i="20" s="1"/>
  <c r="AN28" i="20"/>
  <c r="AP28" i="20" s="1"/>
  <c r="AM28" i="20"/>
  <c r="AO28" i="20" s="1"/>
  <c r="AJ28" i="20"/>
  <c r="AL28" i="20" s="1"/>
  <c r="AI28" i="20"/>
  <c r="AK28" i="20" s="1"/>
  <c r="AF28" i="20"/>
  <c r="AH28" i="20" s="1"/>
  <c r="AE28" i="20"/>
  <c r="AG28" i="20" s="1"/>
  <c r="AB28" i="20"/>
  <c r="AD28" i="20" s="1"/>
  <c r="AA28" i="20"/>
  <c r="AC28" i="20" s="1"/>
  <c r="X28" i="20"/>
  <c r="Z28" i="20" s="1"/>
  <c r="W28" i="20"/>
  <c r="Y28" i="20" s="1"/>
  <c r="T28" i="20"/>
  <c r="V28" i="20" s="1"/>
  <c r="S28" i="20"/>
  <c r="U28" i="20" s="1"/>
  <c r="P28" i="20"/>
  <c r="R28" i="20" s="1"/>
  <c r="O28" i="20"/>
  <c r="Q28" i="20" s="1"/>
  <c r="L28" i="20"/>
  <c r="N28" i="20" s="1"/>
  <c r="K28" i="20"/>
  <c r="M28" i="20" s="1"/>
  <c r="H28" i="20"/>
  <c r="J28" i="20" s="1"/>
  <c r="G28" i="20"/>
  <c r="I28" i="20" s="1"/>
  <c r="E28" i="20"/>
  <c r="D28" i="20"/>
  <c r="C28" i="20"/>
  <c r="AV27" i="20"/>
  <c r="AX27" i="20" s="1"/>
  <c r="AU27" i="20"/>
  <c r="AW27" i="20" s="1"/>
  <c r="AR27" i="20"/>
  <c r="AT27" i="20" s="1"/>
  <c r="AQ27" i="20"/>
  <c r="AS27" i="20" s="1"/>
  <c r="AN27" i="20"/>
  <c r="AP27" i="20" s="1"/>
  <c r="AM27" i="20"/>
  <c r="AO27" i="20" s="1"/>
  <c r="AJ27" i="20"/>
  <c r="AL27" i="20" s="1"/>
  <c r="AI27" i="20"/>
  <c r="AK27" i="20" s="1"/>
  <c r="AF27" i="20"/>
  <c r="AH27" i="20" s="1"/>
  <c r="AE27" i="20"/>
  <c r="AG27" i="20" s="1"/>
  <c r="AB27" i="20"/>
  <c r="AD27" i="20" s="1"/>
  <c r="AA27" i="20"/>
  <c r="AC27" i="20" s="1"/>
  <c r="X27" i="20"/>
  <c r="Z27" i="20" s="1"/>
  <c r="W27" i="20"/>
  <c r="Y27" i="20" s="1"/>
  <c r="T27" i="20"/>
  <c r="V27" i="20" s="1"/>
  <c r="S27" i="20"/>
  <c r="U27" i="20" s="1"/>
  <c r="P27" i="20"/>
  <c r="R27" i="20" s="1"/>
  <c r="O27" i="20"/>
  <c r="Q27" i="20" s="1"/>
  <c r="L27" i="20"/>
  <c r="N27" i="20" s="1"/>
  <c r="K27" i="20"/>
  <c r="M27" i="20" s="1"/>
  <c r="H27" i="20"/>
  <c r="J27" i="20" s="1"/>
  <c r="G27" i="20"/>
  <c r="I27" i="20" s="1"/>
  <c r="E27" i="20"/>
  <c r="D27" i="20"/>
  <c r="C27" i="20"/>
  <c r="AV26" i="20"/>
  <c r="AX26" i="20" s="1"/>
  <c r="AU26" i="20"/>
  <c r="AW26" i="20" s="1"/>
  <c r="AR26" i="20"/>
  <c r="AT26" i="20" s="1"/>
  <c r="AQ26" i="20"/>
  <c r="AS26" i="20" s="1"/>
  <c r="AN26" i="20"/>
  <c r="AP26" i="20" s="1"/>
  <c r="AM26" i="20"/>
  <c r="AO26" i="20" s="1"/>
  <c r="AJ26" i="20"/>
  <c r="AL26" i="20" s="1"/>
  <c r="AI26" i="20"/>
  <c r="AK26" i="20" s="1"/>
  <c r="AF26" i="20"/>
  <c r="AH26" i="20" s="1"/>
  <c r="AE26" i="20"/>
  <c r="AG26" i="20" s="1"/>
  <c r="AB26" i="20"/>
  <c r="AD26" i="20" s="1"/>
  <c r="AA26" i="20"/>
  <c r="AC26" i="20" s="1"/>
  <c r="X26" i="20"/>
  <c r="Z26" i="20" s="1"/>
  <c r="W26" i="20"/>
  <c r="Y26" i="20" s="1"/>
  <c r="T26" i="20"/>
  <c r="V26" i="20" s="1"/>
  <c r="S26" i="20"/>
  <c r="U26" i="20" s="1"/>
  <c r="P26" i="20"/>
  <c r="R26" i="20" s="1"/>
  <c r="O26" i="20"/>
  <c r="Q26" i="20" s="1"/>
  <c r="L26" i="20"/>
  <c r="N26" i="20" s="1"/>
  <c r="K26" i="20"/>
  <c r="M26" i="20" s="1"/>
  <c r="H26" i="20"/>
  <c r="J26" i="20" s="1"/>
  <c r="G26" i="20"/>
  <c r="I26" i="20" s="1"/>
  <c r="E26" i="20"/>
  <c r="D26" i="20"/>
  <c r="C26" i="20"/>
  <c r="AV25" i="20"/>
  <c r="AX25" i="20" s="1"/>
  <c r="AU25" i="20"/>
  <c r="AW25" i="20" s="1"/>
  <c r="AR25" i="20"/>
  <c r="AT25" i="20" s="1"/>
  <c r="AQ25" i="20"/>
  <c r="AS25" i="20" s="1"/>
  <c r="AN25" i="20"/>
  <c r="AP25" i="20" s="1"/>
  <c r="AM25" i="20"/>
  <c r="AO25" i="20" s="1"/>
  <c r="AJ25" i="20"/>
  <c r="AL25" i="20" s="1"/>
  <c r="AI25" i="20"/>
  <c r="AK25" i="20" s="1"/>
  <c r="AF25" i="20"/>
  <c r="AH25" i="20" s="1"/>
  <c r="AE25" i="20"/>
  <c r="AG25" i="20" s="1"/>
  <c r="AB25" i="20"/>
  <c r="AD25" i="20" s="1"/>
  <c r="AA25" i="20"/>
  <c r="AC25" i="20" s="1"/>
  <c r="X25" i="20"/>
  <c r="Z25" i="20" s="1"/>
  <c r="W25" i="20"/>
  <c r="Y25" i="20" s="1"/>
  <c r="T25" i="20"/>
  <c r="V25" i="20" s="1"/>
  <c r="S25" i="20"/>
  <c r="U25" i="20" s="1"/>
  <c r="P25" i="20"/>
  <c r="R25" i="20" s="1"/>
  <c r="O25" i="20"/>
  <c r="Q25" i="20" s="1"/>
  <c r="L25" i="20"/>
  <c r="N25" i="20" s="1"/>
  <c r="K25" i="20"/>
  <c r="M25" i="20" s="1"/>
  <c r="H25" i="20"/>
  <c r="J25" i="20" s="1"/>
  <c r="G25" i="20"/>
  <c r="I25" i="20" s="1"/>
  <c r="E25" i="20"/>
  <c r="D25" i="20"/>
  <c r="C25" i="20"/>
  <c r="AV24" i="20"/>
  <c r="AX24" i="20" s="1"/>
  <c r="AU24" i="20"/>
  <c r="AW24" i="20" s="1"/>
  <c r="AR24" i="20"/>
  <c r="AT24" i="20" s="1"/>
  <c r="AQ24" i="20"/>
  <c r="AS24" i="20" s="1"/>
  <c r="AN24" i="20"/>
  <c r="AP24" i="20" s="1"/>
  <c r="AM24" i="20"/>
  <c r="AO24" i="20" s="1"/>
  <c r="AJ24" i="20"/>
  <c r="AL24" i="20" s="1"/>
  <c r="AI24" i="20"/>
  <c r="AK24" i="20" s="1"/>
  <c r="AF24" i="20"/>
  <c r="AH24" i="20" s="1"/>
  <c r="AE24" i="20"/>
  <c r="AG24" i="20" s="1"/>
  <c r="AB24" i="20"/>
  <c r="AD24" i="20" s="1"/>
  <c r="AA24" i="20"/>
  <c r="AC24" i="20" s="1"/>
  <c r="X24" i="20"/>
  <c r="Z24" i="20" s="1"/>
  <c r="W24" i="20"/>
  <c r="Y24" i="20" s="1"/>
  <c r="T24" i="20"/>
  <c r="V24" i="20" s="1"/>
  <c r="S24" i="20"/>
  <c r="U24" i="20" s="1"/>
  <c r="P24" i="20"/>
  <c r="R24" i="20" s="1"/>
  <c r="O24" i="20"/>
  <c r="Q24" i="20" s="1"/>
  <c r="L24" i="20"/>
  <c r="N24" i="20" s="1"/>
  <c r="K24" i="20"/>
  <c r="M24" i="20" s="1"/>
  <c r="H24" i="20"/>
  <c r="J24" i="20" s="1"/>
  <c r="G24" i="20"/>
  <c r="I24" i="20" s="1"/>
  <c r="E24" i="20"/>
  <c r="D24" i="20"/>
  <c r="C24" i="20"/>
  <c r="AV23" i="20"/>
  <c r="AX23" i="20" s="1"/>
  <c r="AU23" i="20"/>
  <c r="AW23" i="20" s="1"/>
  <c r="AR23" i="20"/>
  <c r="AT23" i="20" s="1"/>
  <c r="AQ23" i="20"/>
  <c r="AS23" i="20" s="1"/>
  <c r="AN23" i="20"/>
  <c r="AP23" i="20" s="1"/>
  <c r="AM23" i="20"/>
  <c r="AO23" i="20" s="1"/>
  <c r="AJ23" i="20"/>
  <c r="AL23" i="20" s="1"/>
  <c r="AI23" i="20"/>
  <c r="AK23" i="20" s="1"/>
  <c r="AF23" i="20"/>
  <c r="AH23" i="20" s="1"/>
  <c r="AE23" i="20"/>
  <c r="AG23" i="20" s="1"/>
  <c r="AB23" i="20"/>
  <c r="AD23" i="20" s="1"/>
  <c r="AA23" i="20"/>
  <c r="AC23" i="20" s="1"/>
  <c r="X23" i="20"/>
  <c r="Z23" i="20" s="1"/>
  <c r="W23" i="20"/>
  <c r="Y23" i="20" s="1"/>
  <c r="T23" i="20"/>
  <c r="V23" i="20" s="1"/>
  <c r="S23" i="20"/>
  <c r="U23" i="20" s="1"/>
  <c r="P23" i="20"/>
  <c r="R23" i="20" s="1"/>
  <c r="O23" i="20"/>
  <c r="Q23" i="20" s="1"/>
  <c r="L23" i="20"/>
  <c r="N23" i="20" s="1"/>
  <c r="K23" i="20"/>
  <c r="M23" i="20" s="1"/>
  <c r="H23" i="20"/>
  <c r="J23" i="20" s="1"/>
  <c r="G23" i="20"/>
  <c r="I23" i="20" s="1"/>
  <c r="E23" i="20"/>
  <c r="D23" i="20"/>
  <c r="C23" i="20"/>
  <c r="AV22" i="20"/>
  <c r="AX22" i="20" s="1"/>
  <c r="AU22" i="20"/>
  <c r="AW22" i="20" s="1"/>
  <c r="AR22" i="20"/>
  <c r="AT22" i="20" s="1"/>
  <c r="AQ22" i="20"/>
  <c r="AS22" i="20" s="1"/>
  <c r="AN22" i="20"/>
  <c r="AP22" i="20" s="1"/>
  <c r="AM22" i="20"/>
  <c r="AO22" i="20" s="1"/>
  <c r="AJ22" i="20"/>
  <c r="AL22" i="20" s="1"/>
  <c r="AI22" i="20"/>
  <c r="AK22" i="20" s="1"/>
  <c r="AF22" i="20"/>
  <c r="AH22" i="20" s="1"/>
  <c r="AE22" i="20"/>
  <c r="AG22" i="20" s="1"/>
  <c r="AB22" i="20"/>
  <c r="AD22" i="20" s="1"/>
  <c r="AA22" i="20"/>
  <c r="AC22" i="20" s="1"/>
  <c r="X22" i="20"/>
  <c r="Z22" i="20" s="1"/>
  <c r="W22" i="20"/>
  <c r="Y22" i="20" s="1"/>
  <c r="T22" i="20"/>
  <c r="V22" i="20" s="1"/>
  <c r="S22" i="20"/>
  <c r="U22" i="20" s="1"/>
  <c r="P22" i="20"/>
  <c r="R22" i="20" s="1"/>
  <c r="O22" i="20"/>
  <c r="Q22" i="20" s="1"/>
  <c r="L22" i="20"/>
  <c r="N22" i="20" s="1"/>
  <c r="K22" i="20"/>
  <c r="M22" i="20" s="1"/>
  <c r="H22" i="20"/>
  <c r="J22" i="20" s="1"/>
  <c r="G22" i="20"/>
  <c r="I22" i="20" s="1"/>
  <c r="E22" i="20"/>
  <c r="D22" i="20"/>
  <c r="C22" i="20"/>
  <c r="AV21" i="20"/>
  <c r="AX21" i="20" s="1"/>
  <c r="AU21" i="20"/>
  <c r="AW21" i="20" s="1"/>
  <c r="AR21" i="20"/>
  <c r="AT21" i="20" s="1"/>
  <c r="AQ21" i="20"/>
  <c r="AS21" i="20" s="1"/>
  <c r="AN21" i="20"/>
  <c r="AP21" i="20" s="1"/>
  <c r="AM21" i="20"/>
  <c r="AO21" i="20" s="1"/>
  <c r="AJ21" i="20"/>
  <c r="AL21" i="20" s="1"/>
  <c r="AI21" i="20"/>
  <c r="AK21" i="20" s="1"/>
  <c r="AF21" i="20"/>
  <c r="AH21" i="20" s="1"/>
  <c r="AE21" i="20"/>
  <c r="AG21" i="20" s="1"/>
  <c r="AB21" i="20"/>
  <c r="AD21" i="20" s="1"/>
  <c r="AA21" i="20"/>
  <c r="AC21" i="20" s="1"/>
  <c r="X21" i="20"/>
  <c r="Z21" i="20" s="1"/>
  <c r="W21" i="20"/>
  <c r="Y21" i="20" s="1"/>
  <c r="T21" i="20"/>
  <c r="V21" i="20" s="1"/>
  <c r="S21" i="20"/>
  <c r="U21" i="20" s="1"/>
  <c r="P21" i="20"/>
  <c r="R21" i="20" s="1"/>
  <c r="O21" i="20"/>
  <c r="Q21" i="20" s="1"/>
  <c r="L21" i="20"/>
  <c r="N21" i="20" s="1"/>
  <c r="K21" i="20"/>
  <c r="M21" i="20" s="1"/>
  <c r="H21" i="20"/>
  <c r="J21" i="20" s="1"/>
  <c r="G21" i="20"/>
  <c r="I21" i="20" s="1"/>
  <c r="E21" i="20"/>
  <c r="D21" i="20"/>
  <c r="C21" i="20"/>
  <c r="AV20" i="20"/>
  <c r="AX20" i="20" s="1"/>
  <c r="AU20" i="20"/>
  <c r="AW20" i="20" s="1"/>
  <c r="AR20" i="20"/>
  <c r="AT20" i="20" s="1"/>
  <c r="AQ20" i="20"/>
  <c r="AS20" i="20" s="1"/>
  <c r="AN20" i="20"/>
  <c r="AP20" i="20" s="1"/>
  <c r="AM20" i="20"/>
  <c r="AO20" i="20" s="1"/>
  <c r="AJ20" i="20"/>
  <c r="AL20" i="20" s="1"/>
  <c r="AI20" i="20"/>
  <c r="AK20" i="20" s="1"/>
  <c r="AF20" i="20"/>
  <c r="AH20" i="20" s="1"/>
  <c r="AE20" i="20"/>
  <c r="AG20" i="20" s="1"/>
  <c r="AB20" i="20"/>
  <c r="AD20" i="20" s="1"/>
  <c r="AA20" i="20"/>
  <c r="AC20" i="20" s="1"/>
  <c r="X20" i="20"/>
  <c r="Z20" i="20" s="1"/>
  <c r="W20" i="20"/>
  <c r="Y20" i="20" s="1"/>
  <c r="T20" i="20"/>
  <c r="V20" i="20" s="1"/>
  <c r="S20" i="20"/>
  <c r="U20" i="20" s="1"/>
  <c r="P20" i="20"/>
  <c r="R20" i="20" s="1"/>
  <c r="O20" i="20"/>
  <c r="Q20" i="20" s="1"/>
  <c r="L20" i="20"/>
  <c r="N20" i="20" s="1"/>
  <c r="K20" i="20"/>
  <c r="M20" i="20" s="1"/>
  <c r="H20" i="20"/>
  <c r="J20" i="20" s="1"/>
  <c r="G20" i="20"/>
  <c r="I20" i="20" s="1"/>
  <c r="E20" i="20"/>
  <c r="D20" i="20"/>
  <c r="C20" i="20"/>
  <c r="AV19" i="20"/>
  <c r="AX19" i="20" s="1"/>
  <c r="AU19" i="20"/>
  <c r="AW19" i="20" s="1"/>
  <c r="AR19" i="20"/>
  <c r="AT19" i="20" s="1"/>
  <c r="AQ19" i="20"/>
  <c r="AS19" i="20" s="1"/>
  <c r="AN19" i="20"/>
  <c r="AP19" i="20" s="1"/>
  <c r="AM19" i="20"/>
  <c r="AO19" i="20" s="1"/>
  <c r="AJ19" i="20"/>
  <c r="AL19" i="20" s="1"/>
  <c r="AI19" i="20"/>
  <c r="AK19" i="20" s="1"/>
  <c r="AF19" i="20"/>
  <c r="AH19" i="20" s="1"/>
  <c r="AE19" i="20"/>
  <c r="AG19" i="20" s="1"/>
  <c r="AB19" i="20"/>
  <c r="AD19" i="20" s="1"/>
  <c r="AA19" i="20"/>
  <c r="AC19" i="20" s="1"/>
  <c r="X19" i="20"/>
  <c r="Z19" i="20" s="1"/>
  <c r="W19" i="20"/>
  <c r="Y19" i="20" s="1"/>
  <c r="T19" i="20"/>
  <c r="V19" i="20" s="1"/>
  <c r="S19" i="20"/>
  <c r="U19" i="20" s="1"/>
  <c r="P19" i="20"/>
  <c r="R19" i="20" s="1"/>
  <c r="O19" i="20"/>
  <c r="Q19" i="20" s="1"/>
  <c r="L19" i="20"/>
  <c r="N19" i="20" s="1"/>
  <c r="K19" i="20"/>
  <c r="M19" i="20" s="1"/>
  <c r="H19" i="20"/>
  <c r="J19" i="20" s="1"/>
  <c r="G19" i="20"/>
  <c r="I19" i="20" s="1"/>
  <c r="E19" i="20"/>
  <c r="D19" i="20"/>
  <c r="C19" i="20"/>
  <c r="AV18" i="20"/>
  <c r="AX18" i="20" s="1"/>
  <c r="AU18" i="20"/>
  <c r="AW18" i="20" s="1"/>
  <c r="AR18" i="20"/>
  <c r="AT18" i="20" s="1"/>
  <c r="AQ18" i="20"/>
  <c r="AS18" i="20" s="1"/>
  <c r="AN18" i="20"/>
  <c r="AP18" i="20" s="1"/>
  <c r="AM18" i="20"/>
  <c r="AO18" i="20" s="1"/>
  <c r="AJ18" i="20"/>
  <c r="AL18" i="20" s="1"/>
  <c r="AI18" i="20"/>
  <c r="AK18" i="20" s="1"/>
  <c r="AF18" i="20"/>
  <c r="AH18" i="20" s="1"/>
  <c r="AE18" i="20"/>
  <c r="AG18" i="20" s="1"/>
  <c r="AB18" i="20"/>
  <c r="AD18" i="20" s="1"/>
  <c r="AA18" i="20"/>
  <c r="AC18" i="20" s="1"/>
  <c r="X18" i="20"/>
  <c r="Z18" i="20" s="1"/>
  <c r="W18" i="20"/>
  <c r="Y18" i="20" s="1"/>
  <c r="T18" i="20"/>
  <c r="V18" i="20" s="1"/>
  <c r="S18" i="20"/>
  <c r="U18" i="20" s="1"/>
  <c r="P18" i="20"/>
  <c r="R18" i="20" s="1"/>
  <c r="O18" i="20"/>
  <c r="Q18" i="20" s="1"/>
  <c r="L18" i="20"/>
  <c r="N18" i="20" s="1"/>
  <c r="K18" i="20"/>
  <c r="M18" i="20" s="1"/>
  <c r="H18" i="20"/>
  <c r="J18" i="20" s="1"/>
  <c r="G18" i="20"/>
  <c r="I18" i="20" s="1"/>
  <c r="E18" i="20"/>
  <c r="D18" i="20"/>
  <c r="C18" i="20"/>
  <c r="AV17" i="20"/>
  <c r="AX17" i="20" s="1"/>
  <c r="AU17" i="20"/>
  <c r="AW17" i="20" s="1"/>
  <c r="AR17" i="20"/>
  <c r="AT17" i="20" s="1"/>
  <c r="AQ17" i="20"/>
  <c r="AS17" i="20" s="1"/>
  <c r="AN17" i="20"/>
  <c r="AP17" i="20" s="1"/>
  <c r="AM17" i="20"/>
  <c r="AO17" i="20" s="1"/>
  <c r="AJ17" i="20"/>
  <c r="AL17" i="20" s="1"/>
  <c r="AI17" i="20"/>
  <c r="AK17" i="20" s="1"/>
  <c r="AF17" i="20"/>
  <c r="AH17" i="20" s="1"/>
  <c r="AE17" i="20"/>
  <c r="AG17" i="20" s="1"/>
  <c r="AB17" i="20"/>
  <c r="AD17" i="20" s="1"/>
  <c r="AA17" i="20"/>
  <c r="AC17" i="20" s="1"/>
  <c r="X17" i="20"/>
  <c r="Z17" i="20" s="1"/>
  <c r="W17" i="20"/>
  <c r="Y17" i="20" s="1"/>
  <c r="T17" i="20"/>
  <c r="V17" i="20" s="1"/>
  <c r="S17" i="20"/>
  <c r="U17" i="20" s="1"/>
  <c r="P17" i="20"/>
  <c r="R17" i="20" s="1"/>
  <c r="O17" i="20"/>
  <c r="Q17" i="20" s="1"/>
  <c r="L17" i="20"/>
  <c r="N17" i="20" s="1"/>
  <c r="K17" i="20"/>
  <c r="M17" i="20" s="1"/>
  <c r="H17" i="20"/>
  <c r="J17" i="20" s="1"/>
  <c r="G17" i="20"/>
  <c r="I17" i="20" s="1"/>
  <c r="E17" i="20"/>
  <c r="D17" i="20"/>
  <c r="C17" i="20"/>
  <c r="AV16" i="20"/>
  <c r="AX16" i="20" s="1"/>
  <c r="AU16" i="20"/>
  <c r="AW16" i="20" s="1"/>
  <c r="AR16" i="20"/>
  <c r="AT16" i="20" s="1"/>
  <c r="AQ16" i="20"/>
  <c r="AS16" i="20" s="1"/>
  <c r="AN16" i="20"/>
  <c r="AP16" i="20" s="1"/>
  <c r="AM16" i="20"/>
  <c r="AO16" i="20" s="1"/>
  <c r="AJ16" i="20"/>
  <c r="AL16" i="20" s="1"/>
  <c r="AI16" i="20"/>
  <c r="AK16" i="20" s="1"/>
  <c r="AF16" i="20"/>
  <c r="AH16" i="20" s="1"/>
  <c r="AE16" i="20"/>
  <c r="AG16" i="20" s="1"/>
  <c r="AB16" i="20"/>
  <c r="AD16" i="20" s="1"/>
  <c r="AA16" i="20"/>
  <c r="AC16" i="20" s="1"/>
  <c r="X16" i="20"/>
  <c r="Z16" i="20" s="1"/>
  <c r="W16" i="20"/>
  <c r="Y16" i="20" s="1"/>
  <c r="T16" i="20"/>
  <c r="V16" i="20" s="1"/>
  <c r="S16" i="20"/>
  <c r="U16" i="20" s="1"/>
  <c r="P16" i="20"/>
  <c r="R16" i="20" s="1"/>
  <c r="O16" i="20"/>
  <c r="Q16" i="20" s="1"/>
  <c r="L16" i="20"/>
  <c r="N16" i="20" s="1"/>
  <c r="K16" i="20"/>
  <c r="M16" i="20" s="1"/>
  <c r="H16" i="20"/>
  <c r="J16" i="20" s="1"/>
  <c r="G16" i="20"/>
  <c r="I16" i="20" s="1"/>
  <c r="E16" i="20"/>
  <c r="D16" i="20"/>
  <c r="C16" i="20"/>
  <c r="AV15" i="20"/>
  <c r="AX15" i="20" s="1"/>
  <c r="AU15" i="20"/>
  <c r="AW15" i="20" s="1"/>
  <c r="AR15" i="20"/>
  <c r="AT15" i="20" s="1"/>
  <c r="AQ15" i="20"/>
  <c r="AS15" i="20" s="1"/>
  <c r="AN15" i="20"/>
  <c r="AP15" i="20" s="1"/>
  <c r="AM15" i="20"/>
  <c r="AO15" i="20" s="1"/>
  <c r="AJ15" i="20"/>
  <c r="AL15" i="20" s="1"/>
  <c r="AI15" i="20"/>
  <c r="AK15" i="20" s="1"/>
  <c r="AF15" i="20"/>
  <c r="AH15" i="20" s="1"/>
  <c r="AE15" i="20"/>
  <c r="AG15" i="20" s="1"/>
  <c r="AB15" i="20"/>
  <c r="AD15" i="20" s="1"/>
  <c r="AA15" i="20"/>
  <c r="AC15" i="20" s="1"/>
  <c r="X15" i="20"/>
  <c r="Z15" i="20" s="1"/>
  <c r="W15" i="20"/>
  <c r="Y15" i="20" s="1"/>
  <c r="T15" i="20"/>
  <c r="V15" i="20" s="1"/>
  <c r="S15" i="20"/>
  <c r="U15" i="20" s="1"/>
  <c r="P15" i="20"/>
  <c r="R15" i="20" s="1"/>
  <c r="O15" i="20"/>
  <c r="Q15" i="20" s="1"/>
  <c r="L15" i="20"/>
  <c r="N15" i="20" s="1"/>
  <c r="K15" i="20"/>
  <c r="M15" i="20" s="1"/>
  <c r="H15" i="20"/>
  <c r="J15" i="20" s="1"/>
  <c r="G15" i="20"/>
  <c r="I15" i="20" s="1"/>
  <c r="E15" i="20"/>
  <c r="D15" i="20"/>
  <c r="C15" i="20"/>
  <c r="AV14" i="20"/>
  <c r="AX14" i="20" s="1"/>
  <c r="AU14" i="20"/>
  <c r="AW14" i="20" s="1"/>
  <c r="AR14" i="20"/>
  <c r="AT14" i="20" s="1"/>
  <c r="AQ14" i="20"/>
  <c r="AS14" i="20" s="1"/>
  <c r="AN14" i="20"/>
  <c r="AP14" i="20" s="1"/>
  <c r="AM14" i="20"/>
  <c r="AO14" i="20" s="1"/>
  <c r="AJ14" i="20"/>
  <c r="AL14" i="20" s="1"/>
  <c r="AI14" i="20"/>
  <c r="AK14" i="20" s="1"/>
  <c r="AF14" i="20"/>
  <c r="AH14" i="20" s="1"/>
  <c r="AE14" i="20"/>
  <c r="AG14" i="20" s="1"/>
  <c r="AB14" i="20"/>
  <c r="AD14" i="20" s="1"/>
  <c r="AA14" i="20"/>
  <c r="AC14" i="20" s="1"/>
  <c r="X14" i="20"/>
  <c r="Z14" i="20" s="1"/>
  <c r="W14" i="20"/>
  <c r="Y14" i="20" s="1"/>
  <c r="T14" i="20"/>
  <c r="V14" i="20" s="1"/>
  <c r="S14" i="20"/>
  <c r="U14" i="20" s="1"/>
  <c r="P14" i="20"/>
  <c r="R14" i="20" s="1"/>
  <c r="O14" i="20"/>
  <c r="Q14" i="20" s="1"/>
  <c r="L14" i="20"/>
  <c r="N14" i="20" s="1"/>
  <c r="K14" i="20"/>
  <c r="M14" i="20" s="1"/>
  <c r="H14" i="20"/>
  <c r="J14" i="20" s="1"/>
  <c r="G14" i="20"/>
  <c r="I14" i="20" s="1"/>
  <c r="E14" i="20"/>
  <c r="D14" i="20"/>
  <c r="C14" i="20"/>
  <c r="AV13" i="20"/>
  <c r="AX13" i="20" s="1"/>
  <c r="AU13" i="20"/>
  <c r="AW13" i="20" s="1"/>
  <c r="AR13" i="20"/>
  <c r="AT13" i="20" s="1"/>
  <c r="AQ13" i="20"/>
  <c r="AS13" i="20" s="1"/>
  <c r="AN13" i="20"/>
  <c r="AP13" i="20" s="1"/>
  <c r="AM13" i="20"/>
  <c r="AO13" i="20" s="1"/>
  <c r="AJ13" i="20"/>
  <c r="AL13" i="20" s="1"/>
  <c r="AI13" i="20"/>
  <c r="AK13" i="20" s="1"/>
  <c r="AF13" i="20"/>
  <c r="AH13" i="20" s="1"/>
  <c r="AE13" i="20"/>
  <c r="AG13" i="20" s="1"/>
  <c r="AB13" i="20"/>
  <c r="AD13" i="20" s="1"/>
  <c r="AA13" i="20"/>
  <c r="AC13" i="20" s="1"/>
  <c r="X13" i="20"/>
  <c r="Z13" i="20" s="1"/>
  <c r="W13" i="20"/>
  <c r="Y13" i="20" s="1"/>
  <c r="T13" i="20"/>
  <c r="V13" i="20" s="1"/>
  <c r="S13" i="20"/>
  <c r="U13" i="20" s="1"/>
  <c r="P13" i="20"/>
  <c r="R13" i="20" s="1"/>
  <c r="O13" i="20"/>
  <c r="Q13" i="20" s="1"/>
  <c r="L13" i="20"/>
  <c r="N13" i="20" s="1"/>
  <c r="K13" i="20"/>
  <c r="M13" i="20" s="1"/>
  <c r="H13" i="20"/>
  <c r="J13" i="20" s="1"/>
  <c r="G13" i="20"/>
  <c r="I13" i="20" s="1"/>
  <c r="E13" i="20"/>
  <c r="D13" i="20"/>
  <c r="C13" i="20"/>
  <c r="AV12" i="20"/>
  <c r="AX12" i="20" s="1"/>
  <c r="AU12" i="20"/>
  <c r="AW12" i="20" s="1"/>
  <c r="AR12" i="20"/>
  <c r="AT12" i="20" s="1"/>
  <c r="AQ12" i="20"/>
  <c r="AS12" i="20" s="1"/>
  <c r="AN12" i="20"/>
  <c r="AP12" i="20" s="1"/>
  <c r="AM12" i="20"/>
  <c r="AO12" i="20" s="1"/>
  <c r="AJ12" i="20"/>
  <c r="AL12" i="20" s="1"/>
  <c r="AI12" i="20"/>
  <c r="AK12" i="20" s="1"/>
  <c r="AF12" i="20"/>
  <c r="AH12" i="20" s="1"/>
  <c r="AE12" i="20"/>
  <c r="AG12" i="20" s="1"/>
  <c r="AB12" i="20"/>
  <c r="AD12" i="20" s="1"/>
  <c r="AA12" i="20"/>
  <c r="AC12" i="20" s="1"/>
  <c r="X12" i="20"/>
  <c r="Z12" i="20" s="1"/>
  <c r="W12" i="20"/>
  <c r="Y12" i="20" s="1"/>
  <c r="T12" i="20"/>
  <c r="V12" i="20" s="1"/>
  <c r="S12" i="20"/>
  <c r="U12" i="20" s="1"/>
  <c r="P12" i="20"/>
  <c r="R12" i="20" s="1"/>
  <c r="O12" i="20"/>
  <c r="Q12" i="20" s="1"/>
  <c r="L12" i="20"/>
  <c r="N12" i="20" s="1"/>
  <c r="K12" i="20"/>
  <c r="M12" i="20" s="1"/>
  <c r="H12" i="20"/>
  <c r="J12" i="20" s="1"/>
  <c r="G12" i="20"/>
  <c r="I12" i="20" s="1"/>
  <c r="E12" i="20"/>
  <c r="D12" i="20"/>
  <c r="C12" i="20"/>
  <c r="AV11" i="20"/>
  <c r="AX11" i="20" s="1"/>
  <c r="AU11" i="20"/>
  <c r="AW11" i="20" s="1"/>
  <c r="AR11" i="20"/>
  <c r="AT11" i="20" s="1"/>
  <c r="AQ11" i="20"/>
  <c r="AS11" i="20" s="1"/>
  <c r="AN11" i="20"/>
  <c r="AP11" i="20" s="1"/>
  <c r="AM11" i="20"/>
  <c r="AO11" i="20" s="1"/>
  <c r="AJ11" i="20"/>
  <c r="AL11" i="20" s="1"/>
  <c r="AI11" i="20"/>
  <c r="AK11" i="20" s="1"/>
  <c r="AF11" i="20"/>
  <c r="AH11" i="20" s="1"/>
  <c r="AE11" i="20"/>
  <c r="AG11" i="20" s="1"/>
  <c r="AB11" i="20"/>
  <c r="AD11" i="20" s="1"/>
  <c r="AA11" i="20"/>
  <c r="AC11" i="20" s="1"/>
  <c r="X11" i="20"/>
  <c r="Z11" i="20" s="1"/>
  <c r="W11" i="20"/>
  <c r="Y11" i="20" s="1"/>
  <c r="T11" i="20"/>
  <c r="V11" i="20" s="1"/>
  <c r="S11" i="20"/>
  <c r="U11" i="20" s="1"/>
  <c r="P11" i="20"/>
  <c r="R11" i="20" s="1"/>
  <c r="O11" i="20"/>
  <c r="Q11" i="20" s="1"/>
  <c r="L11" i="20"/>
  <c r="N11" i="20" s="1"/>
  <c r="K11" i="20"/>
  <c r="M11" i="20" s="1"/>
  <c r="H11" i="20"/>
  <c r="J11" i="20" s="1"/>
  <c r="G11" i="20"/>
  <c r="I11" i="20" s="1"/>
  <c r="E11" i="20"/>
  <c r="D11" i="20"/>
  <c r="C11" i="20"/>
  <c r="AV10" i="20"/>
  <c r="AX10" i="20" s="1"/>
  <c r="AU10" i="20"/>
  <c r="AW10" i="20" s="1"/>
  <c r="AR10" i="20"/>
  <c r="AT10" i="20" s="1"/>
  <c r="AQ10" i="20"/>
  <c r="AS10" i="20" s="1"/>
  <c r="AN10" i="20"/>
  <c r="AP10" i="20" s="1"/>
  <c r="AM10" i="20"/>
  <c r="AO10" i="20" s="1"/>
  <c r="AJ10" i="20"/>
  <c r="AL10" i="20" s="1"/>
  <c r="AI10" i="20"/>
  <c r="AK10" i="20" s="1"/>
  <c r="AF10" i="20"/>
  <c r="AH10" i="20" s="1"/>
  <c r="AE10" i="20"/>
  <c r="AG10" i="20" s="1"/>
  <c r="AB10" i="20"/>
  <c r="AD10" i="20" s="1"/>
  <c r="AA10" i="20"/>
  <c r="AC10" i="20" s="1"/>
  <c r="X10" i="20"/>
  <c r="Z10" i="20" s="1"/>
  <c r="W10" i="20"/>
  <c r="Y10" i="20" s="1"/>
  <c r="T10" i="20"/>
  <c r="V10" i="20" s="1"/>
  <c r="S10" i="20"/>
  <c r="U10" i="20" s="1"/>
  <c r="P10" i="20"/>
  <c r="R10" i="20" s="1"/>
  <c r="O10" i="20"/>
  <c r="Q10" i="20" s="1"/>
  <c r="L10" i="20"/>
  <c r="N10" i="20" s="1"/>
  <c r="K10" i="20"/>
  <c r="M10" i="20" s="1"/>
  <c r="H10" i="20"/>
  <c r="J10" i="20" s="1"/>
  <c r="G10" i="20"/>
  <c r="I10" i="20" s="1"/>
  <c r="E10" i="20"/>
  <c r="D10" i="20"/>
  <c r="C10" i="20"/>
  <c r="AV9" i="20"/>
  <c r="AX9" i="20" s="1"/>
  <c r="AU9" i="20"/>
  <c r="AW9" i="20" s="1"/>
  <c r="AR9" i="20"/>
  <c r="AT9" i="20" s="1"/>
  <c r="AQ9" i="20"/>
  <c r="AS9" i="20" s="1"/>
  <c r="AN9" i="20"/>
  <c r="AP9" i="20" s="1"/>
  <c r="AM9" i="20"/>
  <c r="AO9" i="20" s="1"/>
  <c r="AJ9" i="20"/>
  <c r="AL9" i="20" s="1"/>
  <c r="AI9" i="20"/>
  <c r="AK9" i="20" s="1"/>
  <c r="AF9" i="20"/>
  <c r="AH9" i="20" s="1"/>
  <c r="AE9" i="20"/>
  <c r="AG9" i="20" s="1"/>
  <c r="AB9" i="20"/>
  <c r="AD9" i="20" s="1"/>
  <c r="AA9" i="20"/>
  <c r="AC9" i="20" s="1"/>
  <c r="X9" i="20"/>
  <c r="Z9" i="20" s="1"/>
  <c r="W9" i="20"/>
  <c r="Y9" i="20" s="1"/>
  <c r="T9" i="20"/>
  <c r="V9" i="20" s="1"/>
  <c r="S9" i="20"/>
  <c r="U9" i="20" s="1"/>
  <c r="P9" i="20"/>
  <c r="R9" i="20" s="1"/>
  <c r="O9" i="20"/>
  <c r="Q9" i="20" s="1"/>
  <c r="L9" i="20"/>
  <c r="N9" i="20" s="1"/>
  <c r="K9" i="20"/>
  <c r="M9" i="20" s="1"/>
  <c r="H9" i="20"/>
  <c r="J9" i="20" s="1"/>
  <c r="G9" i="20"/>
  <c r="I9" i="20" s="1"/>
  <c r="E9" i="20"/>
  <c r="D9" i="20"/>
  <c r="C9" i="20"/>
  <c r="AV8" i="20"/>
  <c r="AX8" i="20" s="1"/>
  <c r="AU8" i="20"/>
  <c r="AW8" i="20" s="1"/>
  <c r="AR8" i="20"/>
  <c r="AT8" i="20" s="1"/>
  <c r="AQ8" i="20"/>
  <c r="AS8" i="20" s="1"/>
  <c r="AN8" i="20"/>
  <c r="AP8" i="20" s="1"/>
  <c r="AM8" i="20"/>
  <c r="AO8" i="20" s="1"/>
  <c r="AJ8" i="20"/>
  <c r="AL8" i="20" s="1"/>
  <c r="AI8" i="20"/>
  <c r="AK8" i="20" s="1"/>
  <c r="AF8" i="20"/>
  <c r="AH8" i="20" s="1"/>
  <c r="AE8" i="20"/>
  <c r="AG8" i="20" s="1"/>
  <c r="AB8" i="20"/>
  <c r="AD8" i="20" s="1"/>
  <c r="AA8" i="20"/>
  <c r="AC8" i="20" s="1"/>
  <c r="X8" i="20"/>
  <c r="Z8" i="20" s="1"/>
  <c r="W8" i="20"/>
  <c r="Y8" i="20" s="1"/>
  <c r="T8" i="20"/>
  <c r="V8" i="20" s="1"/>
  <c r="S8" i="20"/>
  <c r="U8" i="20" s="1"/>
  <c r="P8" i="20"/>
  <c r="R8" i="20" s="1"/>
  <c r="O8" i="20"/>
  <c r="Q8" i="20" s="1"/>
  <c r="L8" i="20"/>
  <c r="N8" i="20" s="1"/>
  <c r="K8" i="20"/>
  <c r="M8" i="20" s="1"/>
  <c r="H8" i="20"/>
  <c r="J8" i="20" s="1"/>
  <c r="G8" i="20"/>
  <c r="I8" i="20" s="1"/>
  <c r="E8" i="20"/>
  <c r="D8" i="20"/>
  <c r="C8" i="20"/>
  <c r="AV7" i="20"/>
  <c r="AX7" i="20" s="1"/>
  <c r="AU7" i="20"/>
  <c r="AW7" i="20" s="1"/>
  <c r="AR7" i="20"/>
  <c r="AT7" i="20" s="1"/>
  <c r="AQ7" i="20"/>
  <c r="AS7" i="20" s="1"/>
  <c r="AN7" i="20"/>
  <c r="AP7" i="20" s="1"/>
  <c r="AM7" i="20"/>
  <c r="AO7" i="20" s="1"/>
  <c r="AJ7" i="20"/>
  <c r="AL7" i="20" s="1"/>
  <c r="AI7" i="20"/>
  <c r="AK7" i="20" s="1"/>
  <c r="AF7" i="20"/>
  <c r="AH7" i="20" s="1"/>
  <c r="AE7" i="20"/>
  <c r="AG7" i="20" s="1"/>
  <c r="AB7" i="20"/>
  <c r="AD7" i="20" s="1"/>
  <c r="AA7" i="20"/>
  <c r="AC7" i="20" s="1"/>
  <c r="X7" i="20"/>
  <c r="Z7" i="20" s="1"/>
  <c r="W7" i="20"/>
  <c r="Y7" i="20" s="1"/>
  <c r="T7" i="20"/>
  <c r="V7" i="20" s="1"/>
  <c r="S7" i="20"/>
  <c r="U7" i="20" s="1"/>
  <c r="P7" i="20"/>
  <c r="R7" i="20" s="1"/>
  <c r="O7" i="20"/>
  <c r="Q7" i="20" s="1"/>
  <c r="L7" i="20"/>
  <c r="N7" i="20" s="1"/>
  <c r="K7" i="20"/>
  <c r="M7" i="20" s="1"/>
  <c r="H7" i="20"/>
  <c r="J7" i="20" s="1"/>
  <c r="G7" i="20"/>
  <c r="I7" i="20" s="1"/>
  <c r="E7" i="20"/>
  <c r="D7" i="20"/>
  <c r="C7" i="20"/>
  <c r="AV6" i="20"/>
  <c r="AX6" i="20" s="1"/>
  <c r="AU6" i="20"/>
  <c r="AW6" i="20" s="1"/>
  <c r="AR6" i="20"/>
  <c r="AT6" i="20" s="1"/>
  <c r="AQ6" i="20"/>
  <c r="AS6" i="20" s="1"/>
  <c r="AN6" i="20"/>
  <c r="AP6" i="20" s="1"/>
  <c r="AM6" i="20"/>
  <c r="AO6" i="20" s="1"/>
  <c r="AJ6" i="20"/>
  <c r="AL6" i="20" s="1"/>
  <c r="AI6" i="20"/>
  <c r="AK6" i="20" s="1"/>
  <c r="AF6" i="20"/>
  <c r="AH6" i="20" s="1"/>
  <c r="AE6" i="20"/>
  <c r="AG6" i="20" s="1"/>
  <c r="AB6" i="20"/>
  <c r="AD6" i="20" s="1"/>
  <c r="AA6" i="20"/>
  <c r="AC6" i="20" s="1"/>
  <c r="X6" i="20"/>
  <c r="Z6" i="20" s="1"/>
  <c r="W6" i="20"/>
  <c r="Y6" i="20" s="1"/>
  <c r="T6" i="20"/>
  <c r="V6" i="20" s="1"/>
  <c r="S6" i="20"/>
  <c r="U6" i="20" s="1"/>
  <c r="P6" i="20"/>
  <c r="R6" i="20" s="1"/>
  <c r="O6" i="20"/>
  <c r="Q6" i="20" s="1"/>
  <c r="L6" i="20"/>
  <c r="N6" i="20" s="1"/>
  <c r="K6" i="20"/>
  <c r="M6" i="20" s="1"/>
  <c r="H6" i="20"/>
  <c r="J6" i="20" s="1"/>
  <c r="G6" i="20"/>
  <c r="I6" i="20" s="1"/>
  <c r="E6" i="20"/>
  <c r="D6" i="20"/>
  <c r="C6" i="20"/>
  <c r="AV5" i="20"/>
  <c r="AX5" i="20" s="1"/>
  <c r="AU5" i="20"/>
  <c r="AW5" i="20" s="1"/>
  <c r="AR5" i="20"/>
  <c r="AT5" i="20" s="1"/>
  <c r="AQ5" i="20"/>
  <c r="AS5" i="20" s="1"/>
  <c r="AN5" i="20"/>
  <c r="AP5" i="20" s="1"/>
  <c r="AM5" i="20"/>
  <c r="AO5" i="20" s="1"/>
  <c r="AJ5" i="20"/>
  <c r="AL5" i="20" s="1"/>
  <c r="AI5" i="20"/>
  <c r="AK5" i="20" s="1"/>
  <c r="AF5" i="20"/>
  <c r="AH5" i="20" s="1"/>
  <c r="AE5" i="20"/>
  <c r="AG5" i="20" s="1"/>
  <c r="AB5" i="20"/>
  <c r="AD5" i="20" s="1"/>
  <c r="AA5" i="20"/>
  <c r="AC5" i="20" s="1"/>
  <c r="X5" i="20"/>
  <c r="Z5" i="20" s="1"/>
  <c r="W5" i="20"/>
  <c r="Y5" i="20" s="1"/>
  <c r="T5" i="20"/>
  <c r="V5" i="20" s="1"/>
  <c r="S5" i="20"/>
  <c r="U5" i="20" s="1"/>
  <c r="P5" i="20"/>
  <c r="R5" i="20" s="1"/>
  <c r="O5" i="20"/>
  <c r="Q5" i="20" s="1"/>
  <c r="L5" i="20"/>
  <c r="N5" i="20" s="1"/>
  <c r="K5" i="20"/>
  <c r="M5" i="20" s="1"/>
  <c r="H5" i="20"/>
  <c r="J5" i="20" s="1"/>
  <c r="G5" i="20"/>
  <c r="I5" i="20" s="1"/>
  <c r="E5" i="20"/>
  <c r="D5" i="20"/>
  <c r="C5" i="20"/>
  <c r="AV4" i="20"/>
  <c r="AX4" i="20" s="1"/>
  <c r="AU4" i="20"/>
  <c r="AW4" i="20" s="1"/>
  <c r="AR4" i="20"/>
  <c r="AT4" i="20" s="1"/>
  <c r="AQ4" i="20"/>
  <c r="AS4" i="20" s="1"/>
  <c r="AN4" i="20"/>
  <c r="AP4" i="20" s="1"/>
  <c r="AM4" i="20"/>
  <c r="AO4" i="20" s="1"/>
  <c r="AJ4" i="20"/>
  <c r="AL4" i="20" s="1"/>
  <c r="AI4" i="20"/>
  <c r="AK4" i="20" s="1"/>
  <c r="AF4" i="20"/>
  <c r="AH4" i="20" s="1"/>
  <c r="AE4" i="20"/>
  <c r="AG4" i="20" s="1"/>
  <c r="AB4" i="20"/>
  <c r="AD4" i="20" s="1"/>
  <c r="AA4" i="20"/>
  <c r="AC4" i="20" s="1"/>
  <c r="X4" i="20"/>
  <c r="Z4" i="20" s="1"/>
  <c r="W4" i="20"/>
  <c r="Y4" i="20" s="1"/>
  <c r="T4" i="20"/>
  <c r="V4" i="20" s="1"/>
  <c r="S4" i="20"/>
  <c r="U4" i="20" s="1"/>
  <c r="P4" i="20"/>
  <c r="R4" i="20" s="1"/>
  <c r="O4" i="20"/>
  <c r="Q4" i="20" s="1"/>
  <c r="L4" i="20"/>
  <c r="N4" i="20" s="1"/>
  <c r="K4" i="20"/>
  <c r="M4" i="20" s="1"/>
  <c r="H4" i="20"/>
  <c r="J4" i="20" s="1"/>
  <c r="G4" i="20"/>
  <c r="I4" i="20" s="1"/>
  <c r="E4" i="20"/>
  <c r="D4" i="20"/>
  <c r="C4" i="20"/>
  <c r="AV3" i="20"/>
  <c r="AX3" i="20" s="1"/>
  <c r="AU3" i="20"/>
  <c r="AW3" i="20" s="1"/>
  <c r="AR3" i="20"/>
  <c r="AT3" i="20" s="1"/>
  <c r="AQ3" i="20"/>
  <c r="AS3" i="20" s="1"/>
  <c r="AN3" i="20"/>
  <c r="AP3" i="20" s="1"/>
  <c r="AM3" i="20"/>
  <c r="AO3" i="20" s="1"/>
  <c r="AJ3" i="20"/>
  <c r="AL3" i="20" s="1"/>
  <c r="AI3" i="20"/>
  <c r="AK3" i="20" s="1"/>
  <c r="AF3" i="20"/>
  <c r="AH3" i="20" s="1"/>
  <c r="AE3" i="20"/>
  <c r="AG3" i="20" s="1"/>
  <c r="AB3" i="20"/>
  <c r="AD3" i="20" s="1"/>
  <c r="AA3" i="20"/>
  <c r="AC3" i="20" s="1"/>
  <c r="X3" i="20"/>
  <c r="Z3" i="20" s="1"/>
  <c r="W3" i="20"/>
  <c r="Y3" i="20" s="1"/>
  <c r="T3" i="20"/>
  <c r="V3" i="20" s="1"/>
  <c r="S3" i="20"/>
  <c r="U3" i="20" s="1"/>
  <c r="P3" i="20"/>
  <c r="R3" i="20" s="1"/>
  <c r="O3" i="20"/>
  <c r="Q3" i="20" s="1"/>
  <c r="L3" i="20"/>
  <c r="N3" i="20" s="1"/>
  <c r="K3" i="20"/>
  <c r="M3" i="20" s="1"/>
  <c r="H3" i="20"/>
  <c r="J3" i="20" s="1"/>
  <c r="G3" i="20"/>
  <c r="I3" i="20" s="1"/>
  <c r="E3" i="20"/>
  <c r="D3" i="20"/>
  <c r="C3" i="20"/>
  <c r="AV50" i="19"/>
  <c r="AX50" i="19" s="1"/>
  <c r="AU50" i="19"/>
  <c r="AW50" i="19" s="1"/>
  <c r="AR50" i="19"/>
  <c r="AT50" i="19" s="1"/>
  <c r="AQ50" i="19"/>
  <c r="AS50" i="19" s="1"/>
  <c r="AN50" i="19"/>
  <c r="AP50" i="19" s="1"/>
  <c r="AM50" i="19"/>
  <c r="AO50" i="19" s="1"/>
  <c r="AJ50" i="19"/>
  <c r="AL50" i="19" s="1"/>
  <c r="AI50" i="19"/>
  <c r="AK50" i="19" s="1"/>
  <c r="AF50" i="19"/>
  <c r="AH50" i="19" s="1"/>
  <c r="AE50" i="19"/>
  <c r="AG50" i="19" s="1"/>
  <c r="AB50" i="19"/>
  <c r="AD50" i="19" s="1"/>
  <c r="AA50" i="19"/>
  <c r="AC50" i="19" s="1"/>
  <c r="X50" i="19"/>
  <c r="Z50" i="19" s="1"/>
  <c r="W50" i="19"/>
  <c r="Y50" i="19" s="1"/>
  <c r="T50" i="19"/>
  <c r="V50" i="19" s="1"/>
  <c r="S50" i="19"/>
  <c r="U50" i="19" s="1"/>
  <c r="P50" i="19"/>
  <c r="R50" i="19" s="1"/>
  <c r="O50" i="19"/>
  <c r="Q50" i="19" s="1"/>
  <c r="L50" i="19"/>
  <c r="N50" i="19" s="1"/>
  <c r="K50" i="19"/>
  <c r="M50" i="19" s="1"/>
  <c r="H50" i="19"/>
  <c r="J50" i="19" s="1"/>
  <c r="G50" i="19"/>
  <c r="I50" i="19" s="1"/>
  <c r="E50" i="19"/>
  <c r="D50" i="19"/>
  <c r="C50" i="19"/>
  <c r="AV49" i="19"/>
  <c r="AX49" i="19" s="1"/>
  <c r="AU49" i="19"/>
  <c r="AW49" i="19" s="1"/>
  <c r="AR49" i="19"/>
  <c r="AT49" i="19" s="1"/>
  <c r="AQ49" i="19"/>
  <c r="AS49" i="19" s="1"/>
  <c r="AN49" i="19"/>
  <c r="AP49" i="19" s="1"/>
  <c r="AM49" i="19"/>
  <c r="AO49" i="19" s="1"/>
  <c r="AJ49" i="19"/>
  <c r="AL49" i="19" s="1"/>
  <c r="AI49" i="19"/>
  <c r="AK49" i="19" s="1"/>
  <c r="AF49" i="19"/>
  <c r="AH49" i="19" s="1"/>
  <c r="AE49" i="19"/>
  <c r="AG49" i="19" s="1"/>
  <c r="AB49" i="19"/>
  <c r="AD49" i="19" s="1"/>
  <c r="AA49" i="19"/>
  <c r="AC49" i="19" s="1"/>
  <c r="X49" i="19"/>
  <c r="Z49" i="19" s="1"/>
  <c r="W49" i="19"/>
  <c r="Y49" i="19" s="1"/>
  <c r="T49" i="19"/>
  <c r="V49" i="19" s="1"/>
  <c r="S49" i="19"/>
  <c r="U49" i="19" s="1"/>
  <c r="P49" i="19"/>
  <c r="R49" i="19" s="1"/>
  <c r="O49" i="19"/>
  <c r="Q49" i="19" s="1"/>
  <c r="L49" i="19"/>
  <c r="N49" i="19" s="1"/>
  <c r="K49" i="19"/>
  <c r="M49" i="19" s="1"/>
  <c r="H49" i="19"/>
  <c r="J49" i="19" s="1"/>
  <c r="G49" i="19"/>
  <c r="I49" i="19" s="1"/>
  <c r="E49" i="19"/>
  <c r="D49" i="19"/>
  <c r="C49" i="19"/>
  <c r="AV48" i="19"/>
  <c r="AX48" i="19" s="1"/>
  <c r="AU48" i="19"/>
  <c r="AW48" i="19" s="1"/>
  <c r="AR48" i="19"/>
  <c r="AT48" i="19" s="1"/>
  <c r="AQ48" i="19"/>
  <c r="AS48" i="19" s="1"/>
  <c r="AN48" i="19"/>
  <c r="AP48" i="19" s="1"/>
  <c r="AM48" i="19"/>
  <c r="AO48" i="19" s="1"/>
  <c r="AJ48" i="19"/>
  <c r="AL48" i="19" s="1"/>
  <c r="AI48" i="19"/>
  <c r="AK48" i="19" s="1"/>
  <c r="AF48" i="19"/>
  <c r="AH48" i="19" s="1"/>
  <c r="AE48" i="19"/>
  <c r="AG48" i="19" s="1"/>
  <c r="AB48" i="19"/>
  <c r="AD48" i="19" s="1"/>
  <c r="AA48" i="19"/>
  <c r="AC48" i="19" s="1"/>
  <c r="X48" i="19"/>
  <c r="Z48" i="19" s="1"/>
  <c r="W48" i="19"/>
  <c r="Y48" i="19" s="1"/>
  <c r="T48" i="19"/>
  <c r="V48" i="19" s="1"/>
  <c r="S48" i="19"/>
  <c r="U48" i="19" s="1"/>
  <c r="P48" i="19"/>
  <c r="R48" i="19" s="1"/>
  <c r="O48" i="19"/>
  <c r="Q48" i="19" s="1"/>
  <c r="L48" i="19"/>
  <c r="N48" i="19" s="1"/>
  <c r="K48" i="19"/>
  <c r="M48" i="19" s="1"/>
  <c r="H48" i="19"/>
  <c r="J48" i="19" s="1"/>
  <c r="G48" i="19"/>
  <c r="I48" i="19" s="1"/>
  <c r="E48" i="19"/>
  <c r="D48" i="19"/>
  <c r="C48" i="19"/>
  <c r="AV47" i="19"/>
  <c r="AX47" i="19" s="1"/>
  <c r="AU47" i="19"/>
  <c r="AW47" i="19" s="1"/>
  <c r="AR47" i="19"/>
  <c r="AT47" i="19" s="1"/>
  <c r="AQ47" i="19"/>
  <c r="AS47" i="19" s="1"/>
  <c r="AN47" i="19"/>
  <c r="AP47" i="19" s="1"/>
  <c r="AM47" i="19"/>
  <c r="AO47" i="19" s="1"/>
  <c r="AJ47" i="19"/>
  <c r="AL47" i="19" s="1"/>
  <c r="AI47" i="19"/>
  <c r="AK47" i="19" s="1"/>
  <c r="AF47" i="19"/>
  <c r="AH47" i="19" s="1"/>
  <c r="AE47" i="19"/>
  <c r="AG47" i="19" s="1"/>
  <c r="AB47" i="19"/>
  <c r="AD47" i="19" s="1"/>
  <c r="AA47" i="19"/>
  <c r="AC47" i="19" s="1"/>
  <c r="X47" i="19"/>
  <c r="Z47" i="19" s="1"/>
  <c r="W47" i="19"/>
  <c r="Y47" i="19" s="1"/>
  <c r="T47" i="19"/>
  <c r="V47" i="19" s="1"/>
  <c r="S47" i="19"/>
  <c r="U47" i="19" s="1"/>
  <c r="P47" i="19"/>
  <c r="R47" i="19" s="1"/>
  <c r="O47" i="19"/>
  <c r="Q47" i="19" s="1"/>
  <c r="L47" i="19"/>
  <c r="N47" i="19" s="1"/>
  <c r="K47" i="19"/>
  <c r="M47" i="19" s="1"/>
  <c r="H47" i="19"/>
  <c r="J47" i="19" s="1"/>
  <c r="G47" i="19"/>
  <c r="I47" i="19" s="1"/>
  <c r="E47" i="19"/>
  <c r="D47" i="19"/>
  <c r="C47" i="19"/>
  <c r="AV46" i="19"/>
  <c r="AX46" i="19" s="1"/>
  <c r="AU46" i="19"/>
  <c r="AW46" i="19" s="1"/>
  <c r="AR46" i="19"/>
  <c r="AT46" i="19" s="1"/>
  <c r="AQ46" i="19"/>
  <c r="AS46" i="19" s="1"/>
  <c r="AN46" i="19"/>
  <c r="AP46" i="19" s="1"/>
  <c r="AM46" i="19"/>
  <c r="AO46" i="19" s="1"/>
  <c r="AJ46" i="19"/>
  <c r="AL46" i="19" s="1"/>
  <c r="AI46" i="19"/>
  <c r="AK46" i="19" s="1"/>
  <c r="AF46" i="19"/>
  <c r="AH46" i="19" s="1"/>
  <c r="AE46" i="19"/>
  <c r="AG46" i="19" s="1"/>
  <c r="AB46" i="19"/>
  <c r="AD46" i="19" s="1"/>
  <c r="AA46" i="19"/>
  <c r="AC46" i="19" s="1"/>
  <c r="X46" i="19"/>
  <c r="Z46" i="19" s="1"/>
  <c r="W46" i="19"/>
  <c r="Y46" i="19" s="1"/>
  <c r="T46" i="19"/>
  <c r="V46" i="19" s="1"/>
  <c r="S46" i="19"/>
  <c r="U46" i="19" s="1"/>
  <c r="P46" i="19"/>
  <c r="R46" i="19" s="1"/>
  <c r="O46" i="19"/>
  <c r="Q46" i="19" s="1"/>
  <c r="L46" i="19"/>
  <c r="N46" i="19" s="1"/>
  <c r="K46" i="19"/>
  <c r="M46" i="19" s="1"/>
  <c r="H46" i="19"/>
  <c r="J46" i="19" s="1"/>
  <c r="G46" i="19"/>
  <c r="I46" i="19" s="1"/>
  <c r="E46" i="19"/>
  <c r="D46" i="19"/>
  <c r="C46" i="19"/>
  <c r="AV45" i="19"/>
  <c r="AX45" i="19" s="1"/>
  <c r="AU45" i="19"/>
  <c r="AW45" i="19" s="1"/>
  <c r="AR45" i="19"/>
  <c r="AT45" i="19" s="1"/>
  <c r="AQ45" i="19"/>
  <c r="AS45" i="19" s="1"/>
  <c r="AN45" i="19"/>
  <c r="AP45" i="19" s="1"/>
  <c r="AM45" i="19"/>
  <c r="AO45" i="19" s="1"/>
  <c r="AJ45" i="19"/>
  <c r="AL45" i="19" s="1"/>
  <c r="AI45" i="19"/>
  <c r="AK45" i="19" s="1"/>
  <c r="AF45" i="19"/>
  <c r="AH45" i="19" s="1"/>
  <c r="AE45" i="19"/>
  <c r="AG45" i="19" s="1"/>
  <c r="AB45" i="19"/>
  <c r="AD45" i="19" s="1"/>
  <c r="AA45" i="19"/>
  <c r="AC45" i="19" s="1"/>
  <c r="X45" i="19"/>
  <c r="Z45" i="19" s="1"/>
  <c r="W45" i="19"/>
  <c r="Y45" i="19" s="1"/>
  <c r="T45" i="19"/>
  <c r="V45" i="19" s="1"/>
  <c r="S45" i="19"/>
  <c r="U45" i="19" s="1"/>
  <c r="P45" i="19"/>
  <c r="R45" i="19" s="1"/>
  <c r="O45" i="19"/>
  <c r="Q45" i="19" s="1"/>
  <c r="L45" i="19"/>
  <c r="N45" i="19" s="1"/>
  <c r="K45" i="19"/>
  <c r="M45" i="19" s="1"/>
  <c r="H45" i="19"/>
  <c r="J45" i="19" s="1"/>
  <c r="G45" i="19"/>
  <c r="I45" i="19" s="1"/>
  <c r="E45" i="19"/>
  <c r="D45" i="19"/>
  <c r="C45" i="19"/>
  <c r="AV44" i="19"/>
  <c r="AX44" i="19" s="1"/>
  <c r="AU44" i="19"/>
  <c r="AW44" i="19" s="1"/>
  <c r="AR44" i="19"/>
  <c r="AT44" i="19" s="1"/>
  <c r="AQ44" i="19"/>
  <c r="AS44" i="19" s="1"/>
  <c r="AN44" i="19"/>
  <c r="AP44" i="19" s="1"/>
  <c r="AM44" i="19"/>
  <c r="AO44" i="19" s="1"/>
  <c r="AJ44" i="19"/>
  <c r="AL44" i="19" s="1"/>
  <c r="AI44" i="19"/>
  <c r="AK44" i="19" s="1"/>
  <c r="AF44" i="19"/>
  <c r="AH44" i="19" s="1"/>
  <c r="AE44" i="19"/>
  <c r="AG44" i="19" s="1"/>
  <c r="AB44" i="19"/>
  <c r="AD44" i="19" s="1"/>
  <c r="AA44" i="19"/>
  <c r="AC44" i="19" s="1"/>
  <c r="X44" i="19"/>
  <c r="Z44" i="19" s="1"/>
  <c r="W44" i="19"/>
  <c r="Y44" i="19" s="1"/>
  <c r="T44" i="19"/>
  <c r="V44" i="19" s="1"/>
  <c r="S44" i="19"/>
  <c r="U44" i="19" s="1"/>
  <c r="P44" i="19"/>
  <c r="R44" i="19" s="1"/>
  <c r="O44" i="19"/>
  <c r="Q44" i="19" s="1"/>
  <c r="L44" i="19"/>
  <c r="N44" i="19" s="1"/>
  <c r="K44" i="19"/>
  <c r="M44" i="19" s="1"/>
  <c r="H44" i="19"/>
  <c r="J44" i="19" s="1"/>
  <c r="G44" i="19"/>
  <c r="I44" i="19" s="1"/>
  <c r="E44" i="19"/>
  <c r="D44" i="19"/>
  <c r="C44" i="19"/>
  <c r="AV43" i="19"/>
  <c r="AX43" i="19" s="1"/>
  <c r="AU43" i="19"/>
  <c r="AW43" i="19" s="1"/>
  <c r="AR43" i="19"/>
  <c r="AT43" i="19" s="1"/>
  <c r="AQ43" i="19"/>
  <c r="AS43" i="19" s="1"/>
  <c r="AN43" i="19"/>
  <c r="AP43" i="19" s="1"/>
  <c r="AM43" i="19"/>
  <c r="AO43" i="19" s="1"/>
  <c r="AJ43" i="19"/>
  <c r="AL43" i="19" s="1"/>
  <c r="AI43" i="19"/>
  <c r="AK43" i="19" s="1"/>
  <c r="AF43" i="19"/>
  <c r="AH43" i="19" s="1"/>
  <c r="AE43" i="19"/>
  <c r="AG43" i="19" s="1"/>
  <c r="AB43" i="19"/>
  <c r="AD43" i="19" s="1"/>
  <c r="AA43" i="19"/>
  <c r="AC43" i="19" s="1"/>
  <c r="X43" i="19"/>
  <c r="Z43" i="19" s="1"/>
  <c r="W43" i="19"/>
  <c r="Y43" i="19" s="1"/>
  <c r="T43" i="19"/>
  <c r="V43" i="19" s="1"/>
  <c r="S43" i="19"/>
  <c r="U43" i="19" s="1"/>
  <c r="P43" i="19"/>
  <c r="R43" i="19" s="1"/>
  <c r="O43" i="19"/>
  <c r="Q43" i="19" s="1"/>
  <c r="L43" i="19"/>
  <c r="N43" i="19" s="1"/>
  <c r="K43" i="19"/>
  <c r="M43" i="19" s="1"/>
  <c r="H43" i="19"/>
  <c r="J43" i="19" s="1"/>
  <c r="G43" i="19"/>
  <c r="I43" i="19" s="1"/>
  <c r="E43" i="19"/>
  <c r="D43" i="19"/>
  <c r="C43" i="19"/>
  <c r="AV42" i="19"/>
  <c r="AX42" i="19" s="1"/>
  <c r="AU42" i="19"/>
  <c r="AW42" i="19" s="1"/>
  <c r="AR42" i="19"/>
  <c r="AT42" i="19" s="1"/>
  <c r="AQ42" i="19"/>
  <c r="AS42" i="19" s="1"/>
  <c r="AN42" i="19"/>
  <c r="AP42" i="19" s="1"/>
  <c r="AM42" i="19"/>
  <c r="AO42" i="19" s="1"/>
  <c r="AJ42" i="19"/>
  <c r="AL42" i="19" s="1"/>
  <c r="AI42" i="19"/>
  <c r="AK42" i="19" s="1"/>
  <c r="AF42" i="19"/>
  <c r="AH42" i="19" s="1"/>
  <c r="AE42" i="19"/>
  <c r="AG42" i="19" s="1"/>
  <c r="AB42" i="19"/>
  <c r="AD42" i="19" s="1"/>
  <c r="AA42" i="19"/>
  <c r="AC42" i="19" s="1"/>
  <c r="X42" i="19"/>
  <c r="Z42" i="19" s="1"/>
  <c r="W42" i="19"/>
  <c r="Y42" i="19" s="1"/>
  <c r="T42" i="19"/>
  <c r="V42" i="19" s="1"/>
  <c r="S42" i="19"/>
  <c r="U42" i="19" s="1"/>
  <c r="P42" i="19"/>
  <c r="R42" i="19" s="1"/>
  <c r="O42" i="19"/>
  <c r="Q42" i="19" s="1"/>
  <c r="L42" i="19"/>
  <c r="N42" i="19" s="1"/>
  <c r="K42" i="19"/>
  <c r="M42" i="19" s="1"/>
  <c r="H42" i="19"/>
  <c r="J42" i="19" s="1"/>
  <c r="G42" i="19"/>
  <c r="I42" i="19" s="1"/>
  <c r="E42" i="19"/>
  <c r="D42" i="19"/>
  <c r="C42" i="19"/>
  <c r="AV41" i="19"/>
  <c r="AX41" i="19" s="1"/>
  <c r="AU41" i="19"/>
  <c r="AW41" i="19" s="1"/>
  <c r="AR41" i="19"/>
  <c r="AT41" i="19" s="1"/>
  <c r="AQ41" i="19"/>
  <c r="AS41" i="19" s="1"/>
  <c r="AN41" i="19"/>
  <c r="AP41" i="19" s="1"/>
  <c r="AM41" i="19"/>
  <c r="AO41" i="19" s="1"/>
  <c r="AJ41" i="19"/>
  <c r="AL41" i="19" s="1"/>
  <c r="AI41" i="19"/>
  <c r="AK41" i="19" s="1"/>
  <c r="AF41" i="19"/>
  <c r="AH41" i="19" s="1"/>
  <c r="AE41" i="19"/>
  <c r="AG41" i="19" s="1"/>
  <c r="AB41" i="19"/>
  <c r="AD41" i="19" s="1"/>
  <c r="AA41" i="19"/>
  <c r="AC41" i="19" s="1"/>
  <c r="X41" i="19"/>
  <c r="Z41" i="19" s="1"/>
  <c r="W41" i="19"/>
  <c r="Y41" i="19" s="1"/>
  <c r="T41" i="19"/>
  <c r="V41" i="19" s="1"/>
  <c r="S41" i="19"/>
  <c r="U41" i="19" s="1"/>
  <c r="P41" i="19"/>
  <c r="R41" i="19" s="1"/>
  <c r="O41" i="19"/>
  <c r="Q41" i="19" s="1"/>
  <c r="L41" i="19"/>
  <c r="N41" i="19" s="1"/>
  <c r="K41" i="19"/>
  <c r="M41" i="19" s="1"/>
  <c r="H41" i="19"/>
  <c r="J41" i="19" s="1"/>
  <c r="G41" i="19"/>
  <c r="I41" i="19" s="1"/>
  <c r="E41" i="19"/>
  <c r="D41" i="19"/>
  <c r="C41" i="19"/>
  <c r="AV40" i="19"/>
  <c r="AX40" i="19" s="1"/>
  <c r="AU40" i="19"/>
  <c r="AW40" i="19" s="1"/>
  <c r="AR40" i="19"/>
  <c r="AT40" i="19" s="1"/>
  <c r="AQ40" i="19"/>
  <c r="AS40" i="19" s="1"/>
  <c r="AN40" i="19"/>
  <c r="AP40" i="19" s="1"/>
  <c r="AM40" i="19"/>
  <c r="AO40" i="19" s="1"/>
  <c r="AJ40" i="19"/>
  <c r="AL40" i="19" s="1"/>
  <c r="AI40" i="19"/>
  <c r="AK40" i="19" s="1"/>
  <c r="AF40" i="19"/>
  <c r="AH40" i="19" s="1"/>
  <c r="AE40" i="19"/>
  <c r="AG40" i="19" s="1"/>
  <c r="AB40" i="19"/>
  <c r="AD40" i="19" s="1"/>
  <c r="AA40" i="19"/>
  <c r="AC40" i="19" s="1"/>
  <c r="X40" i="19"/>
  <c r="Z40" i="19" s="1"/>
  <c r="W40" i="19"/>
  <c r="Y40" i="19" s="1"/>
  <c r="T40" i="19"/>
  <c r="V40" i="19" s="1"/>
  <c r="S40" i="19"/>
  <c r="U40" i="19" s="1"/>
  <c r="P40" i="19"/>
  <c r="R40" i="19" s="1"/>
  <c r="O40" i="19"/>
  <c r="Q40" i="19" s="1"/>
  <c r="L40" i="19"/>
  <c r="N40" i="19" s="1"/>
  <c r="K40" i="19"/>
  <c r="M40" i="19" s="1"/>
  <c r="H40" i="19"/>
  <c r="J40" i="19" s="1"/>
  <c r="G40" i="19"/>
  <c r="I40" i="19" s="1"/>
  <c r="E40" i="19"/>
  <c r="D40" i="19"/>
  <c r="C40" i="19"/>
  <c r="AV39" i="19"/>
  <c r="AX39" i="19" s="1"/>
  <c r="AU39" i="19"/>
  <c r="AW39" i="19" s="1"/>
  <c r="AR39" i="19"/>
  <c r="AT39" i="19" s="1"/>
  <c r="AQ39" i="19"/>
  <c r="AS39" i="19" s="1"/>
  <c r="AN39" i="19"/>
  <c r="AP39" i="19" s="1"/>
  <c r="AM39" i="19"/>
  <c r="AO39" i="19" s="1"/>
  <c r="AJ39" i="19"/>
  <c r="AL39" i="19" s="1"/>
  <c r="AI39" i="19"/>
  <c r="AK39" i="19" s="1"/>
  <c r="AF39" i="19"/>
  <c r="AH39" i="19" s="1"/>
  <c r="AE39" i="19"/>
  <c r="AG39" i="19" s="1"/>
  <c r="AB39" i="19"/>
  <c r="AD39" i="19" s="1"/>
  <c r="AA39" i="19"/>
  <c r="AC39" i="19" s="1"/>
  <c r="X39" i="19"/>
  <c r="Z39" i="19" s="1"/>
  <c r="W39" i="19"/>
  <c r="Y39" i="19" s="1"/>
  <c r="T39" i="19"/>
  <c r="V39" i="19" s="1"/>
  <c r="S39" i="19"/>
  <c r="U39" i="19" s="1"/>
  <c r="P39" i="19"/>
  <c r="R39" i="19" s="1"/>
  <c r="O39" i="19"/>
  <c r="Q39" i="19" s="1"/>
  <c r="L39" i="19"/>
  <c r="N39" i="19" s="1"/>
  <c r="K39" i="19"/>
  <c r="M39" i="19" s="1"/>
  <c r="H39" i="19"/>
  <c r="J39" i="19" s="1"/>
  <c r="G39" i="19"/>
  <c r="I39" i="19" s="1"/>
  <c r="E39" i="19"/>
  <c r="D39" i="19"/>
  <c r="C39" i="19"/>
  <c r="AV38" i="19"/>
  <c r="AX38" i="19" s="1"/>
  <c r="AU38" i="19"/>
  <c r="AW38" i="19" s="1"/>
  <c r="AR38" i="19"/>
  <c r="AT38" i="19" s="1"/>
  <c r="AQ38" i="19"/>
  <c r="AS38" i="19" s="1"/>
  <c r="AN38" i="19"/>
  <c r="AP38" i="19" s="1"/>
  <c r="AM38" i="19"/>
  <c r="AO38" i="19" s="1"/>
  <c r="AJ38" i="19"/>
  <c r="AL38" i="19" s="1"/>
  <c r="AI38" i="19"/>
  <c r="AK38" i="19" s="1"/>
  <c r="AF38" i="19"/>
  <c r="AH38" i="19" s="1"/>
  <c r="AE38" i="19"/>
  <c r="AG38" i="19" s="1"/>
  <c r="AB38" i="19"/>
  <c r="AD38" i="19" s="1"/>
  <c r="AA38" i="19"/>
  <c r="AC38" i="19" s="1"/>
  <c r="X38" i="19"/>
  <c r="Z38" i="19" s="1"/>
  <c r="W38" i="19"/>
  <c r="Y38" i="19" s="1"/>
  <c r="T38" i="19"/>
  <c r="V38" i="19" s="1"/>
  <c r="S38" i="19"/>
  <c r="U38" i="19" s="1"/>
  <c r="P38" i="19"/>
  <c r="R38" i="19" s="1"/>
  <c r="O38" i="19"/>
  <c r="Q38" i="19" s="1"/>
  <c r="L38" i="19"/>
  <c r="N38" i="19" s="1"/>
  <c r="K38" i="19"/>
  <c r="M38" i="19" s="1"/>
  <c r="H38" i="19"/>
  <c r="J38" i="19" s="1"/>
  <c r="G38" i="19"/>
  <c r="I38" i="19" s="1"/>
  <c r="E38" i="19"/>
  <c r="D38" i="19"/>
  <c r="C38" i="19"/>
  <c r="AV37" i="19"/>
  <c r="AX37" i="19" s="1"/>
  <c r="AU37" i="19"/>
  <c r="AW37" i="19" s="1"/>
  <c r="AR37" i="19"/>
  <c r="AT37" i="19" s="1"/>
  <c r="AQ37" i="19"/>
  <c r="AS37" i="19" s="1"/>
  <c r="AN37" i="19"/>
  <c r="AP37" i="19" s="1"/>
  <c r="AM37" i="19"/>
  <c r="AO37" i="19" s="1"/>
  <c r="AJ37" i="19"/>
  <c r="AL37" i="19" s="1"/>
  <c r="AI37" i="19"/>
  <c r="AK37" i="19" s="1"/>
  <c r="AF37" i="19"/>
  <c r="AH37" i="19" s="1"/>
  <c r="AE37" i="19"/>
  <c r="AG37" i="19" s="1"/>
  <c r="AB37" i="19"/>
  <c r="AD37" i="19" s="1"/>
  <c r="AA37" i="19"/>
  <c r="AC37" i="19" s="1"/>
  <c r="X37" i="19"/>
  <c r="Z37" i="19" s="1"/>
  <c r="W37" i="19"/>
  <c r="Y37" i="19" s="1"/>
  <c r="T37" i="19"/>
  <c r="V37" i="19" s="1"/>
  <c r="S37" i="19"/>
  <c r="U37" i="19" s="1"/>
  <c r="P37" i="19"/>
  <c r="R37" i="19" s="1"/>
  <c r="O37" i="19"/>
  <c r="Q37" i="19" s="1"/>
  <c r="L37" i="19"/>
  <c r="N37" i="19" s="1"/>
  <c r="K37" i="19"/>
  <c r="M37" i="19" s="1"/>
  <c r="H37" i="19"/>
  <c r="J37" i="19" s="1"/>
  <c r="G37" i="19"/>
  <c r="I37" i="19" s="1"/>
  <c r="E37" i="19"/>
  <c r="D37" i="19"/>
  <c r="C37" i="19"/>
  <c r="AV36" i="19"/>
  <c r="AX36" i="19" s="1"/>
  <c r="AU36" i="19"/>
  <c r="AW36" i="19" s="1"/>
  <c r="AR36" i="19"/>
  <c r="AT36" i="19" s="1"/>
  <c r="AQ36" i="19"/>
  <c r="AS36" i="19" s="1"/>
  <c r="AN36" i="19"/>
  <c r="AP36" i="19" s="1"/>
  <c r="AM36" i="19"/>
  <c r="AO36" i="19" s="1"/>
  <c r="AJ36" i="19"/>
  <c r="AL36" i="19" s="1"/>
  <c r="AI36" i="19"/>
  <c r="AK36" i="19" s="1"/>
  <c r="AF36" i="19"/>
  <c r="AH36" i="19" s="1"/>
  <c r="AE36" i="19"/>
  <c r="AG36" i="19" s="1"/>
  <c r="AB36" i="19"/>
  <c r="AD36" i="19" s="1"/>
  <c r="AA36" i="19"/>
  <c r="AC36" i="19" s="1"/>
  <c r="X36" i="19"/>
  <c r="Z36" i="19" s="1"/>
  <c r="W36" i="19"/>
  <c r="Y36" i="19" s="1"/>
  <c r="T36" i="19"/>
  <c r="V36" i="19" s="1"/>
  <c r="S36" i="19"/>
  <c r="U36" i="19" s="1"/>
  <c r="P36" i="19"/>
  <c r="R36" i="19" s="1"/>
  <c r="O36" i="19"/>
  <c r="Q36" i="19" s="1"/>
  <c r="L36" i="19"/>
  <c r="N36" i="19" s="1"/>
  <c r="K36" i="19"/>
  <c r="M36" i="19" s="1"/>
  <c r="H36" i="19"/>
  <c r="J36" i="19" s="1"/>
  <c r="G36" i="19"/>
  <c r="I36" i="19" s="1"/>
  <c r="E36" i="19"/>
  <c r="D36" i="19"/>
  <c r="C36" i="19"/>
  <c r="AV35" i="19"/>
  <c r="AX35" i="19" s="1"/>
  <c r="AU35" i="19"/>
  <c r="AW35" i="19" s="1"/>
  <c r="AR35" i="19"/>
  <c r="AT35" i="19" s="1"/>
  <c r="AQ35" i="19"/>
  <c r="AS35" i="19" s="1"/>
  <c r="AN35" i="19"/>
  <c r="AP35" i="19" s="1"/>
  <c r="AM35" i="19"/>
  <c r="AO35" i="19" s="1"/>
  <c r="AJ35" i="19"/>
  <c r="AL35" i="19" s="1"/>
  <c r="AI35" i="19"/>
  <c r="AK35" i="19" s="1"/>
  <c r="AF35" i="19"/>
  <c r="AH35" i="19" s="1"/>
  <c r="AE35" i="19"/>
  <c r="AG35" i="19" s="1"/>
  <c r="AB35" i="19"/>
  <c r="AD35" i="19" s="1"/>
  <c r="AA35" i="19"/>
  <c r="AC35" i="19" s="1"/>
  <c r="X35" i="19"/>
  <c r="Z35" i="19" s="1"/>
  <c r="W35" i="19"/>
  <c r="Y35" i="19" s="1"/>
  <c r="T35" i="19"/>
  <c r="V35" i="19" s="1"/>
  <c r="S35" i="19"/>
  <c r="U35" i="19" s="1"/>
  <c r="P35" i="19"/>
  <c r="R35" i="19" s="1"/>
  <c r="O35" i="19"/>
  <c r="Q35" i="19" s="1"/>
  <c r="L35" i="19"/>
  <c r="N35" i="19" s="1"/>
  <c r="K35" i="19"/>
  <c r="M35" i="19" s="1"/>
  <c r="H35" i="19"/>
  <c r="J35" i="19" s="1"/>
  <c r="G35" i="19"/>
  <c r="I35" i="19" s="1"/>
  <c r="E35" i="19"/>
  <c r="D35" i="19"/>
  <c r="C35" i="19"/>
  <c r="AV34" i="19"/>
  <c r="AX34" i="19" s="1"/>
  <c r="AU34" i="19"/>
  <c r="AW34" i="19" s="1"/>
  <c r="AR34" i="19"/>
  <c r="AT34" i="19" s="1"/>
  <c r="AQ34" i="19"/>
  <c r="AS34" i="19" s="1"/>
  <c r="AN34" i="19"/>
  <c r="AP34" i="19" s="1"/>
  <c r="AM34" i="19"/>
  <c r="AO34" i="19" s="1"/>
  <c r="AJ34" i="19"/>
  <c r="AL34" i="19" s="1"/>
  <c r="AI34" i="19"/>
  <c r="AK34" i="19" s="1"/>
  <c r="AF34" i="19"/>
  <c r="AH34" i="19" s="1"/>
  <c r="AE34" i="19"/>
  <c r="AG34" i="19" s="1"/>
  <c r="AB34" i="19"/>
  <c r="AD34" i="19" s="1"/>
  <c r="AA34" i="19"/>
  <c r="AC34" i="19" s="1"/>
  <c r="X34" i="19"/>
  <c r="Z34" i="19" s="1"/>
  <c r="W34" i="19"/>
  <c r="Y34" i="19" s="1"/>
  <c r="T34" i="19"/>
  <c r="V34" i="19" s="1"/>
  <c r="S34" i="19"/>
  <c r="U34" i="19" s="1"/>
  <c r="P34" i="19"/>
  <c r="R34" i="19" s="1"/>
  <c r="O34" i="19"/>
  <c r="Q34" i="19" s="1"/>
  <c r="L34" i="19"/>
  <c r="N34" i="19" s="1"/>
  <c r="K34" i="19"/>
  <c r="M34" i="19" s="1"/>
  <c r="H34" i="19"/>
  <c r="J34" i="19" s="1"/>
  <c r="G34" i="19"/>
  <c r="I34" i="19" s="1"/>
  <c r="E34" i="19"/>
  <c r="D34" i="19"/>
  <c r="C34" i="19"/>
  <c r="AV33" i="19"/>
  <c r="AX33" i="19" s="1"/>
  <c r="AU33" i="19"/>
  <c r="AW33" i="19" s="1"/>
  <c r="AR33" i="19"/>
  <c r="AT33" i="19" s="1"/>
  <c r="AQ33" i="19"/>
  <c r="AS33" i="19" s="1"/>
  <c r="AN33" i="19"/>
  <c r="AP33" i="19" s="1"/>
  <c r="AM33" i="19"/>
  <c r="AO33" i="19" s="1"/>
  <c r="AJ33" i="19"/>
  <c r="AL33" i="19" s="1"/>
  <c r="AI33" i="19"/>
  <c r="AK33" i="19" s="1"/>
  <c r="AF33" i="19"/>
  <c r="AH33" i="19" s="1"/>
  <c r="AE33" i="19"/>
  <c r="AG33" i="19" s="1"/>
  <c r="AB33" i="19"/>
  <c r="AD33" i="19" s="1"/>
  <c r="AA33" i="19"/>
  <c r="AC33" i="19" s="1"/>
  <c r="X33" i="19"/>
  <c r="Z33" i="19" s="1"/>
  <c r="W33" i="19"/>
  <c r="Y33" i="19" s="1"/>
  <c r="T33" i="19"/>
  <c r="V33" i="19" s="1"/>
  <c r="S33" i="19"/>
  <c r="U33" i="19" s="1"/>
  <c r="P33" i="19"/>
  <c r="R33" i="19" s="1"/>
  <c r="O33" i="19"/>
  <c r="Q33" i="19" s="1"/>
  <c r="L33" i="19"/>
  <c r="N33" i="19" s="1"/>
  <c r="K33" i="19"/>
  <c r="M33" i="19" s="1"/>
  <c r="H33" i="19"/>
  <c r="J33" i="19" s="1"/>
  <c r="G33" i="19"/>
  <c r="I33" i="19" s="1"/>
  <c r="E33" i="19"/>
  <c r="D33" i="19"/>
  <c r="C33" i="19"/>
  <c r="AV32" i="19"/>
  <c r="AX32" i="19" s="1"/>
  <c r="AU32" i="19"/>
  <c r="AW32" i="19" s="1"/>
  <c r="AR32" i="19"/>
  <c r="AT32" i="19" s="1"/>
  <c r="AQ32" i="19"/>
  <c r="AS32" i="19" s="1"/>
  <c r="AN32" i="19"/>
  <c r="AP32" i="19" s="1"/>
  <c r="AM32" i="19"/>
  <c r="AO32" i="19" s="1"/>
  <c r="AJ32" i="19"/>
  <c r="AL32" i="19" s="1"/>
  <c r="AI32" i="19"/>
  <c r="AK32" i="19" s="1"/>
  <c r="AF32" i="19"/>
  <c r="AH32" i="19" s="1"/>
  <c r="AE32" i="19"/>
  <c r="AG32" i="19" s="1"/>
  <c r="AB32" i="19"/>
  <c r="AD32" i="19" s="1"/>
  <c r="AA32" i="19"/>
  <c r="AC32" i="19" s="1"/>
  <c r="X32" i="19"/>
  <c r="Z32" i="19" s="1"/>
  <c r="W32" i="19"/>
  <c r="Y32" i="19" s="1"/>
  <c r="T32" i="19"/>
  <c r="V32" i="19" s="1"/>
  <c r="S32" i="19"/>
  <c r="U32" i="19" s="1"/>
  <c r="P32" i="19"/>
  <c r="R32" i="19" s="1"/>
  <c r="O32" i="19"/>
  <c r="Q32" i="19" s="1"/>
  <c r="L32" i="19"/>
  <c r="N32" i="19" s="1"/>
  <c r="K32" i="19"/>
  <c r="M32" i="19" s="1"/>
  <c r="H32" i="19"/>
  <c r="J32" i="19" s="1"/>
  <c r="G32" i="19"/>
  <c r="I32" i="19" s="1"/>
  <c r="E32" i="19"/>
  <c r="D32" i="19"/>
  <c r="C32" i="19"/>
  <c r="AV31" i="19"/>
  <c r="AX31" i="19" s="1"/>
  <c r="AU31" i="19"/>
  <c r="AW31" i="19" s="1"/>
  <c r="AR31" i="19"/>
  <c r="AT31" i="19" s="1"/>
  <c r="AQ31" i="19"/>
  <c r="AS31" i="19" s="1"/>
  <c r="AN31" i="19"/>
  <c r="AP31" i="19" s="1"/>
  <c r="AM31" i="19"/>
  <c r="AO31" i="19" s="1"/>
  <c r="AJ31" i="19"/>
  <c r="AL31" i="19" s="1"/>
  <c r="AI31" i="19"/>
  <c r="AK31" i="19" s="1"/>
  <c r="AF31" i="19"/>
  <c r="AH31" i="19" s="1"/>
  <c r="AE31" i="19"/>
  <c r="AG31" i="19" s="1"/>
  <c r="AB31" i="19"/>
  <c r="AD31" i="19" s="1"/>
  <c r="AA31" i="19"/>
  <c r="AC31" i="19" s="1"/>
  <c r="X31" i="19"/>
  <c r="Z31" i="19" s="1"/>
  <c r="W31" i="19"/>
  <c r="Y31" i="19" s="1"/>
  <c r="T31" i="19"/>
  <c r="V31" i="19" s="1"/>
  <c r="S31" i="19"/>
  <c r="U31" i="19" s="1"/>
  <c r="P31" i="19"/>
  <c r="R31" i="19" s="1"/>
  <c r="O31" i="19"/>
  <c r="Q31" i="19" s="1"/>
  <c r="L31" i="19"/>
  <c r="N31" i="19" s="1"/>
  <c r="K31" i="19"/>
  <c r="M31" i="19" s="1"/>
  <c r="H31" i="19"/>
  <c r="J31" i="19" s="1"/>
  <c r="G31" i="19"/>
  <c r="I31" i="19" s="1"/>
  <c r="E31" i="19"/>
  <c r="D31" i="19"/>
  <c r="C31" i="19"/>
  <c r="AV30" i="19"/>
  <c r="AX30" i="19" s="1"/>
  <c r="AU30" i="19"/>
  <c r="AW30" i="19" s="1"/>
  <c r="AR30" i="19"/>
  <c r="AT30" i="19" s="1"/>
  <c r="AQ30" i="19"/>
  <c r="AS30" i="19" s="1"/>
  <c r="AN30" i="19"/>
  <c r="AP30" i="19" s="1"/>
  <c r="AM30" i="19"/>
  <c r="AO30" i="19" s="1"/>
  <c r="AJ30" i="19"/>
  <c r="AL30" i="19" s="1"/>
  <c r="AI30" i="19"/>
  <c r="AK30" i="19" s="1"/>
  <c r="AF30" i="19"/>
  <c r="AH30" i="19" s="1"/>
  <c r="AE30" i="19"/>
  <c r="AG30" i="19" s="1"/>
  <c r="AB30" i="19"/>
  <c r="AD30" i="19" s="1"/>
  <c r="AA30" i="19"/>
  <c r="AC30" i="19" s="1"/>
  <c r="X30" i="19"/>
  <c r="Z30" i="19" s="1"/>
  <c r="W30" i="19"/>
  <c r="Y30" i="19" s="1"/>
  <c r="T30" i="19"/>
  <c r="V30" i="19" s="1"/>
  <c r="S30" i="19"/>
  <c r="U30" i="19" s="1"/>
  <c r="P30" i="19"/>
  <c r="R30" i="19" s="1"/>
  <c r="O30" i="19"/>
  <c r="Q30" i="19" s="1"/>
  <c r="L30" i="19"/>
  <c r="N30" i="19" s="1"/>
  <c r="K30" i="19"/>
  <c r="M30" i="19" s="1"/>
  <c r="H30" i="19"/>
  <c r="J30" i="19" s="1"/>
  <c r="G30" i="19"/>
  <c r="I30" i="19" s="1"/>
  <c r="E30" i="19"/>
  <c r="D30" i="19"/>
  <c r="C30" i="19"/>
  <c r="AV29" i="19"/>
  <c r="AX29" i="19" s="1"/>
  <c r="AU29" i="19"/>
  <c r="AW29" i="19" s="1"/>
  <c r="AR29" i="19"/>
  <c r="AT29" i="19" s="1"/>
  <c r="AQ29" i="19"/>
  <c r="AS29" i="19" s="1"/>
  <c r="AN29" i="19"/>
  <c r="AP29" i="19" s="1"/>
  <c r="AM29" i="19"/>
  <c r="AO29" i="19" s="1"/>
  <c r="AJ29" i="19"/>
  <c r="AL29" i="19" s="1"/>
  <c r="AI29" i="19"/>
  <c r="AK29" i="19" s="1"/>
  <c r="AF29" i="19"/>
  <c r="AH29" i="19" s="1"/>
  <c r="AE29" i="19"/>
  <c r="AG29" i="19" s="1"/>
  <c r="AB29" i="19"/>
  <c r="AD29" i="19" s="1"/>
  <c r="AA29" i="19"/>
  <c r="AC29" i="19" s="1"/>
  <c r="X29" i="19"/>
  <c r="Z29" i="19" s="1"/>
  <c r="W29" i="19"/>
  <c r="Y29" i="19" s="1"/>
  <c r="T29" i="19"/>
  <c r="V29" i="19" s="1"/>
  <c r="S29" i="19"/>
  <c r="U29" i="19" s="1"/>
  <c r="P29" i="19"/>
  <c r="R29" i="19" s="1"/>
  <c r="O29" i="19"/>
  <c r="Q29" i="19" s="1"/>
  <c r="L29" i="19"/>
  <c r="N29" i="19" s="1"/>
  <c r="K29" i="19"/>
  <c r="M29" i="19" s="1"/>
  <c r="H29" i="19"/>
  <c r="J29" i="19" s="1"/>
  <c r="G29" i="19"/>
  <c r="I29" i="19" s="1"/>
  <c r="E29" i="19"/>
  <c r="D29" i="19"/>
  <c r="C29" i="19"/>
  <c r="AV28" i="19"/>
  <c r="AX28" i="19" s="1"/>
  <c r="AU28" i="19"/>
  <c r="AW28" i="19" s="1"/>
  <c r="AR28" i="19"/>
  <c r="AT28" i="19" s="1"/>
  <c r="AQ28" i="19"/>
  <c r="AS28" i="19" s="1"/>
  <c r="AN28" i="19"/>
  <c r="AP28" i="19" s="1"/>
  <c r="AM28" i="19"/>
  <c r="AO28" i="19" s="1"/>
  <c r="AJ28" i="19"/>
  <c r="AL28" i="19" s="1"/>
  <c r="AI28" i="19"/>
  <c r="AK28" i="19" s="1"/>
  <c r="AF28" i="19"/>
  <c r="AH28" i="19" s="1"/>
  <c r="AE28" i="19"/>
  <c r="AG28" i="19" s="1"/>
  <c r="AB28" i="19"/>
  <c r="AD28" i="19" s="1"/>
  <c r="AA28" i="19"/>
  <c r="AC28" i="19" s="1"/>
  <c r="X28" i="19"/>
  <c r="Z28" i="19" s="1"/>
  <c r="W28" i="19"/>
  <c r="Y28" i="19" s="1"/>
  <c r="T28" i="19"/>
  <c r="V28" i="19" s="1"/>
  <c r="S28" i="19"/>
  <c r="U28" i="19" s="1"/>
  <c r="P28" i="19"/>
  <c r="R28" i="19" s="1"/>
  <c r="O28" i="19"/>
  <c r="Q28" i="19" s="1"/>
  <c r="L28" i="19"/>
  <c r="N28" i="19" s="1"/>
  <c r="K28" i="19"/>
  <c r="M28" i="19" s="1"/>
  <c r="H28" i="19"/>
  <c r="J28" i="19" s="1"/>
  <c r="G28" i="19"/>
  <c r="I28" i="19" s="1"/>
  <c r="E28" i="19"/>
  <c r="D28" i="19"/>
  <c r="C28" i="19"/>
  <c r="AV27" i="19"/>
  <c r="AX27" i="19" s="1"/>
  <c r="AU27" i="19"/>
  <c r="AW27" i="19" s="1"/>
  <c r="AR27" i="19"/>
  <c r="AT27" i="19" s="1"/>
  <c r="AQ27" i="19"/>
  <c r="AS27" i="19" s="1"/>
  <c r="AN27" i="19"/>
  <c r="AP27" i="19" s="1"/>
  <c r="AM27" i="19"/>
  <c r="AO27" i="19" s="1"/>
  <c r="AJ27" i="19"/>
  <c r="AL27" i="19" s="1"/>
  <c r="AI27" i="19"/>
  <c r="AK27" i="19" s="1"/>
  <c r="AF27" i="19"/>
  <c r="AH27" i="19" s="1"/>
  <c r="AE27" i="19"/>
  <c r="AG27" i="19" s="1"/>
  <c r="AB27" i="19"/>
  <c r="AD27" i="19" s="1"/>
  <c r="AA27" i="19"/>
  <c r="AC27" i="19" s="1"/>
  <c r="X27" i="19"/>
  <c r="Z27" i="19" s="1"/>
  <c r="W27" i="19"/>
  <c r="Y27" i="19" s="1"/>
  <c r="T27" i="19"/>
  <c r="V27" i="19" s="1"/>
  <c r="S27" i="19"/>
  <c r="U27" i="19" s="1"/>
  <c r="P27" i="19"/>
  <c r="R27" i="19" s="1"/>
  <c r="O27" i="19"/>
  <c r="Q27" i="19" s="1"/>
  <c r="L27" i="19"/>
  <c r="N27" i="19" s="1"/>
  <c r="K27" i="19"/>
  <c r="M27" i="19" s="1"/>
  <c r="H27" i="19"/>
  <c r="J27" i="19" s="1"/>
  <c r="G27" i="19"/>
  <c r="I27" i="19" s="1"/>
  <c r="E27" i="19"/>
  <c r="D27" i="19"/>
  <c r="C27" i="19"/>
  <c r="AV26" i="19"/>
  <c r="AX26" i="19" s="1"/>
  <c r="AU26" i="19"/>
  <c r="AW26" i="19" s="1"/>
  <c r="AR26" i="19"/>
  <c r="AT26" i="19" s="1"/>
  <c r="AQ26" i="19"/>
  <c r="AS26" i="19" s="1"/>
  <c r="AN26" i="19"/>
  <c r="AP26" i="19" s="1"/>
  <c r="AM26" i="19"/>
  <c r="AO26" i="19" s="1"/>
  <c r="AJ26" i="19"/>
  <c r="AL26" i="19" s="1"/>
  <c r="AI26" i="19"/>
  <c r="AK26" i="19" s="1"/>
  <c r="AF26" i="19"/>
  <c r="AH26" i="19" s="1"/>
  <c r="AE26" i="19"/>
  <c r="AG26" i="19" s="1"/>
  <c r="AB26" i="19"/>
  <c r="AD26" i="19" s="1"/>
  <c r="AA26" i="19"/>
  <c r="AC26" i="19" s="1"/>
  <c r="X26" i="19"/>
  <c r="Z26" i="19" s="1"/>
  <c r="W26" i="19"/>
  <c r="Y26" i="19" s="1"/>
  <c r="T26" i="19"/>
  <c r="V26" i="19" s="1"/>
  <c r="S26" i="19"/>
  <c r="U26" i="19" s="1"/>
  <c r="P26" i="19"/>
  <c r="R26" i="19" s="1"/>
  <c r="O26" i="19"/>
  <c r="Q26" i="19" s="1"/>
  <c r="L26" i="19"/>
  <c r="N26" i="19" s="1"/>
  <c r="K26" i="19"/>
  <c r="M26" i="19" s="1"/>
  <c r="H26" i="19"/>
  <c r="J26" i="19" s="1"/>
  <c r="G26" i="19"/>
  <c r="I26" i="19" s="1"/>
  <c r="E26" i="19"/>
  <c r="D26" i="19"/>
  <c r="C26" i="19"/>
  <c r="AV25" i="19"/>
  <c r="AX25" i="19" s="1"/>
  <c r="AU25" i="19"/>
  <c r="AW25" i="19" s="1"/>
  <c r="AR25" i="19"/>
  <c r="AT25" i="19" s="1"/>
  <c r="AQ25" i="19"/>
  <c r="AS25" i="19" s="1"/>
  <c r="AN25" i="19"/>
  <c r="AP25" i="19" s="1"/>
  <c r="AM25" i="19"/>
  <c r="AO25" i="19" s="1"/>
  <c r="AJ25" i="19"/>
  <c r="AL25" i="19" s="1"/>
  <c r="AI25" i="19"/>
  <c r="AK25" i="19" s="1"/>
  <c r="AF25" i="19"/>
  <c r="AH25" i="19" s="1"/>
  <c r="AE25" i="19"/>
  <c r="AG25" i="19" s="1"/>
  <c r="AB25" i="19"/>
  <c r="AD25" i="19" s="1"/>
  <c r="AA25" i="19"/>
  <c r="AC25" i="19" s="1"/>
  <c r="X25" i="19"/>
  <c r="Z25" i="19" s="1"/>
  <c r="W25" i="19"/>
  <c r="Y25" i="19" s="1"/>
  <c r="T25" i="19"/>
  <c r="V25" i="19" s="1"/>
  <c r="S25" i="19"/>
  <c r="U25" i="19" s="1"/>
  <c r="P25" i="19"/>
  <c r="R25" i="19" s="1"/>
  <c r="O25" i="19"/>
  <c r="Q25" i="19" s="1"/>
  <c r="L25" i="19"/>
  <c r="N25" i="19" s="1"/>
  <c r="K25" i="19"/>
  <c r="M25" i="19" s="1"/>
  <c r="H25" i="19"/>
  <c r="J25" i="19" s="1"/>
  <c r="G25" i="19"/>
  <c r="I25" i="19" s="1"/>
  <c r="E25" i="19"/>
  <c r="D25" i="19"/>
  <c r="C25" i="19"/>
  <c r="AV24" i="19"/>
  <c r="AX24" i="19" s="1"/>
  <c r="AU24" i="19"/>
  <c r="AW24" i="19" s="1"/>
  <c r="AR24" i="19"/>
  <c r="AT24" i="19" s="1"/>
  <c r="AQ24" i="19"/>
  <c r="AS24" i="19" s="1"/>
  <c r="AN24" i="19"/>
  <c r="AP24" i="19" s="1"/>
  <c r="AM24" i="19"/>
  <c r="AO24" i="19" s="1"/>
  <c r="AJ24" i="19"/>
  <c r="AL24" i="19" s="1"/>
  <c r="AI24" i="19"/>
  <c r="AK24" i="19" s="1"/>
  <c r="AF24" i="19"/>
  <c r="AH24" i="19" s="1"/>
  <c r="AE24" i="19"/>
  <c r="AG24" i="19" s="1"/>
  <c r="AB24" i="19"/>
  <c r="AD24" i="19" s="1"/>
  <c r="AA24" i="19"/>
  <c r="AC24" i="19" s="1"/>
  <c r="X24" i="19"/>
  <c r="Z24" i="19" s="1"/>
  <c r="W24" i="19"/>
  <c r="Y24" i="19" s="1"/>
  <c r="T24" i="19"/>
  <c r="V24" i="19" s="1"/>
  <c r="S24" i="19"/>
  <c r="U24" i="19" s="1"/>
  <c r="P24" i="19"/>
  <c r="R24" i="19" s="1"/>
  <c r="O24" i="19"/>
  <c r="Q24" i="19" s="1"/>
  <c r="L24" i="19"/>
  <c r="N24" i="19" s="1"/>
  <c r="K24" i="19"/>
  <c r="M24" i="19" s="1"/>
  <c r="H24" i="19"/>
  <c r="J24" i="19" s="1"/>
  <c r="G24" i="19"/>
  <c r="I24" i="19" s="1"/>
  <c r="E24" i="19"/>
  <c r="D24" i="19"/>
  <c r="C24" i="19"/>
  <c r="AV23" i="19"/>
  <c r="AX23" i="19" s="1"/>
  <c r="AU23" i="19"/>
  <c r="AW23" i="19" s="1"/>
  <c r="AR23" i="19"/>
  <c r="AT23" i="19" s="1"/>
  <c r="AQ23" i="19"/>
  <c r="AS23" i="19" s="1"/>
  <c r="AN23" i="19"/>
  <c r="AP23" i="19" s="1"/>
  <c r="AM23" i="19"/>
  <c r="AO23" i="19" s="1"/>
  <c r="AJ23" i="19"/>
  <c r="AL23" i="19" s="1"/>
  <c r="AI23" i="19"/>
  <c r="AK23" i="19" s="1"/>
  <c r="AF23" i="19"/>
  <c r="AH23" i="19" s="1"/>
  <c r="AE23" i="19"/>
  <c r="AG23" i="19" s="1"/>
  <c r="AB23" i="19"/>
  <c r="AD23" i="19" s="1"/>
  <c r="AA23" i="19"/>
  <c r="AC23" i="19" s="1"/>
  <c r="X23" i="19"/>
  <c r="Z23" i="19" s="1"/>
  <c r="W23" i="19"/>
  <c r="Y23" i="19" s="1"/>
  <c r="T23" i="19"/>
  <c r="V23" i="19" s="1"/>
  <c r="S23" i="19"/>
  <c r="U23" i="19" s="1"/>
  <c r="P23" i="19"/>
  <c r="R23" i="19" s="1"/>
  <c r="O23" i="19"/>
  <c r="Q23" i="19" s="1"/>
  <c r="L23" i="19"/>
  <c r="N23" i="19" s="1"/>
  <c r="K23" i="19"/>
  <c r="M23" i="19" s="1"/>
  <c r="H23" i="19"/>
  <c r="J23" i="19" s="1"/>
  <c r="G23" i="19"/>
  <c r="I23" i="19" s="1"/>
  <c r="E23" i="19"/>
  <c r="D23" i="19"/>
  <c r="C23" i="19"/>
  <c r="AV22" i="19"/>
  <c r="AX22" i="19" s="1"/>
  <c r="AU22" i="19"/>
  <c r="AW22" i="19" s="1"/>
  <c r="AR22" i="19"/>
  <c r="AT22" i="19" s="1"/>
  <c r="AQ22" i="19"/>
  <c r="AS22" i="19" s="1"/>
  <c r="AN22" i="19"/>
  <c r="AP22" i="19" s="1"/>
  <c r="AM22" i="19"/>
  <c r="AO22" i="19" s="1"/>
  <c r="AJ22" i="19"/>
  <c r="AL22" i="19" s="1"/>
  <c r="AI22" i="19"/>
  <c r="AK22" i="19" s="1"/>
  <c r="AF22" i="19"/>
  <c r="AH22" i="19" s="1"/>
  <c r="AE22" i="19"/>
  <c r="AG22" i="19" s="1"/>
  <c r="AB22" i="19"/>
  <c r="AD22" i="19" s="1"/>
  <c r="AA22" i="19"/>
  <c r="AC22" i="19" s="1"/>
  <c r="X22" i="19"/>
  <c r="Z22" i="19" s="1"/>
  <c r="W22" i="19"/>
  <c r="Y22" i="19" s="1"/>
  <c r="T22" i="19"/>
  <c r="V22" i="19" s="1"/>
  <c r="S22" i="19"/>
  <c r="U22" i="19" s="1"/>
  <c r="P22" i="19"/>
  <c r="R22" i="19" s="1"/>
  <c r="O22" i="19"/>
  <c r="Q22" i="19" s="1"/>
  <c r="L22" i="19"/>
  <c r="N22" i="19" s="1"/>
  <c r="K22" i="19"/>
  <c r="M22" i="19" s="1"/>
  <c r="H22" i="19"/>
  <c r="J22" i="19" s="1"/>
  <c r="G22" i="19"/>
  <c r="I22" i="19" s="1"/>
  <c r="E22" i="19"/>
  <c r="D22" i="19"/>
  <c r="C22" i="19"/>
  <c r="AV21" i="19"/>
  <c r="AX21" i="19" s="1"/>
  <c r="AU21" i="19"/>
  <c r="AW21" i="19" s="1"/>
  <c r="AR21" i="19"/>
  <c r="AT21" i="19" s="1"/>
  <c r="AQ21" i="19"/>
  <c r="AS21" i="19" s="1"/>
  <c r="AN21" i="19"/>
  <c r="AP21" i="19" s="1"/>
  <c r="AM21" i="19"/>
  <c r="AO21" i="19" s="1"/>
  <c r="AJ21" i="19"/>
  <c r="AL21" i="19" s="1"/>
  <c r="AI21" i="19"/>
  <c r="AK21" i="19" s="1"/>
  <c r="AF21" i="19"/>
  <c r="AH21" i="19" s="1"/>
  <c r="AE21" i="19"/>
  <c r="AG21" i="19" s="1"/>
  <c r="AB21" i="19"/>
  <c r="AD21" i="19" s="1"/>
  <c r="AA21" i="19"/>
  <c r="AC21" i="19" s="1"/>
  <c r="X21" i="19"/>
  <c r="Z21" i="19" s="1"/>
  <c r="W21" i="19"/>
  <c r="Y21" i="19" s="1"/>
  <c r="T21" i="19"/>
  <c r="V21" i="19" s="1"/>
  <c r="S21" i="19"/>
  <c r="U21" i="19" s="1"/>
  <c r="P21" i="19"/>
  <c r="R21" i="19" s="1"/>
  <c r="O21" i="19"/>
  <c r="Q21" i="19" s="1"/>
  <c r="L21" i="19"/>
  <c r="N21" i="19" s="1"/>
  <c r="K21" i="19"/>
  <c r="M21" i="19" s="1"/>
  <c r="H21" i="19"/>
  <c r="J21" i="19" s="1"/>
  <c r="G21" i="19"/>
  <c r="I21" i="19" s="1"/>
  <c r="E21" i="19"/>
  <c r="D21" i="19"/>
  <c r="C21" i="19"/>
  <c r="AV20" i="19"/>
  <c r="AX20" i="19" s="1"/>
  <c r="AU20" i="19"/>
  <c r="AW20" i="19" s="1"/>
  <c r="AR20" i="19"/>
  <c r="AT20" i="19" s="1"/>
  <c r="AQ20" i="19"/>
  <c r="AS20" i="19" s="1"/>
  <c r="AN20" i="19"/>
  <c r="AP20" i="19" s="1"/>
  <c r="AM20" i="19"/>
  <c r="AO20" i="19" s="1"/>
  <c r="AJ20" i="19"/>
  <c r="AL20" i="19" s="1"/>
  <c r="AI20" i="19"/>
  <c r="AK20" i="19" s="1"/>
  <c r="AF20" i="19"/>
  <c r="AH20" i="19" s="1"/>
  <c r="AE20" i="19"/>
  <c r="AG20" i="19" s="1"/>
  <c r="AB20" i="19"/>
  <c r="AD20" i="19" s="1"/>
  <c r="AA20" i="19"/>
  <c r="AC20" i="19" s="1"/>
  <c r="X20" i="19"/>
  <c r="Z20" i="19" s="1"/>
  <c r="W20" i="19"/>
  <c r="Y20" i="19" s="1"/>
  <c r="T20" i="19"/>
  <c r="V20" i="19" s="1"/>
  <c r="S20" i="19"/>
  <c r="U20" i="19" s="1"/>
  <c r="P20" i="19"/>
  <c r="R20" i="19" s="1"/>
  <c r="O20" i="19"/>
  <c r="Q20" i="19" s="1"/>
  <c r="L20" i="19"/>
  <c r="N20" i="19" s="1"/>
  <c r="K20" i="19"/>
  <c r="M20" i="19" s="1"/>
  <c r="H20" i="19"/>
  <c r="J20" i="19" s="1"/>
  <c r="G20" i="19"/>
  <c r="I20" i="19" s="1"/>
  <c r="E20" i="19"/>
  <c r="D20" i="19"/>
  <c r="C20" i="19"/>
  <c r="AV19" i="19"/>
  <c r="AX19" i="19" s="1"/>
  <c r="AU19" i="19"/>
  <c r="AW19" i="19" s="1"/>
  <c r="AR19" i="19"/>
  <c r="AT19" i="19" s="1"/>
  <c r="AQ19" i="19"/>
  <c r="AS19" i="19" s="1"/>
  <c r="AN19" i="19"/>
  <c r="AP19" i="19" s="1"/>
  <c r="AM19" i="19"/>
  <c r="AO19" i="19" s="1"/>
  <c r="AJ19" i="19"/>
  <c r="AL19" i="19" s="1"/>
  <c r="AI19" i="19"/>
  <c r="AK19" i="19" s="1"/>
  <c r="AF19" i="19"/>
  <c r="AH19" i="19" s="1"/>
  <c r="AE19" i="19"/>
  <c r="AG19" i="19" s="1"/>
  <c r="AB19" i="19"/>
  <c r="AD19" i="19" s="1"/>
  <c r="AA19" i="19"/>
  <c r="AC19" i="19" s="1"/>
  <c r="X19" i="19"/>
  <c r="Z19" i="19" s="1"/>
  <c r="W19" i="19"/>
  <c r="Y19" i="19" s="1"/>
  <c r="T19" i="19"/>
  <c r="V19" i="19" s="1"/>
  <c r="S19" i="19"/>
  <c r="U19" i="19" s="1"/>
  <c r="P19" i="19"/>
  <c r="R19" i="19" s="1"/>
  <c r="O19" i="19"/>
  <c r="Q19" i="19" s="1"/>
  <c r="L19" i="19"/>
  <c r="N19" i="19" s="1"/>
  <c r="K19" i="19"/>
  <c r="M19" i="19" s="1"/>
  <c r="H19" i="19"/>
  <c r="J19" i="19" s="1"/>
  <c r="G19" i="19"/>
  <c r="I19" i="19" s="1"/>
  <c r="E19" i="19"/>
  <c r="D19" i="19"/>
  <c r="C19" i="19"/>
  <c r="AV18" i="19"/>
  <c r="AX18" i="19" s="1"/>
  <c r="AU18" i="19"/>
  <c r="AW18" i="19" s="1"/>
  <c r="AR18" i="19"/>
  <c r="AT18" i="19" s="1"/>
  <c r="AQ18" i="19"/>
  <c r="AS18" i="19" s="1"/>
  <c r="AN18" i="19"/>
  <c r="AP18" i="19" s="1"/>
  <c r="AM18" i="19"/>
  <c r="AO18" i="19" s="1"/>
  <c r="AJ18" i="19"/>
  <c r="AL18" i="19" s="1"/>
  <c r="AI18" i="19"/>
  <c r="AK18" i="19" s="1"/>
  <c r="AF18" i="19"/>
  <c r="AH18" i="19" s="1"/>
  <c r="AE18" i="19"/>
  <c r="AG18" i="19" s="1"/>
  <c r="AB18" i="19"/>
  <c r="AD18" i="19" s="1"/>
  <c r="AA18" i="19"/>
  <c r="AC18" i="19" s="1"/>
  <c r="X18" i="19"/>
  <c r="Z18" i="19" s="1"/>
  <c r="W18" i="19"/>
  <c r="Y18" i="19" s="1"/>
  <c r="T18" i="19"/>
  <c r="V18" i="19" s="1"/>
  <c r="S18" i="19"/>
  <c r="U18" i="19" s="1"/>
  <c r="P18" i="19"/>
  <c r="R18" i="19" s="1"/>
  <c r="O18" i="19"/>
  <c r="Q18" i="19" s="1"/>
  <c r="L18" i="19"/>
  <c r="N18" i="19" s="1"/>
  <c r="K18" i="19"/>
  <c r="M18" i="19" s="1"/>
  <c r="H18" i="19"/>
  <c r="J18" i="19" s="1"/>
  <c r="G18" i="19"/>
  <c r="I18" i="19" s="1"/>
  <c r="E18" i="19"/>
  <c r="D18" i="19"/>
  <c r="C18" i="19"/>
  <c r="AV17" i="19"/>
  <c r="AX17" i="19" s="1"/>
  <c r="AU17" i="19"/>
  <c r="AW17" i="19" s="1"/>
  <c r="AR17" i="19"/>
  <c r="AT17" i="19" s="1"/>
  <c r="AQ17" i="19"/>
  <c r="AS17" i="19" s="1"/>
  <c r="AN17" i="19"/>
  <c r="AP17" i="19" s="1"/>
  <c r="AM17" i="19"/>
  <c r="AO17" i="19" s="1"/>
  <c r="AJ17" i="19"/>
  <c r="AL17" i="19" s="1"/>
  <c r="AI17" i="19"/>
  <c r="AK17" i="19" s="1"/>
  <c r="AF17" i="19"/>
  <c r="AH17" i="19" s="1"/>
  <c r="AE17" i="19"/>
  <c r="AG17" i="19" s="1"/>
  <c r="AB17" i="19"/>
  <c r="AD17" i="19" s="1"/>
  <c r="AA17" i="19"/>
  <c r="AC17" i="19" s="1"/>
  <c r="X17" i="19"/>
  <c r="Z17" i="19" s="1"/>
  <c r="W17" i="19"/>
  <c r="Y17" i="19" s="1"/>
  <c r="T17" i="19"/>
  <c r="V17" i="19" s="1"/>
  <c r="S17" i="19"/>
  <c r="U17" i="19" s="1"/>
  <c r="P17" i="19"/>
  <c r="R17" i="19" s="1"/>
  <c r="O17" i="19"/>
  <c r="Q17" i="19" s="1"/>
  <c r="L17" i="19"/>
  <c r="N17" i="19" s="1"/>
  <c r="K17" i="19"/>
  <c r="M17" i="19" s="1"/>
  <c r="H17" i="19"/>
  <c r="J17" i="19" s="1"/>
  <c r="G17" i="19"/>
  <c r="I17" i="19" s="1"/>
  <c r="E17" i="19"/>
  <c r="D17" i="19"/>
  <c r="C17" i="19"/>
  <c r="AV16" i="19"/>
  <c r="AX16" i="19" s="1"/>
  <c r="AU16" i="19"/>
  <c r="AW16" i="19" s="1"/>
  <c r="AR16" i="19"/>
  <c r="AT16" i="19" s="1"/>
  <c r="AQ16" i="19"/>
  <c r="AS16" i="19" s="1"/>
  <c r="AN16" i="19"/>
  <c r="AP16" i="19" s="1"/>
  <c r="AM16" i="19"/>
  <c r="AO16" i="19" s="1"/>
  <c r="AJ16" i="19"/>
  <c r="AL16" i="19" s="1"/>
  <c r="AI16" i="19"/>
  <c r="AK16" i="19" s="1"/>
  <c r="AF16" i="19"/>
  <c r="AH16" i="19" s="1"/>
  <c r="AE16" i="19"/>
  <c r="AG16" i="19" s="1"/>
  <c r="AB16" i="19"/>
  <c r="AD16" i="19" s="1"/>
  <c r="AA16" i="19"/>
  <c r="AC16" i="19" s="1"/>
  <c r="X16" i="19"/>
  <c r="Z16" i="19" s="1"/>
  <c r="W16" i="19"/>
  <c r="Y16" i="19" s="1"/>
  <c r="T16" i="19"/>
  <c r="V16" i="19" s="1"/>
  <c r="S16" i="19"/>
  <c r="U16" i="19" s="1"/>
  <c r="P16" i="19"/>
  <c r="R16" i="19" s="1"/>
  <c r="O16" i="19"/>
  <c r="Q16" i="19" s="1"/>
  <c r="L16" i="19"/>
  <c r="N16" i="19" s="1"/>
  <c r="K16" i="19"/>
  <c r="M16" i="19" s="1"/>
  <c r="H16" i="19"/>
  <c r="J16" i="19" s="1"/>
  <c r="G16" i="19"/>
  <c r="I16" i="19" s="1"/>
  <c r="E16" i="19"/>
  <c r="D16" i="19"/>
  <c r="C16" i="19"/>
  <c r="AV15" i="19"/>
  <c r="AX15" i="19" s="1"/>
  <c r="AU15" i="19"/>
  <c r="AW15" i="19" s="1"/>
  <c r="AR15" i="19"/>
  <c r="AT15" i="19" s="1"/>
  <c r="AQ15" i="19"/>
  <c r="AS15" i="19" s="1"/>
  <c r="AN15" i="19"/>
  <c r="AP15" i="19" s="1"/>
  <c r="AM15" i="19"/>
  <c r="AO15" i="19" s="1"/>
  <c r="AJ15" i="19"/>
  <c r="AL15" i="19" s="1"/>
  <c r="AI15" i="19"/>
  <c r="AK15" i="19" s="1"/>
  <c r="AF15" i="19"/>
  <c r="AH15" i="19" s="1"/>
  <c r="AE15" i="19"/>
  <c r="AG15" i="19" s="1"/>
  <c r="AB15" i="19"/>
  <c r="AD15" i="19" s="1"/>
  <c r="AA15" i="19"/>
  <c r="AC15" i="19" s="1"/>
  <c r="X15" i="19"/>
  <c r="Z15" i="19" s="1"/>
  <c r="W15" i="19"/>
  <c r="Y15" i="19" s="1"/>
  <c r="T15" i="19"/>
  <c r="V15" i="19" s="1"/>
  <c r="S15" i="19"/>
  <c r="U15" i="19" s="1"/>
  <c r="P15" i="19"/>
  <c r="R15" i="19" s="1"/>
  <c r="O15" i="19"/>
  <c r="Q15" i="19" s="1"/>
  <c r="L15" i="19"/>
  <c r="N15" i="19" s="1"/>
  <c r="K15" i="19"/>
  <c r="M15" i="19" s="1"/>
  <c r="H15" i="19"/>
  <c r="J15" i="19" s="1"/>
  <c r="G15" i="19"/>
  <c r="I15" i="19" s="1"/>
  <c r="E15" i="19"/>
  <c r="D15" i="19"/>
  <c r="C15" i="19"/>
  <c r="AV14" i="19"/>
  <c r="AX14" i="19" s="1"/>
  <c r="AU14" i="19"/>
  <c r="AW14" i="19" s="1"/>
  <c r="AR14" i="19"/>
  <c r="AT14" i="19" s="1"/>
  <c r="AQ14" i="19"/>
  <c r="AS14" i="19" s="1"/>
  <c r="AN14" i="19"/>
  <c r="AP14" i="19" s="1"/>
  <c r="AM14" i="19"/>
  <c r="AO14" i="19" s="1"/>
  <c r="AJ14" i="19"/>
  <c r="AL14" i="19" s="1"/>
  <c r="AI14" i="19"/>
  <c r="AK14" i="19" s="1"/>
  <c r="AF14" i="19"/>
  <c r="AH14" i="19" s="1"/>
  <c r="AE14" i="19"/>
  <c r="AG14" i="19" s="1"/>
  <c r="AB14" i="19"/>
  <c r="AD14" i="19" s="1"/>
  <c r="AA14" i="19"/>
  <c r="AC14" i="19" s="1"/>
  <c r="X14" i="19"/>
  <c r="Z14" i="19" s="1"/>
  <c r="W14" i="19"/>
  <c r="Y14" i="19" s="1"/>
  <c r="T14" i="19"/>
  <c r="V14" i="19" s="1"/>
  <c r="S14" i="19"/>
  <c r="U14" i="19" s="1"/>
  <c r="P14" i="19"/>
  <c r="R14" i="19" s="1"/>
  <c r="O14" i="19"/>
  <c r="Q14" i="19" s="1"/>
  <c r="L14" i="19"/>
  <c r="N14" i="19" s="1"/>
  <c r="K14" i="19"/>
  <c r="M14" i="19" s="1"/>
  <c r="H14" i="19"/>
  <c r="J14" i="19" s="1"/>
  <c r="G14" i="19"/>
  <c r="I14" i="19" s="1"/>
  <c r="E14" i="19"/>
  <c r="D14" i="19"/>
  <c r="C14" i="19"/>
  <c r="AV13" i="19"/>
  <c r="AX13" i="19" s="1"/>
  <c r="AU13" i="19"/>
  <c r="AW13" i="19" s="1"/>
  <c r="AR13" i="19"/>
  <c r="AT13" i="19" s="1"/>
  <c r="AQ13" i="19"/>
  <c r="AS13" i="19" s="1"/>
  <c r="AN13" i="19"/>
  <c r="AP13" i="19" s="1"/>
  <c r="AM13" i="19"/>
  <c r="AO13" i="19" s="1"/>
  <c r="AJ13" i="19"/>
  <c r="AL13" i="19" s="1"/>
  <c r="AI13" i="19"/>
  <c r="AK13" i="19" s="1"/>
  <c r="AF13" i="19"/>
  <c r="AH13" i="19" s="1"/>
  <c r="AE13" i="19"/>
  <c r="AG13" i="19" s="1"/>
  <c r="AB13" i="19"/>
  <c r="AD13" i="19" s="1"/>
  <c r="AA13" i="19"/>
  <c r="AC13" i="19" s="1"/>
  <c r="X13" i="19"/>
  <c r="Z13" i="19" s="1"/>
  <c r="W13" i="19"/>
  <c r="Y13" i="19" s="1"/>
  <c r="T13" i="19"/>
  <c r="V13" i="19" s="1"/>
  <c r="S13" i="19"/>
  <c r="U13" i="19" s="1"/>
  <c r="P13" i="19"/>
  <c r="R13" i="19" s="1"/>
  <c r="O13" i="19"/>
  <c r="Q13" i="19" s="1"/>
  <c r="L13" i="19"/>
  <c r="N13" i="19" s="1"/>
  <c r="K13" i="19"/>
  <c r="M13" i="19" s="1"/>
  <c r="H13" i="19"/>
  <c r="J13" i="19" s="1"/>
  <c r="G13" i="19"/>
  <c r="I13" i="19" s="1"/>
  <c r="E13" i="19"/>
  <c r="D13" i="19"/>
  <c r="C13" i="19"/>
  <c r="AV12" i="19"/>
  <c r="AX12" i="19" s="1"/>
  <c r="AU12" i="19"/>
  <c r="AW12" i="19" s="1"/>
  <c r="AR12" i="19"/>
  <c r="AT12" i="19" s="1"/>
  <c r="AQ12" i="19"/>
  <c r="AS12" i="19" s="1"/>
  <c r="AN12" i="19"/>
  <c r="AP12" i="19" s="1"/>
  <c r="AM12" i="19"/>
  <c r="AO12" i="19" s="1"/>
  <c r="AJ12" i="19"/>
  <c r="AL12" i="19" s="1"/>
  <c r="AI12" i="19"/>
  <c r="AK12" i="19" s="1"/>
  <c r="AF12" i="19"/>
  <c r="AH12" i="19" s="1"/>
  <c r="AE12" i="19"/>
  <c r="AG12" i="19" s="1"/>
  <c r="AB12" i="19"/>
  <c r="AD12" i="19" s="1"/>
  <c r="AA12" i="19"/>
  <c r="AC12" i="19" s="1"/>
  <c r="X12" i="19"/>
  <c r="Z12" i="19" s="1"/>
  <c r="W12" i="19"/>
  <c r="Y12" i="19" s="1"/>
  <c r="T12" i="19"/>
  <c r="V12" i="19" s="1"/>
  <c r="S12" i="19"/>
  <c r="U12" i="19" s="1"/>
  <c r="P12" i="19"/>
  <c r="R12" i="19" s="1"/>
  <c r="O12" i="19"/>
  <c r="Q12" i="19" s="1"/>
  <c r="L12" i="19"/>
  <c r="N12" i="19" s="1"/>
  <c r="K12" i="19"/>
  <c r="M12" i="19" s="1"/>
  <c r="H12" i="19"/>
  <c r="J12" i="19" s="1"/>
  <c r="G12" i="19"/>
  <c r="I12" i="19" s="1"/>
  <c r="E12" i="19"/>
  <c r="D12" i="19"/>
  <c r="C12" i="19"/>
  <c r="AV11" i="19"/>
  <c r="AX11" i="19" s="1"/>
  <c r="AU11" i="19"/>
  <c r="AW11" i="19" s="1"/>
  <c r="AR11" i="19"/>
  <c r="AT11" i="19" s="1"/>
  <c r="AQ11" i="19"/>
  <c r="AS11" i="19" s="1"/>
  <c r="AN11" i="19"/>
  <c r="AP11" i="19" s="1"/>
  <c r="AM11" i="19"/>
  <c r="AO11" i="19" s="1"/>
  <c r="AJ11" i="19"/>
  <c r="AL11" i="19" s="1"/>
  <c r="AI11" i="19"/>
  <c r="AK11" i="19" s="1"/>
  <c r="AF11" i="19"/>
  <c r="AH11" i="19" s="1"/>
  <c r="AE11" i="19"/>
  <c r="AG11" i="19" s="1"/>
  <c r="AB11" i="19"/>
  <c r="AD11" i="19" s="1"/>
  <c r="AA11" i="19"/>
  <c r="AC11" i="19" s="1"/>
  <c r="X11" i="19"/>
  <c r="Z11" i="19" s="1"/>
  <c r="W11" i="19"/>
  <c r="Y11" i="19" s="1"/>
  <c r="T11" i="19"/>
  <c r="V11" i="19" s="1"/>
  <c r="S11" i="19"/>
  <c r="U11" i="19" s="1"/>
  <c r="P11" i="19"/>
  <c r="R11" i="19" s="1"/>
  <c r="O11" i="19"/>
  <c r="Q11" i="19" s="1"/>
  <c r="L11" i="19"/>
  <c r="N11" i="19" s="1"/>
  <c r="K11" i="19"/>
  <c r="M11" i="19" s="1"/>
  <c r="H11" i="19"/>
  <c r="J11" i="19" s="1"/>
  <c r="G11" i="19"/>
  <c r="I11" i="19" s="1"/>
  <c r="E11" i="19"/>
  <c r="D11" i="19"/>
  <c r="C11" i="19"/>
  <c r="AV10" i="19"/>
  <c r="AX10" i="19" s="1"/>
  <c r="AU10" i="19"/>
  <c r="AW10" i="19" s="1"/>
  <c r="AR10" i="19"/>
  <c r="AT10" i="19" s="1"/>
  <c r="AQ10" i="19"/>
  <c r="AS10" i="19" s="1"/>
  <c r="AN10" i="19"/>
  <c r="AP10" i="19" s="1"/>
  <c r="AM10" i="19"/>
  <c r="AO10" i="19" s="1"/>
  <c r="AJ10" i="19"/>
  <c r="AL10" i="19" s="1"/>
  <c r="AI10" i="19"/>
  <c r="AK10" i="19" s="1"/>
  <c r="AF10" i="19"/>
  <c r="AH10" i="19" s="1"/>
  <c r="AE10" i="19"/>
  <c r="AG10" i="19" s="1"/>
  <c r="AB10" i="19"/>
  <c r="AD10" i="19" s="1"/>
  <c r="AA10" i="19"/>
  <c r="AC10" i="19" s="1"/>
  <c r="X10" i="19"/>
  <c r="Z10" i="19" s="1"/>
  <c r="W10" i="19"/>
  <c r="Y10" i="19" s="1"/>
  <c r="T10" i="19"/>
  <c r="V10" i="19" s="1"/>
  <c r="S10" i="19"/>
  <c r="U10" i="19" s="1"/>
  <c r="P10" i="19"/>
  <c r="R10" i="19" s="1"/>
  <c r="O10" i="19"/>
  <c r="Q10" i="19" s="1"/>
  <c r="L10" i="19"/>
  <c r="N10" i="19" s="1"/>
  <c r="K10" i="19"/>
  <c r="M10" i="19" s="1"/>
  <c r="H10" i="19"/>
  <c r="J10" i="19" s="1"/>
  <c r="G10" i="19"/>
  <c r="I10" i="19" s="1"/>
  <c r="E10" i="19"/>
  <c r="D10" i="19"/>
  <c r="C10" i="19"/>
  <c r="AV9" i="19"/>
  <c r="AX9" i="19" s="1"/>
  <c r="AU9" i="19"/>
  <c r="AW9" i="19" s="1"/>
  <c r="AR9" i="19"/>
  <c r="AT9" i="19" s="1"/>
  <c r="AQ9" i="19"/>
  <c r="AS9" i="19" s="1"/>
  <c r="AN9" i="19"/>
  <c r="AP9" i="19" s="1"/>
  <c r="AM9" i="19"/>
  <c r="AO9" i="19" s="1"/>
  <c r="AJ9" i="19"/>
  <c r="AL9" i="19" s="1"/>
  <c r="AI9" i="19"/>
  <c r="AK9" i="19" s="1"/>
  <c r="AF9" i="19"/>
  <c r="AH9" i="19" s="1"/>
  <c r="AE9" i="19"/>
  <c r="AG9" i="19" s="1"/>
  <c r="AB9" i="19"/>
  <c r="AD9" i="19" s="1"/>
  <c r="AA9" i="19"/>
  <c r="AC9" i="19" s="1"/>
  <c r="X9" i="19"/>
  <c r="Z9" i="19" s="1"/>
  <c r="W9" i="19"/>
  <c r="Y9" i="19" s="1"/>
  <c r="T9" i="19"/>
  <c r="V9" i="19" s="1"/>
  <c r="S9" i="19"/>
  <c r="U9" i="19" s="1"/>
  <c r="P9" i="19"/>
  <c r="R9" i="19" s="1"/>
  <c r="O9" i="19"/>
  <c r="Q9" i="19" s="1"/>
  <c r="L9" i="19"/>
  <c r="N9" i="19" s="1"/>
  <c r="K9" i="19"/>
  <c r="M9" i="19" s="1"/>
  <c r="H9" i="19"/>
  <c r="J9" i="19" s="1"/>
  <c r="G9" i="19"/>
  <c r="I9" i="19" s="1"/>
  <c r="E9" i="19"/>
  <c r="D9" i="19"/>
  <c r="C9" i="19"/>
  <c r="AV8" i="19"/>
  <c r="AX8" i="19" s="1"/>
  <c r="AU8" i="19"/>
  <c r="AW8" i="19" s="1"/>
  <c r="AR8" i="19"/>
  <c r="AT8" i="19" s="1"/>
  <c r="AQ8" i="19"/>
  <c r="AS8" i="19" s="1"/>
  <c r="AN8" i="19"/>
  <c r="AP8" i="19" s="1"/>
  <c r="AM8" i="19"/>
  <c r="AO8" i="19" s="1"/>
  <c r="AJ8" i="19"/>
  <c r="AL8" i="19" s="1"/>
  <c r="AI8" i="19"/>
  <c r="AK8" i="19" s="1"/>
  <c r="AF8" i="19"/>
  <c r="AH8" i="19" s="1"/>
  <c r="AE8" i="19"/>
  <c r="AG8" i="19" s="1"/>
  <c r="AB8" i="19"/>
  <c r="AD8" i="19" s="1"/>
  <c r="AA8" i="19"/>
  <c r="AC8" i="19" s="1"/>
  <c r="X8" i="19"/>
  <c r="Z8" i="19" s="1"/>
  <c r="W8" i="19"/>
  <c r="Y8" i="19" s="1"/>
  <c r="T8" i="19"/>
  <c r="V8" i="19" s="1"/>
  <c r="S8" i="19"/>
  <c r="U8" i="19" s="1"/>
  <c r="P8" i="19"/>
  <c r="R8" i="19" s="1"/>
  <c r="O8" i="19"/>
  <c r="Q8" i="19" s="1"/>
  <c r="L8" i="19"/>
  <c r="N8" i="19" s="1"/>
  <c r="K8" i="19"/>
  <c r="M8" i="19" s="1"/>
  <c r="H8" i="19"/>
  <c r="J8" i="19" s="1"/>
  <c r="G8" i="19"/>
  <c r="I8" i="19" s="1"/>
  <c r="E8" i="19"/>
  <c r="D8" i="19"/>
  <c r="C8" i="19"/>
  <c r="AV7" i="19"/>
  <c r="AX7" i="19" s="1"/>
  <c r="AU7" i="19"/>
  <c r="AW7" i="19" s="1"/>
  <c r="AR7" i="19"/>
  <c r="AT7" i="19" s="1"/>
  <c r="AQ7" i="19"/>
  <c r="AS7" i="19" s="1"/>
  <c r="AN7" i="19"/>
  <c r="AP7" i="19" s="1"/>
  <c r="AM7" i="19"/>
  <c r="AO7" i="19" s="1"/>
  <c r="AJ7" i="19"/>
  <c r="AL7" i="19" s="1"/>
  <c r="AI7" i="19"/>
  <c r="AK7" i="19" s="1"/>
  <c r="AF7" i="19"/>
  <c r="AH7" i="19" s="1"/>
  <c r="AE7" i="19"/>
  <c r="AG7" i="19" s="1"/>
  <c r="AB7" i="19"/>
  <c r="AD7" i="19" s="1"/>
  <c r="AA7" i="19"/>
  <c r="AC7" i="19" s="1"/>
  <c r="X7" i="19"/>
  <c r="Z7" i="19" s="1"/>
  <c r="W7" i="19"/>
  <c r="Y7" i="19" s="1"/>
  <c r="T7" i="19"/>
  <c r="V7" i="19" s="1"/>
  <c r="S7" i="19"/>
  <c r="U7" i="19" s="1"/>
  <c r="P7" i="19"/>
  <c r="R7" i="19" s="1"/>
  <c r="O7" i="19"/>
  <c r="Q7" i="19" s="1"/>
  <c r="L7" i="19"/>
  <c r="N7" i="19" s="1"/>
  <c r="K7" i="19"/>
  <c r="M7" i="19" s="1"/>
  <c r="H7" i="19"/>
  <c r="J7" i="19" s="1"/>
  <c r="G7" i="19"/>
  <c r="I7" i="19" s="1"/>
  <c r="E7" i="19"/>
  <c r="D7" i="19"/>
  <c r="C7" i="19"/>
  <c r="AV6" i="19"/>
  <c r="AX6" i="19" s="1"/>
  <c r="AU6" i="19"/>
  <c r="AW6" i="19" s="1"/>
  <c r="AR6" i="19"/>
  <c r="AT6" i="19" s="1"/>
  <c r="AQ6" i="19"/>
  <c r="AS6" i="19" s="1"/>
  <c r="AN6" i="19"/>
  <c r="AP6" i="19" s="1"/>
  <c r="AM6" i="19"/>
  <c r="AO6" i="19" s="1"/>
  <c r="AJ6" i="19"/>
  <c r="AL6" i="19" s="1"/>
  <c r="AI6" i="19"/>
  <c r="AK6" i="19" s="1"/>
  <c r="AF6" i="19"/>
  <c r="AH6" i="19" s="1"/>
  <c r="AE6" i="19"/>
  <c r="AG6" i="19" s="1"/>
  <c r="AB6" i="19"/>
  <c r="AD6" i="19" s="1"/>
  <c r="AA6" i="19"/>
  <c r="AC6" i="19" s="1"/>
  <c r="X6" i="19"/>
  <c r="Z6" i="19" s="1"/>
  <c r="W6" i="19"/>
  <c r="Y6" i="19" s="1"/>
  <c r="T6" i="19"/>
  <c r="V6" i="19" s="1"/>
  <c r="S6" i="19"/>
  <c r="U6" i="19" s="1"/>
  <c r="P6" i="19"/>
  <c r="R6" i="19" s="1"/>
  <c r="O6" i="19"/>
  <c r="Q6" i="19" s="1"/>
  <c r="L6" i="19"/>
  <c r="N6" i="19" s="1"/>
  <c r="K6" i="19"/>
  <c r="M6" i="19" s="1"/>
  <c r="H6" i="19"/>
  <c r="J6" i="19" s="1"/>
  <c r="G6" i="19"/>
  <c r="I6" i="19" s="1"/>
  <c r="E6" i="19"/>
  <c r="D6" i="19"/>
  <c r="C6" i="19"/>
  <c r="AV5" i="19"/>
  <c r="AX5" i="19" s="1"/>
  <c r="AU5" i="19"/>
  <c r="AW5" i="19" s="1"/>
  <c r="AR5" i="19"/>
  <c r="AT5" i="19" s="1"/>
  <c r="AQ5" i="19"/>
  <c r="AS5" i="19" s="1"/>
  <c r="AN5" i="19"/>
  <c r="AP5" i="19" s="1"/>
  <c r="AM5" i="19"/>
  <c r="AO5" i="19" s="1"/>
  <c r="AJ5" i="19"/>
  <c r="AL5" i="19" s="1"/>
  <c r="AI5" i="19"/>
  <c r="AK5" i="19" s="1"/>
  <c r="AF5" i="19"/>
  <c r="AH5" i="19" s="1"/>
  <c r="AE5" i="19"/>
  <c r="AG5" i="19" s="1"/>
  <c r="AB5" i="19"/>
  <c r="AD5" i="19" s="1"/>
  <c r="AA5" i="19"/>
  <c r="AC5" i="19" s="1"/>
  <c r="X5" i="19"/>
  <c r="Z5" i="19" s="1"/>
  <c r="W5" i="19"/>
  <c r="Y5" i="19" s="1"/>
  <c r="T5" i="19"/>
  <c r="V5" i="19" s="1"/>
  <c r="S5" i="19"/>
  <c r="U5" i="19" s="1"/>
  <c r="P5" i="19"/>
  <c r="R5" i="19" s="1"/>
  <c r="O5" i="19"/>
  <c r="Q5" i="19" s="1"/>
  <c r="L5" i="19"/>
  <c r="N5" i="19" s="1"/>
  <c r="K5" i="19"/>
  <c r="M5" i="19" s="1"/>
  <c r="H5" i="19"/>
  <c r="J5" i="19" s="1"/>
  <c r="G5" i="19"/>
  <c r="I5" i="19" s="1"/>
  <c r="E5" i="19"/>
  <c r="D5" i="19"/>
  <c r="C5" i="19"/>
  <c r="AV4" i="19"/>
  <c r="AX4" i="19" s="1"/>
  <c r="AU4" i="19"/>
  <c r="AW4" i="19" s="1"/>
  <c r="AR4" i="19"/>
  <c r="AT4" i="19" s="1"/>
  <c r="AQ4" i="19"/>
  <c r="AS4" i="19" s="1"/>
  <c r="AN4" i="19"/>
  <c r="AP4" i="19" s="1"/>
  <c r="AM4" i="19"/>
  <c r="AO4" i="19" s="1"/>
  <c r="AJ4" i="19"/>
  <c r="AL4" i="19" s="1"/>
  <c r="AI4" i="19"/>
  <c r="AK4" i="19" s="1"/>
  <c r="AF4" i="19"/>
  <c r="AH4" i="19" s="1"/>
  <c r="AE4" i="19"/>
  <c r="AG4" i="19" s="1"/>
  <c r="AB4" i="19"/>
  <c r="AD4" i="19" s="1"/>
  <c r="AA4" i="19"/>
  <c r="AC4" i="19" s="1"/>
  <c r="X4" i="19"/>
  <c r="Z4" i="19" s="1"/>
  <c r="W4" i="19"/>
  <c r="Y4" i="19" s="1"/>
  <c r="T4" i="19"/>
  <c r="V4" i="19" s="1"/>
  <c r="S4" i="19"/>
  <c r="U4" i="19" s="1"/>
  <c r="P4" i="19"/>
  <c r="R4" i="19" s="1"/>
  <c r="O4" i="19"/>
  <c r="Q4" i="19" s="1"/>
  <c r="L4" i="19"/>
  <c r="N4" i="19" s="1"/>
  <c r="K4" i="19"/>
  <c r="M4" i="19" s="1"/>
  <c r="H4" i="19"/>
  <c r="J4" i="19" s="1"/>
  <c r="G4" i="19"/>
  <c r="I4" i="19" s="1"/>
  <c r="E4" i="19"/>
  <c r="D4" i="19"/>
  <c r="C4" i="19"/>
  <c r="AV3" i="19"/>
  <c r="AX3" i="19" s="1"/>
  <c r="AU3" i="19"/>
  <c r="AW3" i="19" s="1"/>
  <c r="AR3" i="19"/>
  <c r="AT3" i="19" s="1"/>
  <c r="AQ3" i="19"/>
  <c r="AS3" i="19" s="1"/>
  <c r="AN3" i="19"/>
  <c r="AP3" i="19" s="1"/>
  <c r="AM3" i="19"/>
  <c r="AO3" i="19" s="1"/>
  <c r="AJ3" i="19"/>
  <c r="AL3" i="19" s="1"/>
  <c r="AI3" i="19"/>
  <c r="AK3" i="19" s="1"/>
  <c r="AF3" i="19"/>
  <c r="AH3" i="19" s="1"/>
  <c r="AE3" i="19"/>
  <c r="AG3" i="19" s="1"/>
  <c r="AB3" i="19"/>
  <c r="AD3" i="19" s="1"/>
  <c r="AA3" i="19"/>
  <c r="AC3" i="19" s="1"/>
  <c r="X3" i="19"/>
  <c r="Z3" i="19" s="1"/>
  <c r="W3" i="19"/>
  <c r="Y3" i="19" s="1"/>
  <c r="T3" i="19"/>
  <c r="V3" i="19" s="1"/>
  <c r="S3" i="19"/>
  <c r="U3" i="19" s="1"/>
  <c r="P3" i="19"/>
  <c r="R3" i="19" s="1"/>
  <c r="O3" i="19"/>
  <c r="Q3" i="19" s="1"/>
  <c r="L3" i="19"/>
  <c r="N3" i="19" s="1"/>
  <c r="K3" i="19"/>
  <c r="M3" i="19" s="1"/>
  <c r="H3" i="19"/>
  <c r="J3" i="19" s="1"/>
  <c r="G3" i="19"/>
  <c r="I3" i="19" s="1"/>
  <c r="E3" i="19"/>
  <c r="D3" i="19"/>
  <c r="C3" i="19"/>
  <c r="AV50" i="18"/>
  <c r="AX50" i="18" s="1"/>
  <c r="AU50" i="18"/>
  <c r="AW50" i="18" s="1"/>
  <c r="AR50" i="18"/>
  <c r="AT50" i="18" s="1"/>
  <c r="AQ50" i="18"/>
  <c r="AS50" i="18" s="1"/>
  <c r="AN50" i="18"/>
  <c r="AP50" i="18" s="1"/>
  <c r="AM50" i="18"/>
  <c r="AO50" i="18" s="1"/>
  <c r="AJ50" i="18"/>
  <c r="AL50" i="18" s="1"/>
  <c r="AI50" i="18"/>
  <c r="AK50" i="18" s="1"/>
  <c r="AF50" i="18"/>
  <c r="AH50" i="18" s="1"/>
  <c r="AE50" i="18"/>
  <c r="AG50" i="18" s="1"/>
  <c r="AB50" i="18"/>
  <c r="AD50" i="18" s="1"/>
  <c r="AA50" i="18"/>
  <c r="AC50" i="18" s="1"/>
  <c r="X50" i="18"/>
  <c r="Z50" i="18" s="1"/>
  <c r="W50" i="18"/>
  <c r="Y50" i="18" s="1"/>
  <c r="T50" i="18"/>
  <c r="V50" i="18" s="1"/>
  <c r="S50" i="18"/>
  <c r="U50" i="18" s="1"/>
  <c r="P50" i="18"/>
  <c r="R50" i="18" s="1"/>
  <c r="O50" i="18"/>
  <c r="Q50" i="18" s="1"/>
  <c r="L50" i="18"/>
  <c r="N50" i="18" s="1"/>
  <c r="K50" i="18"/>
  <c r="M50" i="18" s="1"/>
  <c r="H50" i="18"/>
  <c r="J50" i="18" s="1"/>
  <c r="G50" i="18"/>
  <c r="I50" i="18" s="1"/>
  <c r="E50" i="18"/>
  <c r="D50" i="18"/>
  <c r="C50" i="18"/>
  <c r="AV49" i="18"/>
  <c r="AX49" i="18" s="1"/>
  <c r="AU49" i="18"/>
  <c r="AW49" i="18" s="1"/>
  <c r="AR49" i="18"/>
  <c r="AT49" i="18" s="1"/>
  <c r="AQ49" i="18"/>
  <c r="AS49" i="18" s="1"/>
  <c r="AN49" i="18"/>
  <c r="AP49" i="18" s="1"/>
  <c r="AM49" i="18"/>
  <c r="AO49" i="18" s="1"/>
  <c r="AJ49" i="18"/>
  <c r="AL49" i="18" s="1"/>
  <c r="AI49" i="18"/>
  <c r="AK49" i="18" s="1"/>
  <c r="AF49" i="18"/>
  <c r="AH49" i="18" s="1"/>
  <c r="AE49" i="18"/>
  <c r="AG49" i="18" s="1"/>
  <c r="AB49" i="18"/>
  <c r="AD49" i="18" s="1"/>
  <c r="AA49" i="18"/>
  <c r="AC49" i="18" s="1"/>
  <c r="X49" i="18"/>
  <c r="Z49" i="18" s="1"/>
  <c r="W49" i="18"/>
  <c r="Y49" i="18" s="1"/>
  <c r="T49" i="18"/>
  <c r="V49" i="18" s="1"/>
  <c r="S49" i="18"/>
  <c r="U49" i="18" s="1"/>
  <c r="P49" i="18"/>
  <c r="R49" i="18" s="1"/>
  <c r="O49" i="18"/>
  <c r="Q49" i="18" s="1"/>
  <c r="L49" i="18"/>
  <c r="N49" i="18" s="1"/>
  <c r="K49" i="18"/>
  <c r="M49" i="18" s="1"/>
  <c r="H49" i="18"/>
  <c r="J49" i="18" s="1"/>
  <c r="G49" i="18"/>
  <c r="I49" i="18" s="1"/>
  <c r="E49" i="18"/>
  <c r="D49" i="18"/>
  <c r="C49" i="18"/>
  <c r="AV48" i="18"/>
  <c r="AX48" i="18" s="1"/>
  <c r="AU48" i="18"/>
  <c r="AW48" i="18" s="1"/>
  <c r="AR48" i="18"/>
  <c r="AT48" i="18" s="1"/>
  <c r="AQ48" i="18"/>
  <c r="AS48" i="18" s="1"/>
  <c r="AN48" i="18"/>
  <c r="AP48" i="18" s="1"/>
  <c r="AM48" i="18"/>
  <c r="AO48" i="18" s="1"/>
  <c r="AJ48" i="18"/>
  <c r="AL48" i="18" s="1"/>
  <c r="AI48" i="18"/>
  <c r="AK48" i="18" s="1"/>
  <c r="AF48" i="18"/>
  <c r="AH48" i="18" s="1"/>
  <c r="AE48" i="18"/>
  <c r="AG48" i="18" s="1"/>
  <c r="AB48" i="18"/>
  <c r="AD48" i="18" s="1"/>
  <c r="AA48" i="18"/>
  <c r="AC48" i="18" s="1"/>
  <c r="X48" i="18"/>
  <c r="Z48" i="18" s="1"/>
  <c r="W48" i="18"/>
  <c r="Y48" i="18" s="1"/>
  <c r="T48" i="18"/>
  <c r="V48" i="18" s="1"/>
  <c r="S48" i="18"/>
  <c r="U48" i="18" s="1"/>
  <c r="P48" i="18"/>
  <c r="R48" i="18" s="1"/>
  <c r="O48" i="18"/>
  <c r="Q48" i="18" s="1"/>
  <c r="L48" i="18"/>
  <c r="N48" i="18" s="1"/>
  <c r="K48" i="18"/>
  <c r="M48" i="18" s="1"/>
  <c r="H48" i="18"/>
  <c r="J48" i="18" s="1"/>
  <c r="G48" i="18"/>
  <c r="I48" i="18" s="1"/>
  <c r="E48" i="18"/>
  <c r="D48" i="18"/>
  <c r="C48" i="18"/>
  <c r="AV47" i="18"/>
  <c r="AX47" i="18" s="1"/>
  <c r="AU47" i="18"/>
  <c r="AW47" i="18" s="1"/>
  <c r="AR47" i="18"/>
  <c r="AT47" i="18" s="1"/>
  <c r="AQ47" i="18"/>
  <c r="AS47" i="18" s="1"/>
  <c r="AN47" i="18"/>
  <c r="AP47" i="18" s="1"/>
  <c r="AM47" i="18"/>
  <c r="AO47" i="18" s="1"/>
  <c r="AJ47" i="18"/>
  <c r="AL47" i="18" s="1"/>
  <c r="AI47" i="18"/>
  <c r="AK47" i="18" s="1"/>
  <c r="AF47" i="18"/>
  <c r="AH47" i="18" s="1"/>
  <c r="AE47" i="18"/>
  <c r="AG47" i="18" s="1"/>
  <c r="AB47" i="18"/>
  <c r="AD47" i="18" s="1"/>
  <c r="AA47" i="18"/>
  <c r="AC47" i="18" s="1"/>
  <c r="X47" i="18"/>
  <c r="Z47" i="18" s="1"/>
  <c r="W47" i="18"/>
  <c r="Y47" i="18" s="1"/>
  <c r="T47" i="18"/>
  <c r="V47" i="18" s="1"/>
  <c r="S47" i="18"/>
  <c r="U47" i="18" s="1"/>
  <c r="P47" i="18"/>
  <c r="R47" i="18" s="1"/>
  <c r="O47" i="18"/>
  <c r="Q47" i="18" s="1"/>
  <c r="L47" i="18"/>
  <c r="N47" i="18" s="1"/>
  <c r="K47" i="18"/>
  <c r="M47" i="18" s="1"/>
  <c r="H47" i="18"/>
  <c r="J47" i="18" s="1"/>
  <c r="G47" i="18"/>
  <c r="I47" i="18" s="1"/>
  <c r="E47" i="18"/>
  <c r="D47" i="18"/>
  <c r="C47" i="18"/>
  <c r="AV46" i="18"/>
  <c r="AX46" i="18" s="1"/>
  <c r="AU46" i="18"/>
  <c r="AW46" i="18" s="1"/>
  <c r="AR46" i="18"/>
  <c r="AT46" i="18" s="1"/>
  <c r="AQ46" i="18"/>
  <c r="AS46" i="18" s="1"/>
  <c r="AN46" i="18"/>
  <c r="AP46" i="18" s="1"/>
  <c r="AM46" i="18"/>
  <c r="AO46" i="18" s="1"/>
  <c r="AJ46" i="18"/>
  <c r="AL46" i="18" s="1"/>
  <c r="AI46" i="18"/>
  <c r="AK46" i="18" s="1"/>
  <c r="AF46" i="18"/>
  <c r="AH46" i="18" s="1"/>
  <c r="AE46" i="18"/>
  <c r="AG46" i="18" s="1"/>
  <c r="AB46" i="18"/>
  <c r="AD46" i="18" s="1"/>
  <c r="AA46" i="18"/>
  <c r="AC46" i="18" s="1"/>
  <c r="X46" i="18"/>
  <c r="Z46" i="18" s="1"/>
  <c r="W46" i="18"/>
  <c r="Y46" i="18" s="1"/>
  <c r="T46" i="18"/>
  <c r="V46" i="18" s="1"/>
  <c r="S46" i="18"/>
  <c r="U46" i="18" s="1"/>
  <c r="P46" i="18"/>
  <c r="R46" i="18" s="1"/>
  <c r="O46" i="18"/>
  <c r="Q46" i="18" s="1"/>
  <c r="L46" i="18"/>
  <c r="N46" i="18" s="1"/>
  <c r="K46" i="18"/>
  <c r="M46" i="18" s="1"/>
  <c r="H46" i="18"/>
  <c r="J46" i="18" s="1"/>
  <c r="G46" i="18"/>
  <c r="I46" i="18" s="1"/>
  <c r="E46" i="18"/>
  <c r="D46" i="18"/>
  <c r="C46" i="18"/>
  <c r="AV45" i="18"/>
  <c r="AX45" i="18" s="1"/>
  <c r="AU45" i="18"/>
  <c r="AW45" i="18" s="1"/>
  <c r="AR45" i="18"/>
  <c r="AT45" i="18" s="1"/>
  <c r="AQ45" i="18"/>
  <c r="AS45" i="18" s="1"/>
  <c r="AN45" i="18"/>
  <c r="AP45" i="18" s="1"/>
  <c r="AM45" i="18"/>
  <c r="AO45" i="18" s="1"/>
  <c r="AJ45" i="18"/>
  <c r="AL45" i="18" s="1"/>
  <c r="AI45" i="18"/>
  <c r="AK45" i="18" s="1"/>
  <c r="AF45" i="18"/>
  <c r="AH45" i="18" s="1"/>
  <c r="AE45" i="18"/>
  <c r="AG45" i="18" s="1"/>
  <c r="AB45" i="18"/>
  <c r="AD45" i="18" s="1"/>
  <c r="AA45" i="18"/>
  <c r="AC45" i="18" s="1"/>
  <c r="X45" i="18"/>
  <c r="Z45" i="18" s="1"/>
  <c r="W45" i="18"/>
  <c r="Y45" i="18" s="1"/>
  <c r="T45" i="18"/>
  <c r="V45" i="18" s="1"/>
  <c r="S45" i="18"/>
  <c r="U45" i="18" s="1"/>
  <c r="P45" i="18"/>
  <c r="R45" i="18" s="1"/>
  <c r="O45" i="18"/>
  <c r="Q45" i="18" s="1"/>
  <c r="L45" i="18"/>
  <c r="N45" i="18" s="1"/>
  <c r="K45" i="18"/>
  <c r="M45" i="18" s="1"/>
  <c r="H45" i="18"/>
  <c r="J45" i="18" s="1"/>
  <c r="G45" i="18"/>
  <c r="I45" i="18" s="1"/>
  <c r="E45" i="18"/>
  <c r="D45" i="18"/>
  <c r="C45" i="18"/>
  <c r="AV44" i="18"/>
  <c r="AX44" i="18" s="1"/>
  <c r="AU44" i="18"/>
  <c r="AW44" i="18" s="1"/>
  <c r="AR44" i="18"/>
  <c r="AT44" i="18" s="1"/>
  <c r="AQ44" i="18"/>
  <c r="AS44" i="18" s="1"/>
  <c r="AN44" i="18"/>
  <c r="AP44" i="18" s="1"/>
  <c r="AM44" i="18"/>
  <c r="AO44" i="18" s="1"/>
  <c r="AJ44" i="18"/>
  <c r="AL44" i="18" s="1"/>
  <c r="AI44" i="18"/>
  <c r="AK44" i="18" s="1"/>
  <c r="AF44" i="18"/>
  <c r="AH44" i="18" s="1"/>
  <c r="AE44" i="18"/>
  <c r="AG44" i="18" s="1"/>
  <c r="AB44" i="18"/>
  <c r="AD44" i="18" s="1"/>
  <c r="AA44" i="18"/>
  <c r="AC44" i="18" s="1"/>
  <c r="X44" i="18"/>
  <c r="Z44" i="18" s="1"/>
  <c r="W44" i="18"/>
  <c r="Y44" i="18" s="1"/>
  <c r="T44" i="18"/>
  <c r="V44" i="18" s="1"/>
  <c r="S44" i="18"/>
  <c r="U44" i="18" s="1"/>
  <c r="P44" i="18"/>
  <c r="R44" i="18" s="1"/>
  <c r="O44" i="18"/>
  <c r="Q44" i="18" s="1"/>
  <c r="L44" i="18"/>
  <c r="N44" i="18" s="1"/>
  <c r="K44" i="18"/>
  <c r="M44" i="18" s="1"/>
  <c r="H44" i="18"/>
  <c r="J44" i="18" s="1"/>
  <c r="G44" i="18"/>
  <c r="I44" i="18" s="1"/>
  <c r="E44" i="18"/>
  <c r="D44" i="18"/>
  <c r="C44" i="18"/>
  <c r="AV43" i="18"/>
  <c r="AX43" i="18" s="1"/>
  <c r="AU43" i="18"/>
  <c r="AW43" i="18" s="1"/>
  <c r="AR43" i="18"/>
  <c r="AT43" i="18" s="1"/>
  <c r="AQ43" i="18"/>
  <c r="AS43" i="18" s="1"/>
  <c r="AN43" i="18"/>
  <c r="AP43" i="18" s="1"/>
  <c r="AM43" i="18"/>
  <c r="AO43" i="18" s="1"/>
  <c r="AJ43" i="18"/>
  <c r="AL43" i="18" s="1"/>
  <c r="AI43" i="18"/>
  <c r="AK43" i="18" s="1"/>
  <c r="AF43" i="18"/>
  <c r="AH43" i="18" s="1"/>
  <c r="AE43" i="18"/>
  <c r="AG43" i="18" s="1"/>
  <c r="AB43" i="18"/>
  <c r="AD43" i="18" s="1"/>
  <c r="AA43" i="18"/>
  <c r="AC43" i="18" s="1"/>
  <c r="X43" i="18"/>
  <c r="Z43" i="18" s="1"/>
  <c r="W43" i="18"/>
  <c r="Y43" i="18" s="1"/>
  <c r="T43" i="18"/>
  <c r="V43" i="18" s="1"/>
  <c r="S43" i="18"/>
  <c r="U43" i="18" s="1"/>
  <c r="P43" i="18"/>
  <c r="R43" i="18" s="1"/>
  <c r="O43" i="18"/>
  <c r="Q43" i="18" s="1"/>
  <c r="L43" i="18"/>
  <c r="N43" i="18" s="1"/>
  <c r="K43" i="18"/>
  <c r="M43" i="18" s="1"/>
  <c r="H43" i="18"/>
  <c r="J43" i="18" s="1"/>
  <c r="G43" i="18"/>
  <c r="I43" i="18" s="1"/>
  <c r="E43" i="18"/>
  <c r="D43" i="18"/>
  <c r="C43" i="18"/>
  <c r="AV42" i="18"/>
  <c r="AX42" i="18" s="1"/>
  <c r="AU42" i="18"/>
  <c r="AW42" i="18" s="1"/>
  <c r="AR42" i="18"/>
  <c r="AT42" i="18" s="1"/>
  <c r="AQ42" i="18"/>
  <c r="AS42" i="18" s="1"/>
  <c r="AN42" i="18"/>
  <c r="AP42" i="18" s="1"/>
  <c r="AM42" i="18"/>
  <c r="AO42" i="18" s="1"/>
  <c r="AJ42" i="18"/>
  <c r="AL42" i="18" s="1"/>
  <c r="AI42" i="18"/>
  <c r="AK42" i="18" s="1"/>
  <c r="AF42" i="18"/>
  <c r="AH42" i="18" s="1"/>
  <c r="AE42" i="18"/>
  <c r="AG42" i="18" s="1"/>
  <c r="AB42" i="18"/>
  <c r="AD42" i="18" s="1"/>
  <c r="AA42" i="18"/>
  <c r="AC42" i="18" s="1"/>
  <c r="X42" i="18"/>
  <c r="Z42" i="18" s="1"/>
  <c r="W42" i="18"/>
  <c r="Y42" i="18" s="1"/>
  <c r="T42" i="18"/>
  <c r="V42" i="18" s="1"/>
  <c r="S42" i="18"/>
  <c r="U42" i="18" s="1"/>
  <c r="P42" i="18"/>
  <c r="R42" i="18" s="1"/>
  <c r="O42" i="18"/>
  <c r="Q42" i="18" s="1"/>
  <c r="L42" i="18"/>
  <c r="N42" i="18" s="1"/>
  <c r="K42" i="18"/>
  <c r="M42" i="18" s="1"/>
  <c r="H42" i="18"/>
  <c r="J42" i="18" s="1"/>
  <c r="G42" i="18"/>
  <c r="I42" i="18" s="1"/>
  <c r="E42" i="18"/>
  <c r="D42" i="18"/>
  <c r="C42" i="18"/>
  <c r="AV41" i="18"/>
  <c r="AX41" i="18" s="1"/>
  <c r="AU41" i="18"/>
  <c r="AW41" i="18" s="1"/>
  <c r="AR41" i="18"/>
  <c r="AT41" i="18" s="1"/>
  <c r="AQ41" i="18"/>
  <c r="AS41" i="18" s="1"/>
  <c r="AN41" i="18"/>
  <c r="AP41" i="18" s="1"/>
  <c r="AM41" i="18"/>
  <c r="AO41" i="18" s="1"/>
  <c r="AJ41" i="18"/>
  <c r="AL41" i="18" s="1"/>
  <c r="AI41" i="18"/>
  <c r="AK41" i="18" s="1"/>
  <c r="AF41" i="18"/>
  <c r="AH41" i="18" s="1"/>
  <c r="AE41" i="18"/>
  <c r="AG41" i="18" s="1"/>
  <c r="AB41" i="18"/>
  <c r="AD41" i="18" s="1"/>
  <c r="AA41" i="18"/>
  <c r="AC41" i="18" s="1"/>
  <c r="X41" i="18"/>
  <c r="Z41" i="18" s="1"/>
  <c r="W41" i="18"/>
  <c r="Y41" i="18" s="1"/>
  <c r="T41" i="18"/>
  <c r="V41" i="18" s="1"/>
  <c r="S41" i="18"/>
  <c r="U41" i="18" s="1"/>
  <c r="P41" i="18"/>
  <c r="R41" i="18" s="1"/>
  <c r="O41" i="18"/>
  <c r="Q41" i="18" s="1"/>
  <c r="L41" i="18"/>
  <c r="N41" i="18" s="1"/>
  <c r="K41" i="18"/>
  <c r="M41" i="18" s="1"/>
  <c r="H41" i="18"/>
  <c r="J41" i="18" s="1"/>
  <c r="G41" i="18"/>
  <c r="I41" i="18" s="1"/>
  <c r="E41" i="18"/>
  <c r="D41" i="18"/>
  <c r="C41" i="18"/>
  <c r="AV40" i="18"/>
  <c r="AX40" i="18" s="1"/>
  <c r="AU40" i="18"/>
  <c r="AW40" i="18" s="1"/>
  <c r="AR40" i="18"/>
  <c r="AT40" i="18" s="1"/>
  <c r="AQ40" i="18"/>
  <c r="AS40" i="18" s="1"/>
  <c r="AN40" i="18"/>
  <c r="AP40" i="18" s="1"/>
  <c r="AM40" i="18"/>
  <c r="AO40" i="18" s="1"/>
  <c r="AJ40" i="18"/>
  <c r="AL40" i="18" s="1"/>
  <c r="AI40" i="18"/>
  <c r="AK40" i="18" s="1"/>
  <c r="AF40" i="18"/>
  <c r="AH40" i="18" s="1"/>
  <c r="AE40" i="18"/>
  <c r="AG40" i="18" s="1"/>
  <c r="AB40" i="18"/>
  <c r="AD40" i="18" s="1"/>
  <c r="AA40" i="18"/>
  <c r="AC40" i="18" s="1"/>
  <c r="X40" i="18"/>
  <c r="Z40" i="18" s="1"/>
  <c r="W40" i="18"/>
  <c r="Y40" i="18" s="1"/>
  <c r="T40" i="18"/>
  <c r="V40" i="18" s="1"/>
  <c r="S40" i="18"/>
  <c r="U40" i="18" s="1"/>
  <c r="P40" i="18"/>
  <c r="R40" i="18" s="1"/>
  <c r="O40" i="18"/>
  <c r="Q40" i="18" s="1"/>
  <c r="L40" i="18"/>
  <c r="N40" i="18" s="1"/>
  <c r="K40" i="18"/>
  <c r="M40" i="18" s="1"/>
  <c r="H40" i="18"/>
  <c r="J40" i="18" s="1"/>
  <c r="G40" i="18"/>
  <c r="I40" i="18" s="1"/>
  <c r="E40" i="18"/>
  <c r="D40" i="18"/>
  <c r="C40" i="18"/>
  <c r="AV39" i="18"/>
  <c r="AX39" i="18" s="1"/>
  <c r="AU39" i="18"/>
  <c r="AW39" i="18" s="1"/>
  <c r="AR39" i="18"/>
  <c r="AT39" i="18" s="1"/>
  <c r="AQ39" i="18"/>
  <c r="AS39" i="18" s="1"/>
  <c r="AN39" i="18"/>
  <c r="AP39" i="18" s="1"/>
  <c r="AM39" i="18"/>
  <c r="AO39" i="18" s="1"/>
  <c r="AJ39" i="18"/>
  <c r="AL39" i="18" s="1"/>
  <c r="AI39" i="18"/>
  <c r="AK39" i="18" s="1"/>
  <c r="AF39" i="18"/>
  <c r="AH39" i="18" s="1"/>
  <c r="AE39" i="18"/>
  <c r="AG39" i="18" s="1"/>
  <c r="AB39" i="18"/>
  <c r="AD39" i="18" s="1"/>
  <c r="AA39" i="18"/>
  <c r="AC39" i="18" s="1"/>
  <c r="X39" i="18"/>
  <c r="Z39" i="18" s="1"/>
  <c r="W39" i="18"/>
  <c r="Y39" i="18" s="1"/>
  <c r="T39" i="18"/>
  <c r="V39" i="18" s="1"/>
  <c r="S39" i="18"/>
  <c r="U39" i="18" s="1"/>
  <c r="P39" i="18"/>
  <c r="R39" i="18" s="1"/>
  <c r="O39" i="18"/>
  <c r="Q39" i="18" s="1"/>
  <c r="L39" i="18"/>
  <c r="N39" i="18" s="1"/>
  <c r="K39" i="18"/>
  <c r="M39" i="18" s="1"/>
  <c r="H39" i="18"/>
  <c r="J39" i="18" s="1"/>
  <c r="G39" i="18"/>
  <c r="I39" i="18" s="1"/>
  <c r="E39" i="18"/>
  <c r="D39" i="18"/>
  <c r="C39" i="18"/>
  <c r="AV38" i="18"/>
  <c r="AX38" i="18" s="1"/>
  <c r="AU38" i="18"/>
  <c r="AW38" i="18" s="1"/>
  <c r="AR38" i="18"/>
  <c r="AT38" i="18" s="1"/>
  <c r="AQ38" i="18"/>
  <c r="AS38" i="18" s="1"/>
  <c r="AN38" i="18"/>
  <c r="AP38" i="18" s="1"/>
  <c r="AM38" i="18"/>
  <c r="AO38" i="18" s="1"/>
  <c r="AJ38" i="18"/>
  <c r="AL38" i="18" s="1"/>
  <c r="AI38" i="18"/>
  <c r="AK38" i="18" s="1"/>
  <c r="AF38" i="18"/>
  <c r="AH38" i="18" s="1"/>
  <c r="AE38" i="18"/>
  <c r="AG38" i="18" s="1"/>
  <c r="AB38" i="18"/>
  <c r="AD38" i="18" s="1"/>
  <c r="AA38" i="18"/>
  <c r="AC38" i="18" s="1"/>
  <c r="X38" i="18"/>
  <c r="Z38" i="18" s="1"/>
  <c r="W38" i="18"/>
  <c r="Y38" i="18" s="1"/>
  <c r="T38" i="18"/>
  <c r="V38" i="18" s="1"/>
  <c r="S38" i="18"/>
  <c r="U38" i="18" s="1"/>
  <c r="P38" i="18"/>
  <c r="R38" i="18" s="1"/>
  <c r="O38" i="18"/>
  <c r="Q38" i="18" s="1"/>
  <c r="L38" i="18"/>
  <c r="N38" i="18" s="1"/>
  <c r="K38" i="18"/>
  <c r="M38" i="18" s="1"/>
  <c r="H38" i="18"/>
  <c r="J38" i="18" s="1"/>
  <c r="G38" i="18"/>
  <c r="I38" i="18" s="1"/>
  <c r="E38" i="18"/>
  <c r="D38" i="18"/>
  <c r="C38" i="18"/>
  <c r="AV37" i="18"/>
  <c r="AX37" i="18" s="1"/>
  <c r="AU37" i="18"/>
  <c r="AW37" i="18" s="1"/>
  <c r="AR37" i="18"/>
  <c r="AT37" i="18" s="1"/>
  <c r="AQ37" i="18"/>
  <c r="AS37" i="18" s="1"/>
  <c r="AN37" i="18"/>
  <c r="AP37" i="18" s="1"/>
  <c r="AM37" i="18"/>
  <c r="AO37" i="18" s="1"/>
  <c r="AJ37" i="18"/>
  <c r="AL37" i="18" s="1"/>
  <c r="AI37" i="18"/>
  <c r="AK37" i="18" s="1"/>
  <c r="AF37" i="18"/>
  <c r="AH37" i="18" s="1"/>
  <c r="AE37" i="18"/>
  <c r="AG37" i="18" s="1"/>
  <c r="AB37" i="18"/>
  <c r="AD37" i="18" s="1"/>
  <c r="AA37" i="18"/>
  <c r="AC37" i="18" s="1"/>
  <c r="X37" i="18"/>
  <c r="Z37" i="18" s="1"/>
  <c r="W37" i="18"/>
  <c r="Y37" i="18" s="1"/>
  <c r="T37" i="18"/>
  <c r="V37" i="18" s="1"/>
  <c r="S37" i="18"/>
  <c r="U37" i="18" s="1"/>
  <c r="P37" i="18"/>
  <c r="R37" i="18" s="1"/>
  <c r="O37" i="18"/>
  <c r="Q37" i="18" s="1"/>
  <c r="L37" i="18"/>
  <c r="N37" i="18" s="1"/>
  <c r="K37" i="18"/>
  <c r="M37" i="18" s="1"/>
  <c r="H37" i="18"/>
  <c r="J37" i="18" s="1"/>
  <c r="G37" i="18"/>
  <c r="I37" i="18" s="1"/>
  <c r="E37" i="18"/>
  <c r="D37" i="18"/>
  <c r="C37" i="18"/>
  <c r="AV36" i="18"/>
  <c r="AX36" i="18" s="1"/>
  <c r="AU36" i="18"/>
  <c r="AW36" i="18" s="1"/>
  <c r="AR36" i="18"/>
  <c r="AT36" i="18" s="1"/>
  <c r="AQ36" i="18"/>
  <c r="AS36" i="18" s="1"/>
  <c r="AN36" i="18"/>
  <c r="AP36" i="18" s="1"/>
  <c r="AM36" i="18"/>
  <c r="AO36" i="18" s="1"/>
  <c r="AJ36" i="18"/>
  <c r="AL36" i="18" s="1"/>
  <c r="AI36" i="18"/>
  <c r="AK36" i="18" s="1"/>
  <c r="AF36" i="18"/>
  <c r="AH36" i="18" s="1"/>
  <c r="AE36" i="18"/>
  <c r="AG36" i="18" s="1"/>
  <c r="AB36" i="18"/>
  <c r="AD36" i="18" s="1"/>
  <c r="AA36" i="18"/>
  <c r="AC36" i="18" s="1"/>
  <c r="X36" i="18"/>
  <c r="Z36" i="18" s="1"/>
  <c r="W36" i="18"/>
  <c r="Y36" i="18" s="1"/>
  <c r="T36" i="18"/>
  <c r="V36" i="18" s="1"/>
  <c r="S36" i="18"/>
  <c r="U36" i="18" s="1"/>
  <c r="P36" i="18"/>
  <c r="R36" i="18" s="1"/>
  <c r="O36" i="18"/>
  <c r="Q36" i="18" s="1"/>
  <c r="L36" i="18"/>
  <c r="N36" i="18" s="1"/>
  <c r="K36" i="18"/>
  <c r="M36" i="18" s="1"/>
  <c r="H36" i="18"/>
  <c r="J36" i="18" s="1"/>
  <c r="G36" i="18"/>
  <c r="I36" i="18" s="1"/>
  <c r="E36" i="18"/>
  <c r="D36" i="18"/>
  <c r="C36" i="18"/>
  <c r="AV35" i="18"/>
  <c r="AX35" i="18" s="1"/>
  <c r="AU35" i="18"/>
  <c r="AW35" i="18" s="1"/>
  <c r="AR35" i="18"/>
  <c r="AT35" i="18" s="1"/>
  <c r="AQ35" i="18"/>
  <c r="AS35" i="18" s="1"/>
  <c r="AN35" i="18"/>
  <c r="AP35" i="18" s="1"/>
  <c r="AM35" i="18"/>
  <c r="AO35" i="18" s="1"/>
  <c r="AJ35" i="18"/>
  <c r="AL35" i="18" s="1"/>
  <c r="AI35" i="18"/>
  <c r="AK35" i="18" s="1"/>
  <c r="AF35" i="18"/>
  <c r="AH35" i="18" s="1"/>
  <c r="AE35" i="18"/>
  <c r="AG35" i="18" s="1"/>
  <c r="AB35" i="18"/>
  <c r="AD35" i="18" s="1"/>
  <c r="AA35" i="18"/>
  <c r="AC35" i="18" s="1"/>
  <c r="X35" i="18"/>
  <c r="Z35" i="18" s="1"/>
  <c r="W35" i="18"/>
  <c r="Y35" i="18" s="1"/>
  <c r="T35" i="18"/>
  <c r="V35" i="18" s="1"/>
  <c r="S35" i="18"/>
  <c r="U35" i="18" s="1"/>
  <c r="P35" i="18"/>
  <c r="R35" i="18" s="1"/>
  <c r="O35" i="18"/>
  <c r="Q35" i="18" s="1"/>
  <c r="L35" i="18"/>
  <c r="N35" i="18" s="1"/>
  <c r="K35" i="18"/>
  <c r="M35" i="18" s="1"/>
  <c r="H35" i="18"/>
  <c r="J35" i="18" s="1"/>
  <c r="G35" i="18"/>
  <c r="I35" i="18" s="1"/>
  <c r="E35" i="18"/>
  <c r="D35" i="18"/>
  <c r="C35" i="18"/>
  <c r="AV34" i="18"/>
  <c r="AX34" i="18" s="1"/>
  <c r="AU34" i="18"/>
  <c r="AW34" i="18" s="1"/>
  <c r="AR34" i="18"/>
  <c r="AT34" i="18" s="1"/>
  <c r="AQ34" i="18"/>
  <c r="AS34" i="18" s="1"/>
  <c r="AN34" i="18"/>
  <c r="AP34" i="18" s="1"/>
  <c r="AM34" i="18"/>
  <c r="AO34" i="18" s="1"/>
  <c r="AJ34" i="18"/>
  <c r="AL34" i="18" s="1"/>
  <c r="AI34" i="18"/>
  <c r="AK34" i="18" s="1"/>
  <c r="AF34" i="18"/>
  <c r="AH34" i="18" s="1"/>
  <c r="AE34" i="18"/>
  <c r="AG34" i="18" s="1"/>
  <c r="AB34" i="18"/>
  <c r="AD34" i="18" s="1"/>
  <c r="AA34" i="18"/>
  <c r="AC34" i="18" s="1"/>
  <c r="X34" i="18"/>
  <c r="Z34" i="18" s="1"/>
  <c r="W34" i="18"/>
  <c r="Y34" i="18" s="1"/>
  <c r="T34" i="18"/>
  <c r="V34" i="18" s="1"/>
  <c r="S34" i="18"/>
  <c r="U34" i="18" s="1"/>
  <c r="P34" i="18"/>
  <c r="R34" i="18" s="1"/>
  <c r="O34" i="18"/>
  <c r="Q34" i="18" s="1"/>
  <c r="L34" i="18"/>
  <c r="N34" i="18" s="1"/>
  <c r="K34" i="18"/>
  <c r="M34" i="18" s="1"/>
  <c r="H34" i="18"/>
  <c r="J34" i="18" s="1"/>
  <c r="G34" i="18"/>
  <c r="I34" i="18" s="1"/>
  <c r="E34" i="18"/>
  <c r="D34" i="18"/>
  <c r="C34" i="18"/>
  <c r="AV33" i="18"/>
  <c r="AX33" i="18" s="1"/>
  <c r="AU33" i="18"/>
  <c r="AW33" i="18" s="1"/>
  <c r="AR33" i="18"/>
  <c r="AT33" i="18" s="1"/>
  <c r="AQ33" i="18"/>
  <c r="AS33" i="18" s="1"/>
  <c r="AN33" i="18"/>
  <c r="AP33" i="18" s="1"/>
  <c r="AM33" i="18"/>
  <c r="AO33" i="18" s="1"/>
  <c r="AJ33" i="18"/>
  <c r="AL33" i="18" s="1"/>
  <c r="AI33" i="18"/>
  <c r="AK33" i="18" s="1"/>
  <c r="AF33" i="18"/>
  <c r="AH33" i="18" s="1"/>
  <c r="AE33" i="18"/>
  <c r="AG33" i="18" s="1"/>
  <c r="AB33" i="18"/>
  <c r="AD33" i="18" s="1"/>
  <c r="AA33" i="18"/>
  <c r="AC33" i="18" s="1"/>
  <c r="X33" i="18"/>
  <c r="Z33" i="18" s="1"/>
  <c r="W33" i="18"/>
  <c r="Y33" i="18" s="1"/>
  <c r="T33" i="18"/>
  <c r="V33" i="18" s="1"/>
  <c r="S33" i="18"/>
  <c r="U33" i="18" s="1"/>
  <c r="P33" i="18"/>
  <c r="R33" i="18" s="1"/>
  <c r="O33" i="18"/>
  <c r="Q33" i="18" s="1"/>
  <c r="L33" i="18"/>
  <c r="N33" i="18" s="1"/>
  <c r="K33" i="18"/>
  <c r="M33" i="18" s="1"/>
  <c r="H33" i="18"/>
  <c r="J33" i="18" s="1"/>
  <c r="G33" i="18"/>
  <c r="I33" i="18" s="1"/>
  <c r="E33" i="18"/>
  <c r="D33" i="18"/>
  <c r="C33" i="18"/>
  <c r="AV32" i="18"/>
  <c r="AX32" i="18" s="1"/>
  <c r="AU32" i="18"/>
  <c r="AW32" i="18" s="1"/>
  <c r="AR32" i="18"/>
  <c r="AT32" i="18" s="1"/>
  <c r="AQ32" i="18"/>
  <c r="AS32" i="18" s="1"/>
  <c r="AN32" i="18"/>
  <c r="AP32" i="18" s="1"/>
  <c r="AM32" i="18"/>
  <c r="AO32" i="18" s="1"/>
  <c r="AJ32" i="18"/>
  <c r="AL32" i="18" s="1"/>
  <c r="AI32" i="18"/>
  <c r="AK32" i="18" s="1"/>
  <c r="AF32" i="18"/>
  <c r="AH32" i="18" s="1"/>
  <c r="AE32" i="18"/>
  <c r="AG32" i="18" s="1"/>
  <c r="AB32" i="18"/>
  <c r="AD32" i="18" s="1"/>
  <c r="AA32" i="18"/>
  <c r="AC32" i="18" s="1"/>
  <c r="X32" i="18"/>
  <c r="Z32" i="18" s="1"/>
  <c r="W32" i="18"/>
  <c r="Y32" i="18" s="1"/>
  <c r="T32" i="18"/>
  <c r="V32" i="18" s="1"/>
  <c r="S32" i="18"/>
  <c r="U32" i="18" s="1"/>
  <c r="P32" i="18"/>
  <c r="R32" i="18" s="1"/>
  <c r="O32" i="18"/>
  <c r="Q32" i="18" s="1"/>
  <c r="L32" i="18"/>
  <c r="N32" i="18" s="1"/>
  <c r="K32" i="18"/>
  <c r="M32" i="18" s="1"/>
  <c r="H32" i="18"/>
  <c r="J32" i="18" s="1"/>
  <c r="G32" i="18"/>
  <c r="I32" i="18" s="1"/>
  <c r="E32" i="18"/>
  <c r="D32" i="18"/>
  <c r="C32" i="18"/>
  <c r="AV31" i="18"/>
  <c r="AX31" i="18" s="1"/>
  <c r="AU31" i="18"/>
  <c r="AW31" i="18" s="1"/>
  <c r="AR31" i="18"/>
  <c r="AT31" i="18" s="1"/>
  <c r="AQ31" i="18"/>
  <c r="AS31" i="18" s="1"/>
  <c r="AN31" i="18"/>
  <c r="AP31" i="18" s="1"/>
  <c r="AM31" i="18"/>
  <c r="AO31" i="18" s="1"/>
  <c r="AJ31" i="18"/>
  <c r="AL31" i="18" s="1"/>
  <c r="AI31" i="18"/>
  <c r="AK31" i="18" s="1"/>
  <c r="AF31" i="18"/>
  <c r="AH31" i="18" s="1"/>
  <c r="AE31" i="18"/>
  <c r="AG31" i="18" s="1"/>
  <c r="AB31" i="18"/>
  <c r="AD31" i="18" s="1"/>
  <c r="AA31" i="18"/>
  <c r="AC31" i="18" s="1"/>
  <c r="X31" i="18"/>
  <c r="Z31" i="18" s="1"/>
  <c r="W31" i="18"/>
  <c r="Y31" i="18" s="1"/>
  <c r="T31" i="18"/>
  <c r="V31" i="18" s="1"/>
  <c r="S31" i="18"/>
  <c r="U31" i="18" s="1"/>
  <c r="P31" i="18"/>
  <c r="R31" i="18" s="1"/>
  <c r="O31" i="18"/>
  <c r="Q31" i="18" s="1"/>
  <c r="L31" i="18"/>
  <c r="N31" i="18" s="1"/>
  <c r="K31" i="18"/>
  <c r="M31" i="18" s="1"/>
  <c r="H31" i="18"/>
  <c r="J31" i="18" s="1"/>
  <c r="G31" i="18"/>
  <c r="I31" i="18" s="1"/>
  <c r="E31" i="18"/>
  <c r="D31" i="18"/>
  <c r="C31" i="18"/>
  <c r="AV30" i="18"/>
  <c r="AX30" i="18" s="1"/>
  <c r="AU30" i="18"/>
  <c r="AW30" i="18" s="1"/>
  <c r="AR30" i="18"/>
  <c r="AT30" i="18" s="1"/>
  <c r="AQ30" i="18"/>
  <c r="AS30" i="18" s="1"/>
  <c r="AN30" i="18"/>
  <c r="AP30" i="18" s="1"/>
  <c r="AM30" i="18"/>
  <c r="AO30" i="18" s="1"/>
  <c r="AJ30" i="18"/>
  <c r="AL30" i="18" s="1"/>
  <c r="AI30" i="18"/>
  <c r="AK30" i="18" s="1"/>
  <c r="AF30" i="18"/>
  <c r="AH30" i="18" s="1"/>
  <c r="AE30" i="18"/>
  <c r="AG30" i="18" s="1"/>
  <c r="AB30" i="18"/>
  <c r="AD30" i="18" s="1"/>
  <c r="AA30" i="18"/>
  <c r="AC30" i="18" s="1"/>
  <c r="X30" i="18"/>
  <c r="Z30" i="18" s="1"/>
  <c r="W30" i="18"/>
  <c r="Y30" i="18" s="1"/>
  <c r="T30" i="18"/>
  <c r="V30" i="18" s="1"/>
  <c r="S30" i="18"/>
  <c r="U30" i="18" s="1"/>
  <c r="P30" i="18"/>
  <c r="R30" i="18" s="1"/>
  <c r="O30" i="18"/>
  <c r="Q30" i="18" s="1"/>
  <c r="L30" i="18"/>
  <c r="N30" i="18" s="1"/>
  <c r="K30" i="18"/>
  <c r="M30" i="18" s="1"/>
  <c r="H30" i="18"/>
  <c r="J30" i="18" s="1"/>
  <c r="G30" i="18"/>
  <c r="I30" i="18" s="1"/>
  <c r="E30" i="18"/>
  <c r="D30" i="18"/>
  <c r="C30" i="18"/>
  <c r="AV29" i="18"/>
  <c r="AX29" i="18" s="1"/>
  <c r="AU29" i="18"/>
  <c r="AW29" i="18" s="1"/>
  <c r="AR29" i="18"/>
  <c r="AT29" i="18" s="1"/>
  <c r="AQ29" i="18"/>
  <c r="AS29" i="18" s="1"/>
  <c r="AN29" i="18"/>
  <c r="AP29" i="18" s="1"/>
  <c r="AM29" i="18"/>
  <c r="AO29" i="18" s="1"/>
  <c r="AJ29" i="18"/>
  <c r="AL29" i="18" s="1"/>
  <c r="AI29" i="18"/>
  <c r="AK29" i="18" s="1"/>
  <c r="AF29" i="18"/>
  <c r="AH29" i="18" s="1"/>
  <c r="AE29" i="18"/>
  <c r="AG29" i="18" s="1"/>
  <c r="AB29" i="18"/>
  <c r="AD29" i="18" s="1"/>
  <c r="AA29" i="18"/>
  <c r="AC29" i="18" s="1"/>
  <c r="X29" i="18"/>
  <c r="Z29" i="18" s="1"/>
  <c r="W29" i="18"/>
  <c r="Y29" i="18" s="1"/>
  <c r="T29" i="18"/>
  <c r="V29" i="18" s="1"/>
  <c r="S29" i="18"/>
  <c r="U29" i="18" s="1"/>
  <c r="P29" i="18"/>
  <c r="R29" i="18" s="1"/>
  <c r="O29" i="18"/>
  <c r="Q29" i="18" s="1"/>
  <c r="L29" i="18"/>
  <c r="N29" i="18" s="1"/>
  <c r="K29" i="18"/>
  <c r="M29" i="18" s="1"/>
  <c r="H29" i="18"/>
  <c r="J29" i="18" s="1"/>
  <c r="G29" i="18"/>
  <c r="I29" i="18" s="1"/>
  <c r="E29" i="18"/>
  <c r="D29" i="18"/>
  <c r="C29" i="18"/>
  <c r="AV28" i="18"/>
  <c r="AX28" i="18" s="1"/>
  <c r="AU28" i="18"/>
  <c r="AW28" i="18" s="1"/>
  <c r="AR28" i="18"/>
  <c r="AT28" i="18" s="1"/>
  <c r="AQ28" i="18"/>
  <c r="AS28" i="18" s="1"/>
  <c r="AN28" i="18"/>
  <c r="AP28" i="18" s="1"/>
  <c r="AM28" i="18"/>
  <c r="AO28" i="18" s="1"/>
  <c r="AJ28" i="18"/>
  <c r="AL28" i="18" s="1"/>
  <c r="AI28" i="18"/>
  <c r="AK28" i="18" s="1"/>
  <c r="AF28" i="18"/>
  <c r="AH28" i="18" s="1"/>
  <c r="AE28" i="18"/>
  <c r="AG28" i="18" s="1"/>
  <c r="AB28" i="18"/>
  <c r="AD28" i="18" s="1"/>
  <c r="AA28" i="18"/>
  <c r="AC28" i="18" s="1"/>
  <c r="X28" i="18"/>
  <c r="Z28" i="18" s="1"/>
  <c r="W28" i="18"/>
  <c r="Y28" i="18" s="1"/>
  <c r="T28" i="18"/>
  <c r="V28" i="18" s="1"/>
  <c r="S28" i="18"/>
  <c r="U28" i="18" s="1"/>
  <c r="P28" i="18"/>
  <c r="R28" i="18" s="1"/>
  <c r="O28" i="18"/>
  <c r="Q28" i="18" s="1"/>
  <c r="L28" i="18"/>
  <c r="N28" i="18" s="1"/>
  <c r="K28" i="18"/>
  <c r="M28" i="18" s="1"/>
  <c r="H28" i="18"/>
  <c r="J28" i="18" s="1"/>
  <c r="G28" i="18"/>
  <c r="I28" i="18" s="1"/>
  <c r="E28" i="18"/>
  <c r="D28" i="18"/>
  <c r="C28" i="18"/>
  <c r="AV27" i="18"/>
  <c r="AX27" i="18" s="1"/>
  <c r="AU27" i="18"/>
  <c r="AW27" i="18" s="1"/>
  <c r="AR27" i="18"/>
  <c r="AT27" i="18" s="1"/>
  <c r="AQ27" i="18"/>
  <c r="AS27" i="18" s="1"/>
  <c r="AN27" i="18"/>
  <c r="AP27" i="18" s="1"/>
  <c r="AM27" i="18"/>
  <c r="AO27" i="18" s="1"/>
  <c r="AJ27" i="18"/>
  <c r="AL27" i="18" s="1"/>
  <c r="AI27" i="18"/>
  <c r="AK27" i="18" s="1"/>
  <c r="AF27" i="18"/>
  <c r="AH27" i="18" s="1"/>
  <c r="AE27" i="18"/>
  <c r="AG27" i="18" s="1"/>
  <c r="AB27" i="18"/>
  <c r="AD27" i="18" s="1"/>
  <c r="AA27" i="18"/>
  <c r="AC27" i="18" s="1"/>
  <c r="X27" i="18"/>
  <c r="Z27" i="18" s="1"/>
  <c r="W27" i="18"/>
  <c r="Y27" i="18" s="1"/>
  <c r="T27" i="18"/>
  <c r="V27" i="18" s="1"/>
  <c r="S27" i="18"/>
  <c r="U27" i="18" s="1"/>
  <c r="P27" i="18"/>
  <c r="R27" i="18" s="1"/>
  <c r="O27" i="18"/>
  <c r="Q27" i="18" s="1"/>
  <c r="L27" i="18"/>
  <c r="N27" i="18" s="1"/>
  <c r="K27" i="18"/>
  <c r="M27" i="18" s="1"/>
  <c r="H27" i="18"/>
  <c r="J27" i="18" s="1"/>
  <c r="G27" i="18"/>
  <c r="I27" i="18" s="1"/>
  <c r="E27" i="18"/>
  <c r="D27" i="18"/>
  <c r="C27" i="18"/>
  <c r="AV26" i="18"/>
  <c r="AX26" i="18" s="1"/>
  <c r="AU26" i="18"/>
  <c r="AW26" i="18" s="1"/>
  <c r="AR26" i="18"/>
  <c r="AT26" i="18" s="1"/>
  <c r="AQ26" i="18"/>
  <c r="AS26" i="18" s="1"/>
  <c r="AN26" i="18"/>
  <c r="AP26" i="18" s="1"/>
  <c r="AM26" i="18"/>
  <c r="AO26" i="18" s="1"/>
  <c r="AJ26" i="18"/>
  <c r="AL26" i="18" s="1"/>
  <c r="AI26" i="18"/>
  <c r="AK26" i="18" s="1"/>
  <c r="AF26" i="18"/>
  <c r="AH26" i="18" s="1"/>
  <c r="AE26" i="18"/>
  <c r="AG26" i="18" s="1"/>
  <c r="AB26" i="18"/>
  <c r="AD26" i="18" s="1"/>
  <c r="AA26" i="18"/>
  <c r="AC26" i="18" s="1"/>
  <c r="X26" i="18"/>
  <c r="Z26" i="18" s="1"/>
  <c r="W26" i="18"/>
  <c r="Y26" i="18" s="1"/>
  <c r="T26" i="18"/>
  <c r="V26" i="18" s="1"/>
  <c r="S26" i="18"/>
  <c r="U26" i="18" s="1"/>
  <c r="P26" i="18"/>
  <c r="R26" i="18" s="1"/>
  <c r="O26" i="18"/>
  <c r="Q26" i="18" s="1"/>
  <c r="L26" i="18"/>
  <c r="N26" i="18" s="1"/>
  <c r="K26" i="18"/>
  <c r="M26" i="18" s="1"/>
  <c r="H26" i="18"/>
  <c r="J26" i="18" s="1"/>
  <c r="G26" i="18"/>
  <c r="I26" i="18" s="1"/>
  <c r="E26" i="18"/>
  <c r="D26" i="18"/>
  <c r="C26" i="18"/>
  <c r="AV25" i="18"/>
  <c r="AX25" i="18" s="1"/>
  <c r="AU25" i="18"/>
  <c r="AW25" i="18" s="1"/>
  <c r="AR25" i="18"/>
  <c r="AT25" i="18" s="1"/>
  <c r="AQ25" i="18"/>
  <c r="AS25" i="18" s="1"/>
  <c r="AN25" i="18"/>
  <c r="AP25" i="18" s="1"/>
  <c r="AM25" i="18"/>
  <c r="AO25" i="18" s="1"/>
  <c r="AJ25" i="18"/>
  <c r="AL25" i="18" s="1"/>
  <c r="AI25" i="18"/>
  <c r="AK25" i="18" s="1"/>
  <c r="AF25" i="18"/>
  <c r="AH25" i="18" s="1"/>
  <c r="AE25" i="18"/>
  <c r="AG25" i="18" s="1"/>
  <c r="AB25" i="18"/>
  <c r="AD25" i="18" s="1"/>
  <c r="AA25" i="18"/>
  <c r="AC25" i="18" s="1"/>
  <c r="X25" i="18"/>
  <c r="Z25" i="18" s="1"/>
  <c r="W25" i="18"/>
  <c r="Y25" i="18" s="1"/>
  <c r="T25" i="18"/>
  <c r="V25" i="18" s="1"/>
  <c r="S25" i="18"/>
  <c r="U25" i="18" s="1"/>
  <c r="P25" i="18"/>
  <c r="R25" i="18" s="1"/>
  <c r="O25" i="18"/>
  <c r="Q25" i="18" s="1"/>
  <c r="L25" i="18"/>
  <c r="N25" i="18" s="1"/>
  <c r="K25" i="18"/>
  <c r="M25" i="18" s="1"/>
  <c r="H25" i="18"/>
  <c r="J25" i="18" s="1"/>
  <c r="G25" i="18"/>
  <c r="I25" i="18" s="1"/>
  <c r="E25" i="18"/>
  <c r="D25" i="18"/>
  <c r="C25" i="18"/>
  <c r="AV24" i="18"/>
  <c r="AX24" i="18" s="1"/>
  <c r="AU24" i="18"/>
  <c r="AW24" i="18" s="1"/>
  <c r="AR24" i="18"/>
  <c r="AT24" i="18" s="1"/>
  <c r="AQ24" i="18"/>
  <c r="AS24" i="18" s="1"/>
  <c r="AN24" i="18"/>
  <c r="AP24" i="18" s="1"/>
  <c r="AM24" i="18"/>
  <c r="AO24" i="18" s="1"/>
  <c r="AJ24" i="18"/>
  <c r="AL24" i="18" s="1"/>
  <c r="AI24" i="18"/>
  <c r="AK24" i="18" s="1"/>
  <c r="AF24" i="18"/>
  <c r="AH24" i="18" s="1"/>
  <c r="AE24" i="18"/>
  <c r="AG24" i="18" s="1"/>
  <c r="AB24" i="18"/>
  <c r="AD24" i="18" s="1"/>
  <c r="AA24" i="18"/>
  <c r="AC24" i="18" s="1"/>
  <c r="X24" i="18"/>
  <c r="Z24" i="18" s="1"/>
  <c r="W24" i="18"/>
  <c r="Y24" i="18" s="1"/>
  <c r="T24" i="18"/>
  <c r="V24" i="18" s="1"/>
  <c r="S24" i="18"/>
  <c r="U24" i="18" s="1"/>
  <c r="P24" i="18"/>
  <c r="R24" i="18" s="1"/>
  <c r="O24" i="18"/>
  <c r="Q24" i="18" s="1"/>
  <c r="L24" i="18"/>
  <c r="N24" i="18" s="1"/>
  <c r="K24" i="18"/>
  <c r="M24" i="18" s="1"/>
  <c r="H24" i="18"/>
  <c r="J24" i="18" s="1"/>
  <c r="G24" i="18"/>
  <c r="I24" i="18" s="1"/>
  <c r="E24" i="18"/>
  <c r="D24" i="18"/>
  <c r="C24" i="18"/>
  <c r="AV23" i="18"/>
  <c r="AX23" i="18" s="1"/>
  <c r="AU23" i="18"/>
  <c r="AW23" i="18" s="1"/>
  <c r="AR23" i="18"/>
  <c r="AT23" i="18" s="1"/>
  <c r="AQ23" i="18"/>
  <c r="AS23" i="18" s="1"/>
  <c r="AN23" i="18"/>
  <c r="AP23" i="18" s="1"/>
  <c r="AM23" i="18"/>
  <c r="AO23" i="18" s="1"/>
  <c r="AJ23" i="18"/>
  <c r="AL23" i="18" s="1"/>
  <c r="AI23" i="18"/>
  <c r="AK23" i="18" s="1"/>
  <c r="AF23" i="18"/>
  <c r="AH23" i="18" s="1"/>
  <c r="AE23" i="18"/>
  <c r="AG23" i="18" s="1"/>
  <c r="AB23" i="18"/>
  <c r="AD23" i="18" s="1"/>
  <c r="AA23" i="18"/>
  <c r="AC23" i="18" s="1"/>
  <c r="X23" i="18"/>
  <c r="Z23" i="18" s="1"/>
  <c r="W23" i="18"/>
  <c r="Y23" i="18" s="1"/>
  <c r="T23" i="18"/>
  <c r="V23" i="18" s="1"/>
  <c r="S23" i="18"/>
  <c r="U23" i="18" s="1"/>
  <c r="P23" i="18"/>
  <c r="R23" i="18" s="1"/>
  <c r="O23" i="18"/>
  <c r="Q23" i="18" s="1"/>
  <c r="L23" i="18"/>
  <c r="N23" i="18" s="1"/>
  <c r="K23" i="18"/>
  <c r="M23" i="18" s="1"/>
  <c r="H23" i="18"/>
  <c r="J23" i="18" s="1"/>
  <c r="G23" i="18"/>
  <c r="I23" i="18" s="1"/>
  <c r="E23" i="18"/>
  <c r="D23" i="18"/>
  <c r="C23" i="18"/>
  <c r="AV22" i="18"/>
  <c r="AX22" i="18" s="1"/>
  <c r="AU22" i="18"/>
  <c r="AW22" i="18" s="1"/>
  <c r="AR22" i="18"/>
  <c r="AT22" i="18" s="1"/>
  <c r="AQ22" i="18"/>
  <c r="AS22" i="18" s="1"/>
  <c r="AN22" i="18"/>
  <c r="AP22" i="18" s="1"/>
  <c r="AM22" i="18"/>
  <c r="AO22" i="18" s="1"/>
  <c r="AJ22" i="18"/>
  <c r="AL22" i="18" s="1"/>
  <c r="AI22" i="18"/>
  <c r="AK22" i="18" s="1"/>
  <c r="AF22" i="18"/>
  <c r="AH22" i="18" s="1"/>
  <c r="AE22" i="18"/>
  <c r="AG22" i="18" s="1"/>
  <c r="AB22" i="18"/>
  <c r="AD22" i="18" s="1"/>
  <c r="AA22" i="18"/>
  <c r="AC22" i="18" s="1"/>
  <c r="X22" i="18"/>
  <c r="Z22" i="18" s="1"/>
  <c r="W22" i="18"/>
  <c r="Y22" i="18" s="1"/>
  <c r="T22" i="18"/>
  <c r="V22" i="18" s="1"/>
  <c r="S22" i="18"/>
  <c r="U22" i="18" s="1"/>
  <c r="P22" i="18"/>
  <c r="R22" i="18" s="1"/>
  <c r="O22" i="18"/>
  <c r="Q22" i="18" s="1"/>
  <c r="L22" i="18"/>
  <c r="N22" i="18" s="1"/>
  <c r="K22" i="18"/>
  <c r="M22" i="18" s="1"/>
  <c r="H22" i="18"/>
  <c r="J22" i="18" s="1"/>
  <c r="G22" i="18"/>
  <c r="I22" i="18" s="1"/>
  <c r="E22" i="18"/>
  <c r="D22" i="18"/>
  <c r="C22" i="18"/>
  <c r="AV21" i="18"/>
  <c r="AX21" i="18" s="1"/>
  <c r="AU21" i="18"/>
  <c r="AW21" i="18" s="1"/>
  <c r="AR21" i="18"/>
  <c r="AT21" i="18" s="1"/>
  <c r="AQ21" i="18"/>
  <c r="AS21" i="18" s="1"/>
  <c r="AN21" i="18"/>
  <c r="AP21" i="18" s="1"/>
  <c r="AM21" i="18"/>
  <c r="AO21" i="18" s="1"/>
  <c r="AJ21" i="18"/>
  <c r="AL21" i="18" s="1"/>
  <c r="AI21" i="18"/>
  <c r="AK21" i="18" s="1"/>
  <c r="AF21" i="18"/>
  <c r="AH21" i="18" s="1"/>
  <c r="AE21" i="18"/>
  <c r="AG21" i="18" s="1"/>
  <c r="AB21" i="18"/>
  <c r="AD21" i="18" s="1"/>
  <c r="AA21" i="18"/>
  <c r="AC21" i="18" s="1"/>
  <c r="X21" i="18"/>
  <c r="Z21" i="18" s="1"/>
  <c r="W21" i="18"/>
  <c r="Y21" i="18" s="1"/>
  <c r="T21" i="18"/>
  <c r="V21" i="18" s="1"/>
  <c r="S21" i="18"/>
  <c r="U21" i="18" s="1"/>
  <c r="P21" i="18"/>
  <c r="R21" i="18" s="1"/>
  <c r="O21" i="18"/>
  <c r="Q21" i="18" s="1"/>
  <c r="L21" i="18"/>
  <c r="N21" i="18" s="1"/>
  <c r="K21" i="18"/>
  <c r="M21" i="18" s="1"/>
  <c r="H21" i="18"/>
  <c r="J21" i="18" s="1"/>
  <c r="G21" i="18"/>
  <c r="I21" i="18" s="1"/>
  <c r="E21" i="18"/>
  <c r="D21" i="18"/>
  <c r="C21" i="18"/>
  <c r="AV20" i="18"/>
  <c r="AX20" i="18" s="1"/>
  <c r="AU20" i="18"/>
  <c r="AW20" i="18" s="1"/>
  <c r="AR20" i="18"/>
  <c r="AT20" i="18" s="1"/>
  <c r="AQ20" i="18"/>
  <c r="AS20" i="18" s="1"/>
  <c r="AN20" i="18"/>
  <c r="AP20" i="18" s="1"/>
  <c r="AM20" i="18"/>
  <c r="AO20" i="18" s="1"/>
  <c r="AJ20" i="18"/>
  <c r="AL20" i="18" s="1"/>
  <c r="AI20" i="18"/>
  <c r="AK20" i="18" s="1"/>
  <c r="AF20" i="18"/>
  <c r="AH20" i="18" s="1"/>
  <c r="AE20" i="18"/>
  <c r="AG20" i="18" s="1"/>
  <c r="AB20" i="18"/>
  <c r="AD20" i="18" s="1"/>
  <c r="AA20" i="18"/>
  <c r="AC20" i="18" s="1"/>
  <c r="X20" i="18"/>
  <c r="Z20" i="18" s="1"/>
  <c r="W20" i="18"/>
  <c r="Y20" i="18" s="1"/>
  <c r="T20" i="18"/>
  <c r="V20" i="18" s="1"/>
  <c r="S20" i="18"/>
  <c r="U20" i="18" s="1"/>
  <c r="P20" i="18"/>
  <c r="R20" i="18" s="1"/>
  <c r="O20" i="18"/>
  <c r="Q20" i="18" s="1"/>
  <c r="L20" i="18"/>
  <c r="N20" i="18" s="1"/>
  <c r="K20" i="18"/>
  <c r="M20" i="18" s="1"/>
  <c r="H20" i="18"/>
  <c r="J20" i="18" s="1"/>
  <c r="G20" i="18"/>
  <c r="I20" i="18" s="1"/>
  <c r="E20" i="18"/>
  <c r="D20" i="18"/>
  <c r="C20" i="18"/>
  <c r="AV19" i="18"/>
  <c r="AX19" i="18" s="1"/>
  <c r="AU19" i="18"/>
  <c r="AW19" i="18" s="1"/>
  <c r="AR19" i="18"/>
  <c r="AT19" i="18" s="1"/>
  <c r="AQ19" i="18"/>
  <c r="AS19" i="18" s="1"/>
  <c r="AN19" i="18"/>
  <c r="AP19" i="18" s="1"/>
  <c r="AM19" i="18"/>
  <c r="AO19" i="18" s="1"/>
  <c r="AJ19" i="18"/>
  <c r="AL19" i="18" s="1"/>
  <c r="AI19" i="18"/>
  <c r="AK19" i="18" s="1"/>
  <c r="AF19" i="18"/>
  <c r="AH19" i="18" s="1"/>
  <c r="AE19" i="18"/>
  <c r="AG19" i="18" s="1"/>
  <c r="AB19" i="18"/>
  <c r="AD19" i="18" s="1"/>
  <c r="AA19" i="18"/>
  <c r="AC19" i="18" s="1"/>
  <c r="X19" i="18"/>
  <c r="Z19" i="18" s="1"/>
  <c r="W19" i="18"/>
  <c r="Y19" i="18" s="1"/>
  <c r="T19" i="18"/>
  <c r="V19" i="18" s="1"/>
  <c r="S19" i="18"/>
  <c r="U19" i="18" s="1"/>
  <c r="P19" i="18"/>
  <c r="R19" i="18" s="1"/>
  <c r="O19" i="18"/>
  <c r="Q19" i="18" s="1"/>
  <c r="L19" i="18"/>
  <c r="N19" i="18" s="1"/>
  <c r="K19" i="18"/>
  <c r="M19" i="18" s="1"/>
  <c r="H19" i="18"/>
  <c r="J19" i="18" s="1"/>
  <c r="G19" i="18"/>
  <c r="I19" i="18" s="1"/>
  <c r="E19" i="18"/>
  <c r="D19" i="18"/>
  <c r="C19" i="18"/>
  <c r="AV18" i="18"/>
  <c r="AX18" i="18" s="1"/>
  <c r="AU18" i="18"/>
  <c r="AW18" i="18" s="1"/>
  <c r="AR18" i="18"/>
  <c r="AT18" i="18" s="1"/>
  <c r="AQ18" i="18"/>
  <c r="AS18" i="18" s="1"/>
  <c r="AN18" i="18"/>
  <c r="AP18" i="18" s="1"/>
  <c r="AM18" i="18"/>
  <c r="AO18" i="18" s="1"/>
  <c r="AJ18" i="18"/>
  <c r="AL18" i="18" s="1"/>
  <c r="AI18" i="18"/>
  <c r="AK18" i="18" s="1"/>
  <c r="AF18" i="18"/>
  <c r="AH18" i="18" s="1"/>
  <c r="AE18" i="18"/>
  <c r="AG18" i="18" s="1"/>
  <c r="AB18" i="18"/>
  <c r="AD18" i="18" s="1"/>
  <c r="AA18" i="18"/>
  <c r="AC18" i="18" s="1"/>
  <c r="X18" i="18"/>
  <c r="Z18" i="18" s="1"/>
  <c r="W18" i="18"/>
  <c r="Y18" i="18" s="1"/>
  <c r="T18" i="18"/>
  <c r="V18" i="18" s="1"/>
  <c r="S18" i="18"/>
  <c r="U18" i="18" s="1"/>
  <c r="P18" i="18"/>
  <c r="R18" i="18" s="1"/>
  <c r="O18" i="18"/>
  <c r="Q18" i="18" s="1"/>
  <c r="L18" i="18"/>
  <c r="N18" i="18" s="1"/>
  <c r="K18" i="18"/>
  <c r="M18" i="18" s="1"/>
  <c r="H18" i="18"/>
  <c r="J18" i="18" s="1"/>
  <c r="G18" i="18"/>
  <c r="I18" i="18" s="1"/>
  <c r="E18" i="18"/>
  <c r="D18" i="18"/>
  <c r="C18" i="18"/>
  <c r="AV17" i="18"/>
  <c r="AX17" i="18" s="1"/>
  <c r="AU17" i="18"/>
  <c r="AW17" i="18" s="1"/>
  <c r="AR17" i="18"/>
  <c r="AT17" i="18" s="1"/>
  <c r="AQ17" i="18"/>
  <c r="AS17" i="18" s="1"/>
  <c r="AN17" i="18"/>
  <c r="AP17" i="18" s="1"/>
  <c r="AM17" i="18"/>
  <c r="AO17" i="18" s="1"/>
  <c r="AJ17" i="18"/>
  <c r="AL17" i="18" s="1"/>
  <c r="AI17" i="18"/>
  <c r="AK17" i="18" s="1"/>
  <c r="AF17" i="18"/>
  <c r="AH17" i="18" s="1"/>
  <c r="AE17" i="18"/>
  <c r="AG17" i="18" s="1"/>
  <c r="AB17" i="18"/>
  <c r="AD17" i="18" s="1"/>
  <c r="AA17" i="18"/>
  <c r="AC17" i="18" s="1"/>
  <c r="X17" i="18"/>
  <c r="Z17" i="18" s="1"/>
  <c r="W17" i="18"/>
  <c r="Y17" i="18" s="1"/>
  <c r="T17" i="18"/>
  <c r="V17" i="18" s="1"/>
  <c r="S17" i="18"/>
  <c r="U17" i="18" s="1"/>
  <c r="P17" i="18"/>
  <c r="R17" i="18" s="1"/>
  <c r="O17" i="18"/>
  <c r="Q17" i="18" s="1"/>
  <c r="L17" i="18"/>
  <c r="N17" i="18" s="1"/>
  <c r="K17" i="18"/>
  <c r="M17" i="18" s="1"/>
  <c r="H17" i="18"/>
  <c r="J17" i="18" s="1"/>
  <c r="G17" i="18"/>
  <c r="I17" i="18" s="1"/>
  <c r="E17" i="18"/>
  <c r="D17" i="18"/>
  <c r="C17" i="18"/>
  <c r="AV16" i="18"/>
  <c r="AX16" i="18" s="1"/>
  <c r="AU16" i="18"/>
  <c r="AW16" i="18" s="1"/>
  <c r="AR16" i="18"/>
  <c r="AT16" i="18" s="1"/>
  <c r="AQ16" i="18"/>
  <c r="AS16" i="18" s="1"/>
  <c r="AN16" i="18"/>
  <c r="AP16" i="18" s="1"/>
  <c r="AM16" i="18"/>
  <c r="AO16" i="18" s="1"/>
  <c r="AJ16" i="18"/>
  <c r="AL16" i="18" s="1"/>
  <c r="AI16" i="18"/>
  <c r="AK16" i="18" s="1"/>
  <c r="AF16" i="18"/>
  <c r="AH16" i="18" s="1"/>
  <c r="AE16" i="18"/>
  <c r="AG16" i="18" s="1"/>
  <c r="AB16" i="18"/>
  <c r="AD16" i="18" s="1"/>
  <c r="AA16" i="18"/>
  <c r="AC16" i="18" s="1"/>
  <c r="X16" i="18"/>
  <c r="Z16" i="18" s="1"/>
  <c r="W16" i="18"/>
  <c r="Y16" i="18" s="1"/>
  <c r="T16" i="18"/>
  <c r="V16" i="18" s="1"/>
  <c r="S16" i="18"/>
  <c r="U16" i="18" s="1"/>
  <c r="P16" i="18"/>
  <c r="R16" i="18" s="1"/>
  <c r="O16" i="18"/>
  <c r="Q16" i="18" s="1"/>
  <c r="L16" i="18"/>
  <c r="N16" i="18" s="1"/>
  <c r="K16" i="18"/>
  <c r="M16" i="18" s="1"/>
  <c r="H16" i="18"/>
  <c r="J16" i="18" s="1"/>
  <c r="G16" i="18"/>
  <c r="I16" i="18" s="1"/>
  <c r="E16" i="18"/>
  <c r="D16" i="18"/>
  <c r="C16" i="18"/>
  <c r="AV15" i="18"/>
  <c r="AX15" i="18" s="1"/>
  <c r="AU15" i="18"/>
  <c r="AW15" i="18" s="1"/>
  <c r="AR15" i="18"/>
  <c r="AT15" i="18" s="1"/>
  <c r="AQ15" i="18"/>
  <c r="AS15" i="18" s="1"/>
  <c r="AN15" i="18"/>
  <c r="AP15" i="18" s="1"/>
  <c r="AM15" i="18"/>
  <c r="AO15" i="18" s="1"/>
  <c r="AJ15" i="18"/>
  <c r="AL15" i="18" s="1"/>
  <c r="AI15" i="18"/>
  <c r="AK15" i="18" s="1"/>
  <c r="AF15" i="18"/>
  <c r="AH15" i="18" s="1"/>
  <c r="AE15" i="18"/>
  <c r="AG15" i="18" s="1"/>
  <c r="AB15" i="18"/>
  <c r="AD15" i="18" s="1"/>
  <c r="AA15" i="18"/>
  <c r="AC15" i="18" s="1"/>
  <c r="X15" i="18"/>
  <c r="Z15" i="18" s="1"/>
  <c r="W15" i="18"/>
  <c r="Y15" i="18" s="1"/>
  <c r="T15" i="18"/>
  <c r="V15" i="18" s="1"/>
  <c r="S15" i="18"/>
  <c r="U15" i="18" s="1"/>
  <c r="P15" i="18"/>
  <c r="R15" i="18" s="1"/>
  <c r="O15" i="18"/>
  <c r="Q15" i="18" s="1"/>
  <c r="L15" i="18"/>
  <c r="N15" i="18" s="1"/>
  <c r="K15" i="18"/>
  <c r="M15" i="18" s="1"/>
  <c r="H15" i="18"/>
  <c r="J15" i="18" s="1"/>
  <c r="G15" i="18"/>
  <c r="I15" i="18" s="1"/>
  <c r="E15" i="18"/>
  <c r="D15" i="18"/>
  <c r="C15" i="18"/>
  <c r="AV14" i="18"/>
  <c r="AX14" i="18" s="1"/>
  <c r="AU14" i="18"/>
  <c r="AW14" i="18" s="1"/>
  <c r="AR14" i="18"/>
  <c r="AT14" i="18" s="1"/>
  <c r="AQ14" i="18"/>
  <c r="AS14" i="18" s="1"/>
  <c r="AN14" i="18"/>
  <c r="AP14" i="18" s="1"/>
  <c r="AM14" i="18"/>
  <c r="AO14" i="18" s="1"/>
  <c r="AJ14" i="18"/>
  <c r="AL14" i="18" s="1"/>
  <c r="AI14" i="18"/>
  <c r="AK14" i="18" s="1"/>
  <c r="AF14" i="18"/>
  <c r="AH14" i="18" s="1"/>
  <c r="AE14" i="18"/>
  <c r="AG14" i="18" s="1"/>
  <c r="AB14" i="18"/>
  <c r="AD14" i="18" s="1"/>
  <c r="AA14" i="18"/>
  <c r="AC14" i="18" s="1"/>
  <c r="X14" i="18"/>
  <c r="Z14" i="18" s="1"/>
  <c r="W14" i="18"/>
  <c r="Y14" i="18" s="1"/>
  <c r="T14" i="18"/>
  <c r="V14" i="18" s="1"/>
  <c r="S14" i="18"/>
  <c r="U14" i="18" s="1"/>
  <c r="P14" i="18"/>
  <c r="R14" i="18" s="1"/>
  <c r="O14" i="18"/>
  <c r="Q14" i="18" s="1"/>
  <c r="L14" i="18"/>
  <c r="N14" i="18" s="1"/>
  <c r="K14" i="18"/>
  <c r="M14" i="18" s="1"/>
  <c r="H14" i="18"/>
  <c r="J14" i="18" s="1"/>
  <c r="G14" i="18"/>
  <c r="I14" i="18" s="1"/>
  <c r="E14" i="18"/>
  <c r="D14" i="18"/>
  <c r="C14" i="18"/>
  <c r="AV13" i="18"/>
  <c r="AX13" i="18" s="1"/>
  <c r="AU13" i="18"/>
  <c r="AW13" i="18" s="1"/>
  <c r="AR13" i="18"/>
  <c r="AT13" i="18" s="1"/>
  <c r="AQ13" i="18"/>
  <c r="AS13" i="18" s="1"/>
  <c r="AN13" i="18"/>
  <c r="AP13" i="18" s="1"/>
  <c r="AM13" i="18"/>
  <c r="AO13" i="18" s="1"/>
  <c r="AJ13" i="18"/>
  <c r="AL13" i="18" s="1"/>
  <c r="AI13" i="18"/>
  <c r="AK13" i="18" s="1"/>
  <c r="AF13" i="18"/>
  <c r="AH13" i="18" s="1"/>
  <c r="AE13" i="18"/>
  <c r="AG13" i="18" s="1"/>
  <c r="AB13" i="18"/>
  <c r="AD13" i="18" s="1"/>
  <c r="AA13" i="18"/>
  <c r="AC13" i="18" s="1"/>
  <c r="X13" i="18"/>
  <c r="Z13" i="18" s="1"/>
  <c r="W13" i="18"/>
  <c r="Y13" i="18" s="1"/>
  <c r="T13" i="18"/>
  <c r="V13" i="18" s="1"/>
  <c r="S13" i="18"/>
  <c r="U13" i="18" s="1"/>
  <c r="P13" i="18"/>
  <c r="R13" i="18" s="1"/>
  <c r="O13" i="18"/>
  <c r="Q13" i="18" s="1"/>
  <c r="L13" i="18"/>
  <c r="N13" i="18" s="1"/>
  <c r="K13" i="18"/>
  <c r="M13" i="18" s="1"/>
  <c r="H13" i="18"/>
  <c r="J13" i="18" s="1"/>
  <c r="G13" i="18"/>
  <c r="I13" i="18" s="1"/>
  <c r="E13" i="18"/>
  <c r="D13" i="18"/>
  <c r="C13" i="18"/>
  <c r="AV12" i="18"/>
  <c r="AX12" i="18" s="1"/>
  <c r="AU12" i="18"/>
  <c r="AW12" i="18" s="1"/>
  <c r="AR12" i="18"/>
  <c r="AT12" i="18" s="1"/>
  <c r="AQ12" i="18"/>
  <c r="AS12" i="18" s="1"/>
  <c r="AN12" i="18"/>
  <c r="AP12" i="18" s="1"/>
  <c r="AM12" i="18"/>
  <c r="AO12" i="18" s="1"/>
  <c r="AJ12" i="18"/>
  <c r="AL12" i="18" s="1"/>
  <c r="AI12" i="18"/>
  <c r="AK12" i="18" s="1"/>
  <c r="AF12" i="18"/>
  <c r="AH12" i="18" s="1"/>
  <c r="AE12" i="18"/>
  <c r="AG12" i="18" s="1"/>
  <c r="AB12" i="18"/>
  <c r="AD12" i="18" s="1"/>
  <c r="AA12" i="18"/>
  <c r="AC12" i="18" s="1"/>
  <c r="X12" i="18"/>
  <c r="Z12" i="18" s="1"/>
  <c r="W12" i="18"/>
  <c r="Y12" i="18" s="1"/>
  <c r="T12" i="18"/>
  <c r="V12" i="18" s="1"/>
  <c r="S12" i="18"/>
  <c r="U12" i="18" s="1"/>
  <c r="P12" i="18"/>
  <c r="R12" i="18" s="1"/>
  <c r="O12" i="18"/>
  <c r="Q12" i="18" s="1"/>
  <c r="L12" i="18"/>
  <c r="N12" i="18" s="1"/>
  <c r="K12" i="18"/>
  <c r="M12" i="18" s="1"/>
  <c r="H12" i="18"/>
  <c r="J12" i="18" s="1"/>
  <c r="G12" i="18"/>
  <c r="I12" i="18" s="1"/>
  <c r="E12" i="18"/>
  <c r="D12" i="18"/>
  <c r="C12" i="18"/>
  <c r="AV11" i="18"/>
  <c r="AX11" i="18" s="1"/>
  <c r="AU11" i="18"/>
  <c r="AW11" i="18" s="1"/>
  <c r="AR11" i="18"/>
  <c r="AT11" i="18" s="1"/>
  <c r="AQ11" i="18"/>
  <c r="AS11" i="18" s="1"/>
  <c r="AN11" i="18"/>
  <c r="AP11" i="18" s="1"/>
  <c r="AM11" i="18"/>
  <c r="AO11" i="18" s="1"/>
  <c r="AJ11" i="18"/>
  <c r="AL11" i="18" s="1"/>
  <c r="AI11" i="18"/>
  <c r="AK11" i="18" s="1"/>
  <c r="AF11" i="18"/>
  <c r="AH11" i="18" s="1"/>
  <c r="AE11" i="18"/>
  <c r="AG11" i="18" s="1"/>
  <c r="AB11" i="18"/>
  <c r="AD11" i="18" s="1"/>
  <c r="AA11" i="18"/>
  <c r="AC11" i="18" s="1"/>
  <c r="X11" i="18"/>
  <c r="Z11" i="18" s="1"/>
  <c r="W11" i="18"/>
  <c r="Y11" i="18" s="1"/>
  <c r="T11" i="18"/>
  <c r="V11" i="18" s="1"/>
  <c r="S11" i="18"/>
  <c r="U11" i="18" s="1"/>
  <c r="P11" i="18"/>
  <c r="R11" i="18" s="1"/>
  <c r="O11" i="18"/>
  <c r="Q11" i="18" s="1"/>
  <c r="L11" i="18"/>
  <c r="N11" i="18" s="1"/>
  <c r="K11" i="18"/>
  <c r="M11" i="18" s="1"/>
  <c r="H11" i="18"/>
  <c r="J11" i="18" s="1"/>
  <c r="G11" i="18"/>
  <c r="I11" i="18" s="1"/>
  <c r="E11" i="18"/>
  <c r="D11" i="18"/>
  <c r="C11" i="18"/>
  <c r="AV10" i="18"/>
  <c r="AX10" i="18" s="1"/>
  <c r="AU10" i="18"/>
  <c r="AW10" i="18" s="1"/>
  <c r="AR10" i="18"/>
  <c r="AT10" i="18" s="1"/>
  <c r="AQ10" i="18"/>
  <c r="AS10" i="18" s="1"/>
  <c r="AN10" i="18"/>
  <c r="AP10" i="18" s="1"/>
  <c r="AM10" i="18"/>
  <c r="AO10" i="18" s="1"/>
  <c r="AJ10" i="18"/>
  <c r="AL10" i="18" s="1"/>
  <c r="AI10" i="18"/>
  <c r="AK10" i="18" s="1"/>
  <c r="AF10" i="18"/>
  <c r="AH10" i="18" s="1"/>
  <c r="AE10" i="18"/>
  <c r="AG10" i="18" s="1"/>
  <c r="AB10" i="18"/>
  <c r="AD10" i="18" s="1"/>
  <c r="AA10" i="18"/>
  <c r="AC10" i="18" s="1"/>
  <c r="X10" i="18"/>
  <c r="Z10" i="18" s="1"/>
  <c r="W10" i="18"/>
  <c r="Y10" i="18" s="1"/>
  <c r="T10" i="18"/>
  <c r="V10" i="18" s="1"/>
  <c r="S10" i="18"/>
  <c r="U10" i="18" s="1"/>
  <c r="P10" i="18"/>
  <c r="R10" i="18" s="1"/>
  <c r="O10" i="18"/>
  <c r="Q10" i="18" s="1"/>
  <c r="L10" i="18"/>
  <c r="N10" i="18" s="1"/>
  <c r="K10" i="18"/>
  <c r="M10" i="18" s="1"/>
  <c r="H10" i="18"/>
  <c r="J10" i="18" s="1"/>
  <c r="G10" i="18"/>
  <c r="I10" i="18" s="1"/>
  <c r="E10" i="18"/>
  <c r="D10" i="18"/>
  <c r="C10" i="18"/>
  <c r="AV9" i="18"/>
  <c r="AX9" i="18" s="1"/>
  <c r="AU9" i="18"/>
  <c r="AW9" i="18" s="1"/>
  <c r="AR9" i="18"/>
  <c r="AT9" i="18" s="1"/>
  <c r="AQ9" i="18"/>
  <c r="AS9" i="18" s="1"/>
  <c r="AN9" i="18"/>
  <c r="AP9" i="18" s="1"/>
  <c r="AM9" i="18"/>
  <c r="AO9" i="18" s="1"/>
  <c r="AJ9" i="18"/>
  <c r="AL9" i="18" s="1"/>
  <c r="AI9" i="18"/>
  <c r="AK9" i="18" s="1"/>
  <c r="AF9" i="18"/>
  <c r="AH9" i="18" s="1"/>
  <c r="AE9" i="18"/>
  <c r="AG9" i="18" s="1"/>
  <c r="AB9" i="18"/>
  <c r="AD9" i="18" s="1"/>
  <c r="AA9" i="18"/>
  <c r="AC9" i="18" s="1"/>
  <c r="X9" i="18"/>
  <c r="Z9" i="18" s="1"/>
  <c r="W9" i="18"/>
  <c r="Y9" i="18" s="1"/>
  <c r="T9" i="18"/>
  <c r="V9" i="18" s="1"/>
  <c r="S9" i="18"/>
  <c r="U9" i="18" s="1"/>
  <c r="P9" i="18"/>
  <c r="R9" i="18" s="1"/>
  <c r="O9" i="18"/>
  <c r="Q9" i="18" s="1"/>
  <c r="L9" i="18"/>
  <c r="N9" i="18" s="1"/>
  <c r="K9" i="18"/>
  <c r="M9" i="18" s="1"/>
  <c r="H9" i="18"/>
  <c r="J9" i="18" s="1"/>
  <c r="G9" i="18"/>
  <c r="I9" i="18" s="1"/>
  <c r="E9" i="18"/>
  <c r="D9" i="18"/>
  <c r="C9" i="18"/>
  <c r="AV8" i="18"/>
  <c r="AX8" i="18" s="1"/>
  <c r="AU8" i="18"/>
  <c r="AW8" i="18" s="1"/>
  <c r="AR8" i="18"/>
  <c r="AT8" i="18" s="1"/>
  <c r="AQ8" i="18"/>
  <c r="AS8" i="18" s="1"/>
  <c r="AN8" i="18"/>
  <c r="AP8" i="18" s="1"/>
  <c r="AM8" i="18"/>
  <c r="AO8" i="18" s="1"/>
  <c r="AJ8" i="18"/>
  <c r="AL8" i="18" s="1"/>
  <c r="AI8" i="18"/>
  <c r="AK8" i="18" s="1"/>
  <c r="AF8" i="18"/>
  <c r="AH8" i="18" s="1"/>
  <c r="AE8" i="18"/>
  <c r="AG8" i="18" s="1"/>
  <c r="AB8" i="18"/>
  <c r="AD8" i="18" s="1"/>
  <c r="AA8" i="18"/>
  <c r="AC8" i="18" s="1"/>
  <c r="X8" i="18"/>
  <c r="Z8" i="18" s="1"/>
  <c r="W8" i="18"/>
  <c r="Y8" i="18" s="1"/>
  <c r="T8" i="18"/>
  <c r="V8" i="18" s="1"/>
  <c r="S8" i="18"/>
  <c r="U8" i="18" s="1"/>
  <c r="P8" i="18"/>
  <c r="R8" i="18" s="1"/>
  <c r="O8" i="18"/>
  <c r="Q8" i="18" s="1"/>
  <c r="L8" i="18"/>
  <c r="N8" i="18" s="1"/>
  <c r="K8" i="18"/>
  <c r="M8" i="18" s="1"/>
  <c r="H8" i="18"/>
  <c r="J8" i="18" s="1"/>
  <c r="G8" i="18"/>
  <c r="I8" i="18" s="1"/>
  <c r="E8" i="18"/>
  <c r="D8" i="18"/>
  <c r="C8" i="18"/>
  <c r="AV7" i="18"/>
  <c r="AX7" i="18" s="1"/>
  <c r="AU7" i="18"/>
  <c r="AW7" i="18" s="1"/>
  <c r="AR7" i="18"/>
  <c r="AT7" i="18" s="1"/>
  <c r="AQ7" i="18"/>
  <c r="AS7" i="18" s="1"/>
  <c r="AN7" i="18"/>
  <c r="AP7" i="18" s="1"/>
  <c r="AM7" i="18"/>
  <c r="AO7" i="18" s="1"/>
  <c r="AJ7" i="18"/>
  <c r="AL7" i="18" s="1"/>
  <c r="AI7" i="18"/>
  <c r="AK7" i="18" s="1"/>
  <c r="AF7" i="18"/>
  <c r="AH7" i="18" s="1"/>
  <c r="AE7" i="18"/>
  <c r="AG7" i="18" s="1"/>
  <c r="AB7" i="18"/>
  <c r="AD7" i="18" s="1"/>
  <c r="AA7" i="18"/>
  <c r="AC7" i="18" s="1"/>
  <c r="X7" i="18"/>
  <c r="Z7" i="18" s="1"/>
  <c r="W7" i="18"/>
  <c r="Y7" i="18" s="1"/>
  <c r="T7" i="18"/>
  <c r="V7" i="18" s="1"/>
  <c r="S7" i="18"/>
  <c r="U7" i="18" s="1"/>
  <c r="P7" i="18"/>
  <c r="R7" i="18" s="1"/>
  <c r="O7" i="18"/>
  <c r="Q7" i="18" s="1"/>
  <c r="L7" i="18"/>
  <c r="N7" i="18" s="1"/>
  <c r="K7" i="18"/>
  <c r="M7" i="18" s="1"/>
  <c r="H7" i="18"/>
  <c r="J7" i="18" s="1"/>
  <c r="G7" i="18"/>
  <c r="I7" i="18" s="1"/>
  <c r="E7" i="18"/>
  <c r="D7" i="18"/>
  <c r="C7" i="18"/>
  <c r="AV6" i="18"/>
  <c r="AX6" i="18" s="1"/>
  <c r="AU6" i="18"/>
  <c r="AW6" i="18" s="1"/>
  <c r="AR6" i="18"/>
  <c r="AT6" i="18" s="1"/>
  <c r="AQ6" i="18"/>
  <c r="AS6" i="18" s="1"/>
  <c r="AN6" i="18"/>
  <c r="AP6" i="18" s="1"/>
  <c r="AM6" i="18"/>
  <c r="AO6" i="18" s="1"/>
  <c r="AJ6" i="18"/>
  <c r="AL6" i="18" s="1"/>
  <c r="AI6" i="18"/>
  <c r="AK6" i="18" s="1"/>
  <c r="AF6" i="18"/>
  <c r="AH6" i="18" s="1"/>
  <c r="AE6" i="18"/>
  <c r="AG6" i="18" s="1"/>
  <c r="AB6" i="18"/>
  <c r="AD6" i="18" s="1"/>
  <c r="AA6" i="18"/>
  <c r="AC6" i="18" s="1"/>
  <c r="X6" i="18"/>
  <c r="Z6" i="18" s="1"/>
  <c r="W6" i="18"/>
  <c r="Y6" i="18" s="1"/>
  <c r="T6" i="18"/>
  <c r="V6" i="18" s="1"/>
  <c r="S6" i="18"/>
  <c r="U6" i="18" s="1"/>
  <c r="P6" i="18"/>
  <c r="R6" i="18" s="1"/>
  <c r="O6" i="18"/>
  <c r="Q6" i="18" s="1"/>
  <c r="L6" i="18"/>
  <c r="N6" i="18" s="1"/>
  <c r="K6" i="18"/>
  <c r="M6" i="18" s="1"/>
  <c r="H6" i="18"/>
  <c r="J6" i="18" s="1"/>
  <c r="G6" i="18"/>
  <c r="I6" i="18" s="1"/>
  <c r="E6" i="18"/>
  <c r="D6" i="18"/>
  <c r="C6" i="18"/>
  <c r="AV5" i="18"/>
  <c r="AX5" i="18" s="1"/>
  <c r="AU5" i="18"/>
  <c r="AW5" i="18" s="1"/>
  <c r="AR5" i="18"/>
  <c r="AT5" i="18" s="1"/>
  <c r="AQ5" i="18"/>
  <c r="AS5" i="18" s="1"/>
  <c r="AN5" i="18"/>
  <c r="AP5" i="18" s="1"/>
  <c r="AM5" i="18"/>
  <c r="AO5" i="18" s="1"/>
  <c r="AJ5" i="18"/>
  <c r="AL5" i="18" s="1"/>
  <c r="AI5" i="18"/>
  <c r="AK5" i="18" s="1"/>
  <c r="AF5" i="18"/>
  <c r="AH5" i="18" s="1"/>
  <c r="AE5" i="18"/>
  <c r="AG5" i="18" s="1"/>
  <c r="AB5" i="18"/>
  <c r="AD5" i="18" s="1"/>
  <c r="AA5" i="18"/>
  <c r="AC5" i="18" s="1"/>
  <c r="X5" i="18"/>
  <c r="Z5" i="18" s="1"/>
  <c r="W5" i="18"/>
  <c r="Y5" i="18" s="1"/>
  <c r="T5" i="18"/>
  <c r="V5" i="18" s="1"/>
  <c r="S5" i="18"/>
  <c r="U5" i="18" s="1"/>
  <c r="P5" i="18"/>
  <c r="R5" i="18" s="1"/>
  <c r="O5" i="18"/>
  <c r="Q5" i="18" s="1"/>
  <c r="L5" i="18"/>
  <c r="N5" i="18" s="1"/>
  <c r="K5" i="18"/>
  <c r="M5" i="18" s="1"/>
  <c r="H5" i="18"/>
  <c r="J5" i="18" s="1"/>
  <c r="G5" i="18"/>
  <c r="I5" i="18" s="1"/>
  <c r="E5" i="18"/>
  <c r="D5" i="18"/>
  <c r="C5" i="18"/>
  <c r="AV4" i="18"/>
  <c r="AX4" i="18" s="1"/>
  <c r="AU4" i="18"/>
  <c r="AW4" i="18" s="1"/>
  <c r="AR4" i="18"/>
  <c r="AT4" i="18" s="1"/>
  <c r="AQ4" i="18"/>
  <c r="AS4" i="18" s="1"/>
  <c r="AN4" i="18"/>
  <c r="AP4" i="18" s="1"/>
  <c r="AM4" i="18"/>
  <c r="AO4" i="18" s="1"/>
  <c r="AJ4" i="18"/>
  <c r="AL4" i="18" s="1"/>
  <c r="AI4" i="18"/>
  <c r="AK4" i="18" s="1"/>
  <c r="AF4" i="18"/>
  <c r="AH4" i="18" s="1"/>
  <c r="AE4" i="18"/>
  <c r="AG4" i="18" s="1"/>
  <c r="AB4" i="18"/>
  <c r="AD4" i="18" s="1"/>
  <c r="AA4" i="18"/>
  <c r="AC4" i="18" s="1"/>
  <c r="X4" i="18"/>
  <c r="Z4" i="18" s="1"/>
  <c r="W4" i="18"/>
  <c r="Y4" i="18" s="1"/>
  <c r="T4" i="18"/>
  <c r="V4" i="18" s="1"/>
  <c r="S4" i="18"/>
  <c r="U4" i="18" s="1"/>
  <c r="P4" i="18"/>
  <c r="R4" i="18" s="1"/>
  <c r="O4" i="18"/>
  <c r="Q4" i="18" s="1"/>
  <c r="L4" i="18"/>
  <c r="N4" i="18" s="1"/>
  <c r="K4" i="18"/>
  <c r="M4" i="18" s="1"/>
  <c r="H4" i="18"/>
  <c r="J4" i="18" s="1"/>
  <c r="G4" i="18"/>
  <c r="I4" i="18" s="1"/>
  <c r="E4" i="18"/>
  <c r="D4" i="18"/>
  <c r="C4" i="18"/>
  <c r="AV3" i="18"/>
  <c r="AX3" i="18" s="1"/>
  <c r="AU3" i="18"/>
  <c r="AW3" i="18" s="1"/>
  <c r="AR3" i="18"/>
  <c r="AT3" i="18" s="1"/>
  <c r="AQ3" i="18"/>
  <c r="AS3" i="18" s="1"/>
  <c r="AN3" i="18"/>
  <c r="AP3" i="18" s="1"/>
  <c r="AM3" i="18"/>
  <c r="AO3" i="18" s="1"/>
  <c r="AJ3" i="18"/>
  <c r="AL3" i="18" s="1"/>
  <c r="AI3" i="18"/>
  <c r="AK3" i="18" s="1"/>
  <c r="AF3" i="18"/>
  <c r="AH3" i="18" s="1"/>
  <c r="AE3" i="18"/>
  <c r="AG3" i="18" s="1"/>
  <c r="AB3" i="18"/>
  <c r="AD3" i="18" s="1"/>
  <c r="AA3" i="18"/>
  <c r="AC3" i="18" s="1"/>
  <c r="X3" i="18"/>
  <c r="Z3" i="18" s="1"/>
  <c r="W3" i="18"/>
  <c r="Y3" i="18" s="1"/>
  <c r="T3" i="18"/>
  <c r="V3" i="18" s="1"/>
  <c r="S3" i="18"/>
  <c r="U3" i="18" s="1"/>
  <c r="P3" i="18"/>
  <c r="R3" i="18" s="1"/>
  <c r="O3" i="18"/>
  <c r="Q3" i="18" s="1"/>
  <c r="L3" i="18"/>
  <c r="N3" i="18" s="1"/>
  <c r="K3" i="18"/>
  <c r="M3" i="18" s="1"/>
  <c r="H3" i="18"/>
  <c r="J3" i="18" s="1"/>
  <c r="G3" i="18"/>
  <c r="I3" i="18" s="1"/>
  <c r="E3" i="18"/>
  <c r="D3" i="18"/>
  <c r="C3" i="18"/>
  <c r="AV50" i="17"/>
  <c r="AX50" i="17" s="1"/>
  <c r="AU50" i="17"/>
  <c r="AW50" i="17" s="1"/>
  <c r="AR50" i="17"/>
  <c r="AT50" i="17" s="1"/>
  <c r="AQ50" i="17"/>
  <c r="AS50" i="17" s="1"/>
  <c r="AN50" i="17"/>
  <c r="AP50" i="17" s="1"/>
  <c r="AM50" i="17"/>
  <c r="AO50" i="17" s="1"/>
  <c r="AJ50" i="17"/>
  <c r="AL50" i="17" s="1"/>
  <c r="AI50" i="17"/>
  <c r="AK50" i="17" s="1"/>
  <c r="AF50" i="17"/>
  <c r="AH50" i="17" s="1"/>
  <c r="AE50" i="17"/>
  <c r="AG50" i="17" s="1"/>
  <c r="AB50" i="17"/>
  <c r="AD50" i="17" s="1"/>
  <c r="AA50" i="17"/>
  <c r="AC50" i="17" s="1"/>
  <c r="X50" i="17"/>
  <c r="Z50" i="17" s="1"/>
  <c r="W50" i="17"/>
  <c r="Y50" i="17" s="1"/>
  <c r="T50" i="17"/>
  <c r="V50" i="17" s="1"/>
  <c r="S50" i="17"/>
  <c r="U50" i="17" s="1"/>
  <c r="P50" i="17"/>
  <c r="R50" i="17" s="1"/>
  <c r="O50" i="17"/>
  <c r="Q50" i="17" s="1"/>
  <c r="L50" i="17"/>
  <c r="N50" i="17" s="1"/>
  <c r="K50" i="17"/>
  <c r="M50" i="17" s="1"/>
  <c r="H50" i="17"/>
  <c r="J50" i="17" s="1"/>
  <c r="G50" i="17"/>
  <c r="I50" i="17" s="1"/>
  <c r="E50" i="17"/>
  <c r="D50" i="17"/>
  <c r="C50" i="17"/>
  <c r="AV49" i="17"/>
  <c r="AX49" i="17" s="1"/>
  <c r="AU49" i="17"/>
  <c r="AW49" i="17" s="1"/>
  <c r="AR49" i="17"/>
  <c r="AT49" i="17" s="1"/>
  <c r="AQ49" i="17"/>
  <c r="AS49" i="17" s="1"/>
  <c r="AN49" i="17"/>
  <c r="AP49" i="17" s="1"/>
  <c r="AM49" i="17"/>
  <c r="AO49" i="17" s="1"/>
  <c r="AJ49" i="17"/>
  <c r="AL49" i="17" s="1"/>
  <c r="AI49" i="17"/>
  <c r="AK49" i="17" s="1"/>
  <c r="AF49" i="17"/>
  <c r="AH49" i="17" s="1"/>
  <c r="AE49" i="17"/>
  <c r="AG49" i="17" s="1"/>
  <c r="AB49" i="17"/>
  <c r="AD49" i="17" s="1"/>
  <c r="AA49" i="17"/>
  <c r="AC49" i="17" s="1"/>
  <c r="X49" i="17"/>
  <c r="Z49" i="17" s="1"/>
  <c r="W49" i="17"/>
  <c r="Y49" i="17" s="1"/>
  <c r="T49" i="17"/>
  <c r="V49" i="17" s="1"/>
  <c r="S49" i="17"/>
  <c r="U49" i="17" s="1"/>
  <c r="P49" i="17"/>
  <c r="R49" i="17" s="1"/>
  <c r="O49" i="17"/>
  <c r="Q49" i="17" s="1"/>
  <c r="L49" i="17"/>
  <c r="N49" i="17" s="1"/>
  <c r="K49" i="17"/>
  <c r="M49" i="17" s="1"/>
  <c r="H49" i="17"/>
  <c r="J49" i="17" s="1"/>
  <c r="G49" i="17"/>
  <c r="I49" i="17" s="1"/>
  <c r="E49" i="17"/>
  <c r="D49" i="17"/>
  <c r="C49" i="17"/>
  <c r="AV48" i="17"/>
  <c r="AX48" i="17" s="1"/>
  <c r="AU48" i="17"/>
  <c r="AW48" i="17" s="1"/>
  <c r="AR48" i="17"/>
  <c r="AT48" i="17" s="1"/>
  <c r="AQ48" i="17"/>
  <c r="AS48" i="17" s="1"/>
  <c r="AN48" i="17"/>
  <c r="AP48" i="17" s="1"/>
  <c r="AM48" i="17"/>
  <c r="AO48" i="17" s="1"/>
  <c r="AJ48" i="17"/>
  <c r="AL48" i="17" s="1"/>
  <c r="AI48" i="17"/>
  <c r="AK48" i="17" s="1"/>
  <c r="AF48" i="17"/>
  <c r="AH48" i="17" s="1"/>
  <c r="AE48" i="17"/>
  <c r="AG48" i="17" s="1"/>
  <c r="AB48" i="17"/>
  <c r="AD48" i="17" s="1"/>
  <c r="AA48" i="17"/>
  <c r="AC48" i="17" s="1"/>
  <c r="X48" i="17"/>
  <c r="Z48" i="17" s="1"/>
  <c r="W48" i="17"/>
  <c r="Y48" i="17" s="1"/>
  <c r="T48" i="17"/>
  <c r="V48" i="17" s="1"/>
  <c r="S48" i="17"/>
  <c r="U48" i="17" s="1"/>
  <c r="P48" i="17"/>
  <c r="R48" i="17" s="1"/>
  <c r="O48" i="17"/>
  <c r="Q48" i="17" s="1"/>
  <c r="L48" i="17"/>
  <c r="N48" i="17" s="1"/>
  <c r="K48" i="17"/>
  <c r="M48" i="17" s="1"/>
  <c r="H48" i="17"/>
  <c r="J48" i="17" s="1"/>
  <c r="G48" i="17"/>
  <c r="I48" i="17" s="1"/>
  <c r="E48" i="17"/>
  <c r="D48" i="17"/>
  <c r="C48" i="17"/>
  <c r="AV47" i="17"/>
  <c r="AX47" i="17" s="1"/>
  <c r="AU47" i="17"/>
  <c r="AW47" i="17" s="1"/>
  <c r="AR47" i="17"/>
  <c r="AT47" i="17" s="1"/>
  <c r="AQ47" i="17"/>
  <c r="AS47" i="17" s="1"/>
  <c r="AN47" i="17"/>
  <c r="AP47" i="17" s="1"/>
  <c r="AM47" i="17"/>
  <c r="AO47" i="17" s="1"/>
  <c r="AJ47" i="17"/>
  <c r="AL47" i="17" s="1"/>
  <c r="AI47" i="17"/>
  <c r="AK47" i="17" s="1"/>
  <c r="AF47" i="17"/>
  <c r="AH47" i="17" s="1"/>
  <c r="AE47" i="17"/>
  <c r="AG47" i="17" s="1"/>
  <c r="AB47" i="17"/>
  <c r="AD47" i="17" s="1"/>
  <c r="AA47" i="17"/>
  <c r="AC47" i="17" s="1"/>
  <c r="X47" i="17"/>
  <c r="Z47" i="17" s="1"/>
  <c r="W47" i="17"/>
  <c r="Y47" i="17" s="1"/>
  <c r="T47" i="17"/>
  <c r="V47" i="17" s="1"/>
  <c r="S47" i="17"/>
  <c r="U47" i="17" s="1"/>
  <c r="P47" i="17"/>
  <c r="R47" i="17" s="1"/>
  <c r="O47" i="17"/>
  <c r="Q47" i="17" s="1"/>
  <c r="L47" i="17"/>
  <c r="N47" i="17" s="1"/>
  <c r="K47" i="17"/>
  <c r="M47" i="17" s="1"/>
  <c r="H47" i="17"/>
  <c r="J47" i="17" s="1"/>
  <c r="G47" i="17"/>
  <c r="I47" i="17" s="1"/>
  <c r="E47" i="17"/>
  <c r="D47" i="17"/>
  <c r="C47" i="17"/>
  <c r="AV46" i="17"/>
  <c r="AX46" i="17" s="1"/>
  <c r="AU46" i="17"/>
  <c r="AW46" i="17" s="1"/>
  <c r="AR46" i="17"/>
  <c r="AT46" i="17" s="1"/>
  <c r="AQ46" i="17"/>
  <c r="AS46" i="17" s="1"/>
  <c r="AN46" i="17"/>
  <c r="AP46" i="17" s="1"/>
  <c r="AM46" i="17"/>
  <c r="AO46" i="17" s="1"/>
  <c r="AJ46" i="17"/>
  <c r="AL46" i="17" s="1"/>
  <c r="AI46" i="17"/>
  <c r="AK46" i="17" s="1"/>
  <c r="AF46" i="17"/>
  <c r="AH46" i="17" s="1"/>
  <c r="AE46" i="17"/>
  <c r="AG46" i="17" s="1"/>
  <c r="AB46" i="17"/>
  <c r="AD46" i="17" s="1"/>
  <c r="AA46" i="17"/>
  <c r="AC46" i="17" s="1"/>
  <c r="X46" i="17"/>
  <c r="Z46" i="17" s="1"/>
  <c r="W46" i="17"/>
  <c r="Y46" i="17" s="1"/>
  <c r="T46" i="17"/>
  <c r="V46" i="17" s="1"/>
  <c r="S46" i="17"/>
  <c r="U46" i="17" s="1"/>
  <c r="P46" i="17"/>
  <c r="R46" i="17" s="1"/>
  <c r="O46" i="17"/>
  <c r="Q46" i="17" s="1"/>
  <c r="L46" i="17"/>
  <c r="N46" i="17" s="1"/>
  <c r="K46" i="17"/>
  <c r="M46" i="17" s="1"/>
  <c r="H46" i="17"/>
  <c r="J46" i="17" s="1"/>
  <c r="G46" i="17"/>
  <c r="I46" i="17" s="1"/>
  <c r="E46" i="17"/>
  <c r="D46" i="17"/>
  <c r="C46" i="17"/>
  <c r="AV45" i="17"/>
  <c r="AX45" i="17" s="1"/>
  <c r="AU45" i="17"/>
  <c r="AW45" i="17" s="1"/>
  <c r="AR45" i="17"/>
  <c r="AT45" i="17" s="1"/>
  <c r="AQ45" i="17"/>
  <c r="AS45" i="17" s="1"/>
  <c r="AN45" i="17"/>
  <c r="AP45" i="17" s="1"/>
  <c r="AM45" i="17"/>
  <c r="AO45" i="17" s="1"/>
  <c r="AJ45" i="17"/>
  <c r="AL45" i="17" s="1"/>
  <c r="AI45" i="17"/>
  <c r="AK45" i="17" s="1"/>
  <c r="AF45" i="17"/>
  <c r="AH45" i="17" s="1"/>
  <c r="AE45" i="17"/>
  <c r="AG45" i="17" s="1"/>
  <c r="AB45" i="17"/>
  <c r="AD45" i="17" s="1"/>
  <c r="AA45" i="17"/>
  <c r="AC45" i="17" s="1"/>
  <c r="X45" i="17"/>
  <c r="Z45" i="17" s="1"/>
  <c r="W45" i="17"/>
  <c r="Y45" i="17" s="1"/>
  <c r="T45" i="17"/>
  <c r="V45" i="17" s="1"/>
  <c r="S45" i="17"/>
  <c r="U45" i="17" s="1"/>
  <c r="P45" i="17"/>
  <c r="R45" i="17" s="1"/>
  <c r="O45" i="17"/>
  <c r="Q45" i="17" s="1"/>
  <c r="L45" i="17"/>
  <c r="N45" i="17" s="1"/>
  <c r="K45" i="17"/>
  <c r="M45" i="17" s="1"/>
  <c r="H45" i="17"/>
  <c r="J45" i="17" s="1"/>
  <c r="G45" i="17"/>
  <c r="I45" i="17" s="1"/>
  <c r="E45" i="17"/>
  <c r="D45" i="17"/>
  <c r="C45" i="17"/>
  <c r="AV44" i="17"/>
  <c r="AX44" i="17" s="1"/>
  <c r="AU44" i="17"/>
  <c r="AW44" i="17" s="1"/>
  <c r="AR44" i="17"/>
  <c r="AT44" i="17" s="1"/>
  <c r="AQ44" i="17"/>
  <c r="AS44" i="17" s="1"/>
  <c r="AN44" i="17"/>
  <c r="AP44" i="17" s="1"/>
  <c r="AM44" i="17"/>
  <c r="AO44" i="17" s="1"/>
  <c r="AJ44" i="17"/>
  <c r="AL44" i="17" s="1"/>
  <c r="AI44" i="17"/>
  <c r="AK44" i="17" s="1"/>
  <c r="AF44" i="17"/>
  <c r="AH44" i="17" s="1"/>
  <c r="AE44" i="17"/>
  <c r="AG44" i="17" s="1"/>
  <c r="AB44" i="17"/>
  <c r="AD44" i="17" s="1"/>
  <c r="AA44" i="17"/>
  <c r="AC44" i="17" s="1"/>
  <c r="X44" i="17"/>
  <c r="Z44" i="17" s="1"/>
  <c r="W44" i="17"/>
  <c r="Y44" i="17" s="1"/>
  <c r="T44" i="17"/>
  <c r="V44" i="17" s="1"/>
  <c r="S44" i="17"/>
  <c r="U44" i="17" s="1"/>
  <c r="P44" i="17"/>
  <c r="R44" i="17" s="1"/>
  <c r="O44" i="17"/>
  <c r="Q44" i="17" s="1"/>
  <c r="L44" i="17"/>
  <c r="N44" i="17" s="1"/>
  <c r="K44" i="17"/>
  <c r="M44" i="17" s="1"/>
  <c r="H44" i="17"/>
  <c r="J44" i="17" s="1"/>
  <c r="G44" i="17"/>
  <c r="I44" i="17" s="1"/>
  <c r="E44" i="17"/>
  <c r="D44" i="17"/>
  <c r="C44" i="17"/>
  <c r="AV43" i="17"/>
  <c r="AX43" i="17" s="1"/>
  <c r="AU43" i="17"/>
  <c r="AW43" i="17" s="1"/>
  <c r="AR43" i="17"/>
  <c r="AT43" i="17" s="1"/>
  <c r="AQ43" i="17"/>
  <c r="AS43" i="17" s="1"/>
  <c r="AN43" i="17"/>
  <c r="AP43" i="17" s="1"/>
  <c r="AM43" i="17"/>
  <c r="AO43" i="17" s="1"/>
  <c r="AJ43" i="17"/>
  <c r="AL43" i="17" s="1"/>
  <c r="AI43" i="17"/>
  <c r="AK43" i="17" s="1"/>
  <c r="AF43" i="17"/>
  <c r="AH43" i="17" s="1"/>
  <c r="AE43" i="17"/>
  <c r="AG43" i="17" s="1"/>
  <c r="AB43" i="17"/>
  <c r="AD43" i="17" s="1"/>
  <c r="AA43" i="17"/>
  <c r="AC43" i="17" s="1"/>
  <c r="X43" i="17"/>
  <c r="Z43" i="17" s="1"/>
  <c r="W43" i="17"/>
  <c r="Y43" i="17" s="1"/>
  <c r="T43" i="17"/>
  <c r="V43" i="17" s="1"/>
  <c r="S43" i="17"/>
  <c r="U43" i="17" s="1"/>
  <c r="P43" i="17"/>
  <c r="R43" i="17" s="1"/>
  <c r="O43" i="17"/>
  <c r="Q43" i="17" s="1"/>
  <c r="L43" i="17"/>
  <c r="N43" i="17" s="1"/>
  <c r="K43" i="17"/>
  <c r="M43" i="17" s="1"/>
  <c r="H43" i="17"/>
  <c r="J43" i="17" s="1"/>
  <c r="G43" i="17"/>
  <c r="I43" i="17" s="1"/>
  <c r="E43" i="17"/>
  <c r="D43" i="17"/>
  <c r="C43" i="17"/>
  <c r="AV42" i="17"/>
  <c r="AX42" i="17" s="1"/>
  <c r="AU42" i="17"/>
  <c r="AW42" i="17" s="1"/>
  <c r="AR42" i="17"/>
  <c r="AT42" i="17" s="1"/>
  <c r="AQ42" i="17"/>
  <c r="AS42" i="17" s="1"/>
  <c r="AN42" i="17"/>
  <c r="AP42" i="17" s="1"/>
  <c r="AM42" i="17"/>
  <c r="AO42" i="17" s="1"/>
  <c r="AJ42" i="17"/>
  <c r="AL42" i="17" s="1"/>
  <c r="AI42" i="17"/>
  <c r="AK42" i="17" s="1"/>
  <c r="AF42" i="17"/>
  <c r="AH42" i="17" s="1"/>
  <c r="AE42" i="17"/>
  <c r="AG42" i="17" s="1"/>
  <c r="AB42" i="17"/>
  <c r="AD42" i="17" s="1"/>
  <c r="AA42" i="17"/>
  <c r="AC42" i="17" s="1"/>
  <c r="X42" i="17"/>
  <c r="Z42" i="17" s="1"/>
  <c r="W42" i="17"/>
  <c r="Y42" i="17" s="1"/>
  <c r="T42" i="17"/>
  <c r="V42" i="17" s="1"/>
  <c r="S42" i="17"/>
  <c r="U42" i="17" s="1"/>
  <c r="P42" i="17"/>
  <c r="R42" i="17" s="1"/>
  <c r="O42" i="17"/>
  <c r="Q42" i="17" s="1"/>
  <c r="L42" i="17"/>
  <c r="N42" i="17" s="1"/>
  <c r="K42" i="17"/>
  <c r="M42" i="17" s="1"/>
  <c r="H42" i="17"/>
  <c r="J42" i="17" s="1"/>
  <c r="G42" i="17"/>
  <c r="I42" i="17" s="1"/>
  <c r="E42" i="17"/>
  <c r="D42" i="17"/>
  <c r="C42" i="17"/>
  <c r="AV41" i="17"/>
  <c r="AX41" i="17" s="1"/>
  <c r="AU41" i="17"/>
  <c r="AW41" i="17" s="1"/>
  <c r="AR41" i="17"/>
  <c r="AT41" i="17" s="1"/>
  <c r="AQ41" i="17"/>
  <c r="AS41" i="17" s="1"/>
  <c r="AN41" i="17"/>
  <c r="AP41" i="17" s="1"/>
  <c r="AM41" i="17"/>
  <c r="AO41" i="17" s="1"/>
  <c r="AJ41" i="17"/>
  <c r="AL41" i="17" s="1"/>
  <c r="AI41" i="17"/>
  <c r="AK41" i="17" s="1"/>
  <c r="AF41" i="17"/>
  <c r="AH41" i="17" s="1"/>
  <c r="AE41" i="17"/>
  <c r="AG41" i="17" s="1"/>
  <c r="AB41" i="17"/>
  <c r="AD41" i="17" s="1"/>
  <c r="AA41" i="17"/>
  <c r="AC41" i="17" s="1"/>
  <c r="X41" i="17"/>
  <c r="Z41" i="17" s="1"/>
  <c r="W41" i="17"/>
  <c r="Y41" i="17" s="1"/>
  <c r="T41" i="17"/>
  <c r="V41" i="17" s="1"/>
  <c r="S41" i="17"/>
  <c r="U41" i="17" s="1"/>
  <c r="P41" i="17"/>
  <c r="R41" i="17" s="1"/>
  <c r="O41" i="17"/>
  <c r="Q41" i="17" s="1"/>
  <c r="L41" i="17"/>
  <c r="N41" i="17" s="1"/>
  <c r="K41" i="17"/>
  <c r="M41" i="17" s="1"/>
  <c r="H41" i="17"/>
  <c r="J41" i="17" s="1"/>
  <c r="G41" i="17"/>
  <c r="I41" i="17" s="1"/>
  <c r="E41" i="17"/>
  <c r="D41" i="17"/>
  <c r="C41" i="17"/>
  <c r="AV40" i="17"/>
  <c r="AX40" i="17" s="1"/>
  <c r="AU40" i="17"/>
  <c r="AW40" i="17" s="1"/>
  <c r="AR40" i="17"/>
  <c r="AT40" i="17" s="1"/>
  <c r="AQ40" i="17"/>
  <c r="AS40" i="17" s="1"/>
  <c r="AN40" i="17"/>
  <c r="AP40" i="17" s="1"/>
  <c r="AM40" i="17"/>
  <c r="AO40" i="17" s="1"/>
  <c r="AJ40" i="17"/>
  <c r="AL40" i="17" s="1"/>
  <c r="AI40" i="17"/>
  <c r="AK40" i="17" s="1"/>
  <c r="AF40" i="17"/>
  <c r="AH40" i="17" s="1"/>
  <c r="AE40" i="17"/>
  <c r="AG40" i="17" s="1"/>
  <c r="AB40" i="17"/>
  <c r="AD40" i="17" s="1"/>
  <c r="AA40" i="17"/>
  <c r="AC40" i="17" s="1"/>
  <c r="X40" i="17"/>
  <c r="Z40" i="17" s="1"/>
  <c r="W40" i="17"/>
  <c r="Y40" i="17" s="1"/>
  <c r="T40" i="17"/>
  <c r="V40" i="17" s="1"/>
  <c r="S40" i="17"/>
  <c r="U40" i="17" s="1"/>
  <c r="P40" i="17"/>
  <c r="R40" i="17" s="1"/>
  <c r="O40" i="17"/>
  <c r="Q40" i="17" s="1"/>
  <c r="L40" i="17"/>
  <c r="N40" i="17" s="1"/>
  <c r="K40" i="17"/>
  <c r="M40" i="17" s="1"/>
  <c r="H40" i="17"/>
  <c r="J40" i="17" s="1"/>
  <c r="G40" i="17"/>
  <c r="I40" i="17" s="1"/>
  <c r="E40" i="17"/>
  <c r="D40" i="17"/>
  <c r="C40" i="17"/>
  <c r="AV39" i="17"/>
  <c r="AX39" i="17" s="1"/>
  <c r="AU39" i="17"/>
  <c r="AW39" i="17" s="1"/>
  <c r="AR39" i="17"/>
  <c r="AT39" i="17" s="1"/>
  <c r="AQ39" i="17"/>
  <c r="AS39" i="17" s="1"/>
  <c r="AN39" i="17"/>
  <c r="AP39" i="17" s="1"/>
  <c r="AM39" i="17"/>
  <c r="AO39" i="17" s="1"/>
  <c r="AJ39" i="17"/>
  <c r="AL39" i="17" s="1"/>
  <c r="AI39" i="17"/>
  <c r="AK39" i="17" s="1"/>
  <c r="AF39" i="17"/>
  <c r="AH39" i="17" s="1"/>
  <c r="AE39" i="17"/>
  <c r="AG39" i="17" s="1"/>
  <c r="AB39" i="17"/>
  <c r="AD39" i="17" s="1"/>
  <c r="AA39" i="17"/>
  <c r="AC39" i="17" s="1"/>
  <c r="X39" i="17"/>
  <c r="Z39" i="17" s="1"/>
  <c r="W39" i="17"/>
  <c r="Y39" i="17" s="1"/>
  <c r="T39" i="17"/>
  <c r="V39" i="17" s="1"/>
  <c r="S39" i="17"/>
  <c r="U39" i="17" s="1"/>
  <c r="P39" i="17"/>
  <c r="R39" i="17" s="1"/>
  <c r="O39" i="17"/>
  <c r="Q39" i="17" s="1"/>
  <c r="L39" i="17"/>
  <c r="N39" i="17" s="1"/>
  <c r="K39" i="17"/>
  <c r="M39" i="17" s="1"/>
  <c r="H39" i="17"/>
  <c r="J39" i="17" s="1"/>
  <c r="G39" i="17"/>
  <c r="I39" i="17" s="1"/>
  <c r="E39" i="17"/>
  <c r="D39" i="17"/>
  <c r="C39" i="17"/>
  <c r="AV38" i="17"/>
  <c r="AX38" i="17" s="1"/>
  <c r="AU38" i="17"/>
  <c r="AW38" i="17" s="1"/>
  <c r="AR38" i="17"/>
  <c r="AT38" i="17" s="1"/>
  <c r="AQ38" i="17"/>
  <c r="AS38" i="17" s="1"/>
  <c r="AN38" i="17"/>
  <c r="AP38" i="17" s="1"/>
  <c r="AM38" i="17"/>
  <c r="AO38" i="17" s="1"/>
  <c r="AJ38" i="17"/>
  <c r="AL38" i="17" s="1"/>
  <c r="AI38" i="17"/>
  <c r="AK38" i="17" s="1"/>
  <c r="AF38" i="17"/>
  <c r="AH38" i="17" s="1"/>
  <c r="AE38" i="17"/>
  <c r="AG38" i="17" s="1"/>
  <c r="AB38" i="17"/>
  <c r="AD38" i="17" s="1"/>
  <c r="AA38" i="17"/>
  <c r="AC38" i="17" s="1"/>
  <c r="X38" i="17"/>
  <c r="Z38" i="17" s="1"/>
  <c r="W38" i="17"/>
  <c r="Y38" i="17" s="1"/>
  <c r="T38" i="17"/>
  <c r="V38" i="17" s="1"/>
  <c r="S38" i="17"/>
  <c r="U38" i="17" s="1"/>
  <c r="P38" i="17"/>
  <c r="R38" i="17" s="1"/>
  <c r="O38" i="17"/>
  <c r="Q38" i="17" s="1"/>
  <c r="L38" i="17"/>
  <c r="N38" i="17" s="1"/>
  <c r="K38" i="17"/>
  <c r="M38" i="17" s="1"/>
  <c r="H38" i="17"/>
  <c r="J38" i="17" s="1"/>
  <c r="G38" i="17"/>
  <c r="I38" i="17" s="1"/>
  <c r="E38" i="17"/>
  <c r="D38" i="17"/>
  <c r="C38" i="17"/>
  <c r="AV37" i="17"/>
  <c r="AX37" i="17" s="1"/>
  <c r="AU37" i="17"/>
  <c r="AW37" i="17" s="1"/>
  <c r="AR37" i="17"/>
  <c r="AT37" i="17" s="1"/>
  <c r="AQ37" i="17"/>
  <c r="AS37" i="17" s="1"/>
  <c r="AN37" i="17"/>
  <c r="AP37" i="17" s="1"/>
  <c r="AM37" i="17"/>
  <c r="AO37" i="17" s="1"/>
  <c r="AJ37" i="17"/>
  <c r="AL37" i="17" s="1"/>
  <c r="AI37" i="17"/>
  <c r="AK37" i="17" s="1"/>
  <c r="AF37" i="17"/>
  <c r="AH37" i="17" s="1"/>
  <c r="AE37" i="17"/>
  <c r="AG37" i="17" s="1"/>
  <c r="AB37" i="17"/>
  <c r="AD37" i="17" s="1"/>
  <c r="AA37" i="17"/>
  <c r="AC37" i="17" s="1"/>
  <c r="X37" i="17"/>
  <c r="Z37" i="17" s="1"/>
  <c r="W37" i="17"/>
  <c r="Y37" i="17" s="1"/>
  <c r="T37" i="17"/>
  <c r="V37" i="17" s="1"/>
  <c r="S37" i="17"/>
  <c r="U37" i="17" s="1"/>
  <c r="P37" i="17"/>
  <c r="R37" i="17" s="1"/>
  <c r="O37" i="17"/>
  <c r="Q37" i="17" s="1"/>
  <c r="L37" i="17"/>
  <c r="N37" i="17" s="1"/>
  <c r="K37" i="17"/>
  <c r="M37" i="17" s="1"/>
  <c r="H37" i="17"/>
  <c r="J37" i="17" s="1"/>
  <c r="G37" i="17"/>
  <c r="I37" i="17" s="1"/>
  <c r="E37" i="17"/>
  <c r="D37" i="17"/>
  <c r="C37" i="17"/>
  <c r="AV36" i="17"/>
  <c r="AX36" i="17" s="1"/>
  <c r="AU36" i="17"/>
  <c r="AW36" i="17" s="1"/>
  <c r="AR36" i="17"/>
  <c r="AT36" i="17" s="1"/>
  <c r="AQ36" i="17"/>
  <c r="AS36" i="17" s="1"/>
  <c r="AN36" i="17"/>
  <c r="AP36" i="17" s="1"/>
  <c r="AM36" i="17"/>
  <c r="AO36" i="17" s="1"/>
  <c r="AJ36" i="17"/>
  <c r="AL36" i="17" s="1"/>
  <c r="AI36" i="17"/>
  <c r="AK36" i="17" s="1"/>
  <c r="AF36" i="17"/>
  <c r="AH36" i="17" s="1"/>
  <c r="AE36" i="17"/>
  <c r="AG36" i="17" s="1"/>
  <c r="AB36" i="17"/>
  <c r="AD36" i="17" s="1"/>
  <c r="AA36" i="17"/>
  <c r="AC36" i="17" s="1"/>
  <c r="X36" i="17"/>
  <c r="Z36" i="17" s="1"/>
  <c r="W36" i="17"/>
  <c r="Y36" i="17" s="1"/>
  <c r="T36" i="17"/>
  <c r="V36" i="17" s="1"/>
  <c r="S36" i="17"/>
  <c r="U36" i="17" s="1"/>
  <c r="P36" i="17"/>
  <c r="R36" i="17" s="1"/>
  <c r="O36" i="17"/>
  <c r="Q36" i="17" s="1"/>
  <c r="L36" i="17"/>
  <c r="N36" i="17" s="1"/>
  <c r="K36" i="17"/>
  <c r="M36" i="17" s="1"/>
  <c r="H36" i="17"/>
  <c r="J36" i="17" s="1"/>
  <c r="G36" i="17"/>
  <c r="I36" i="17" s="1"/>
  <c r="E36" i="17"/>
  <c r="D36" i="17"/>
  <c r="C36" i="17"/>
  <c r="AV35" i="17"/>
  <c r="AX35" i="17" s="1"/>
  <c r="AU35" i="17"/>
  <c r="AW35" i="17" s="1"/>
  <c r="AR35" i="17"/>
  <c r="AT35" i="17" s="1"/>
  <c r="AQ35" i="17"/>
  <c r="AS35" i="17" s="1"/>
  <c r="AN35" i="17"/>
  <c r="AP35" i="17" s="1"/>
  <c r="AM35" i="17"/>
  <c r="AO35" i="17" s="1"/>
  <c r="AJ35" i="17"/>
  <c r="AL35" i="17" s="1"/>
  <c r="AI35" i="17"/>
  <c r="AK35" i="17" s="1"/>
  <c r="AF35" i="17"/>
  <c r="AH35" i="17" s="1"/>
  <c r="AE35" i="17"/>
  <c r="AG35" i="17" s="1"/>
  <c r="AB35" i="17"/>
  <c r="AD35" i="17" s="1"/>
  <c r="AA35" i="17"/>
  <c r="AC35" i="17" s="1"/>
  <c r="X35" i="17"/>
  <c r="Z35" i="17" s="1"/>
  <c r="W35" i="17"/>
  <c r="Y35" i="17" s="1"/>
  <c r="T35" i="17"/>
  <c r="V35" i="17" s="1"/>
  <c r="S35" i="17"/>
  <c r="U35" i="17" s="1"/>
  <c r="P35" i="17"/>
  <c r="R35" i="17" s="1"/>
  <c r="O35" i="17"/>
  <c r="Q35" i="17" s="1"/>
  <c r="L35" i="17"/>
  <c r="N35" i="17" s="1"/>
  <c r="K35" i="17"/>
  <c r="M35" i="17" s="1"/>
  <c r="H35" i="17"/>
  <c r="J35" i="17" s="1"/>
  <c r="G35" i="17"/>
  <c r="I35" i="17" s="1"/>
  <c r="E35" i="17"/>
  <c r="D35" i="17"/>
  <c r="C35" i="17"/>
  <c r="AV34" i="17"/>
  <c r="AX34" i="17" s="1"/>
  <c r="AU34" i="17"/>
  <c r="AW34" i="17" s="1"/>
  <c r="AR34" i="17"/>
  <c r="AT34" i="17" s="1"/>
  <c r="AQ34" i="17"/>
  <c r="AS34" i="17" s="1"/>
  <c r="AN34" i="17"/>
  <c r="AP34" i="17" s="1"/>
  <c r="AM34" i="17"/>
  <c r="AO34" i="17" s="1"/>
  <c r="AJ34" i="17"/>
  <c r="AL34" i="17" s="1"/>
  <c r="AI34" i="17"/>
  <c r="AK34" i="17" s="1"/>
  <c r="AF34" i="17"/>
  <c r="AH34" i="17" s="1"/>
  <c r="AE34" i="17"/>
  <c r="AG34" i="17" s="1"/>
  <c r="AB34" i="17"/>
  <c r="AD34" i="17" s="1"/>
  <c r="AA34" i="17"/>
  <c r="AC34" i="17" s="1"/>
  <c r="X34" i="17"/>
  <c r="Z34" i="17" s="1"/>
  <c r="W34" i="17"/>
  <c r="Y34" i="17" s="1"/>
  <c r="T34" i="17"/>
  <c r="V34" i="17" s="1"/>
  <c r="S34" i="17"/>
  <c r="U34" i="17" s="1"/>
  <c r="P34" i="17"/>
  <c r="R34" i="17" s="1"/>
  <c r="O34" i="17"/>
  <c r="Q34" i="17" s="1"/>
  <c r="L34" i="17"/>
  <c r="N34" i="17" s="1"/>
  <c r="K34" i="17"/>
  <c r="M34" i="17" s="1"/>
  <c r="H34" i="17"/>
  <c r="J34" i="17" s="1"/>
  <c r="G34" i="17"/>
  <c r="I34" i="17" s="1"/>
  <c r="E34" i="17"/>
  <c r="D34" i="17"/>
  <c r="C34" i="17"/>
  <c r="AV33" i="17"/>
  <c r="AX33" i="17" s="1"/>
  <c r="AU33" i="17"/>
  <c r="AW33" i="17" s="1"/>
  <c r="AR33" i="17"/>
  <c r="AT33" i="17" s="1"/>
  <c r="AQ33" i="17"/>
  <c r="AS33" i="17" s="1"/>
  <c r="AN33" i="17"/>
  <c r="AP33" i="17" s="1"/>
  <c r="AM33" i="17"/>
  <c r="AO33" i="17" s="1"/>
  <c r="AJ33" i="17"/>
  <c r="AL33" i="17" s="1"/>
  <c r="AI33" i="17"/>
  <c r="AK33" i="17" s="1"/>
  <c r="AF33" i="17"/>
  <c r="AH33" i="17" s="1"/>
  <c r="AE33" i="17"/>
  <c r="AG33" i="17" s="1"/>
  <c r="AB33" i="17"/>
  <c r="AD33" i="17" s="1"/>
  <c r="AA33" i="17"/>
  <c r="AC33" i="17" s="1"/>
  <c r="X33" i="17"/>
  <c r="Z33" i="17" s="1"/>
  <c r="W33" i="17"/>
  <c r="Y33" i="17" s="1"/>
  <c r="T33" i="17"/>
  <c r="V33" i="17" s="1"/>
  <c r="S33" i="17"/>
  <c r="U33" i="17" s="1"/>
  <c r="P33" i="17"/>
  <c r="R33" i="17" s="1"/>
  <c r="O33" i="17"/>
  <c r="Q33" i="17" s="1"/>
  <c r="L33" i="17"/>
  <c r="N33" i="17" s="1"/>
  <c r="K33" i="17"/>
  <c r="M33" i="17" s="1"/>
  <c r="H33" i="17"/>
  <c r="J33" i="17" s="1"/>
  <c r="G33" i="17"/>
  <c r="I33" i="17" s="1"/>
  <c r="E33" i="17"/>
  <c r="D33" i="17"/>
  <c r="C33" i="17"/>
  <c r="AV32" i="17"/>
  <c r="AX32" i="17" s="1"/>
  <c r="AU32" i="17"/>
  <c r="AW32" i="17" s="1"/>
  <c r="AR32" i="17"/>
  <c r="AT32" i="17" s="1"/>
  <c r="AQ32" i="17"/>
  <c r="AS32" i="17" s="1"/>
  <c r="AN32" i="17"/>
  <c r="AP32" i="17" s="1"/>
  <c r="AM32" i="17"/>
  <c r="AO32" i="17" s="1"/>
  <c r="AJ32" i="17"/>
  <c r="AL32" i="17" s="1"/>
  <c r="AI32" i="17"/>
  <c r="AK32" i="17" s="1"/>
  <c r="AF32" i="17"/>
  <c r="AH32" i="17" s="1"/>
  <c r="AE32" i="17"/>
  <c r="AG32" i="17" s="1"/>
  <c r="AB32" i="17"/>
  <c r="AD32" i="17" s="1"/>
  <c r="AA32" i="17"/>
  <c r="AC32" i="17" s="1"/>
  <c r="X32" i="17"/>
  <c r="Z32" i="17" s="1"/>
  <c r="W32" i="17"/>
  <c r="Y32" i="17" s="1"/>
  <c r="T32" i="17"/>
  <c r="V32" i="17" s="1"/>
  <c r="S32" i="17"/>
  <c r="U32" i="17" s="1"/>
  <c r="P32" i="17"/>
  <c r="R32" i="17" s="1"/>
  <c r="O32" i="17"/>
  <c r="Q32" i="17" s="1"/>
  <c r="L32" i="17"/>
  <c r="N32" i="17" s="1"/>
  <c r="K32" i="17"/>
  <c r="M32" i="17" s="1"/>
  <c r="H32" i="17"/>
  <c r="J32" i="17" s="1"/>
  <c r="G32" i="17"/>
  <c r="I32" i="17" s="1"/>
  <c r="E32" i="17"/>
  <c r="D32" i="17"/>
  <c r="C32" i="17"/>
  <c r="AV31" i="17"/>
  <c r="AX31" i="17" s="1"/>
  <c r="AU31" i="17"/>
  <c r="AW31" i="17" s="1"/>
  <c r="AR31" i="17"/>
  <c r="AT31" i="17" s="1"/>
  <c r="AQ31" i="17"/>
  <c r="AS31" i="17" s="1"/>
  <c r="AN31" i="17"/>
  <c r="AP31" i="17" s="1"/>
  <c r="AM31" i="17"/>
  <c r="AO31" i="17" s="1"/>
  <c r="AJ31" i="17"/>
  <c r="AL31" i="17" s="1"/>
  <c r="AI31" i="17"/>
  <c r="AK31" i="17" s="1"/>
  <c r="AF31" i="17"/>
  <c r="AH31" i="17" s="1"/>
  <c r="AE31" i="17"/>
  <c r="AG31" i="17" s="1"/>
  <c r="AB31" i="17"/>
  <c r="AD31" i="17" s="1"/>
  <c r="AA31" i="17"/>
  <c r="AC31" i="17" s="1"/>
  <c r="X31" i="17"/>
  <c r="Z31" i="17" s="1"/>
  <c r="W31" i="17"/>
  <c r="Y31" i="17" s="1"/>
  <c r="T31" i="17"/>
  <c r="V31" i="17" s="1"/>
  <c r="S31" i="17"/>
  <c r="U31" i="17" s="1"/>
  <c r="P31" i="17"/>
  <c r="R31" i="17" s="1"/>
  <c r="O31" i="17"/>
  <c r="Q31" i="17" s="1"/>
  <c r="L31" i="17"/>
  <c r="N31" i="17" s="1"/>
  <c r="K31" i="17"/>
  <c r="M31" i="17" s="1"/>
  <c r="H31" i="17"/>
  <c r="J31" i="17" s="1"/>
  <c r="G31" i="17"/>
  <c r="I31" i="17" s="1"/>
  <c r="E31" i="17"/>
  <c r="D31" i="17"/>
  <c r="C31" i="17"/>
  <c r="AV30" i="17"/>
  <c r="AX30" i="17" s="1"/>
  <c r="AU30" i="17"/>
  <c r="AW30" i="17" s="1"/>
  <c r="AR30" i="17"/>
  <c r="AT30" i="17" s="1"/>
  <c r="AQ30" i="17"/>
  <c r="AS30" i="17" s="1"/>
  <c r="AN30" i="17"/>
  <c r="AP30" i="17" s="1"/>
  <c r="AM30" i="17"/>
  <c r="AO30" i="17" s="1"/>
  <c r="AJ30" i="17"/>
  <c r="AL30" i="17" s="1"/>
  <c r="AI30" i="17"/>
  <c r="AK30" i="17" s="1"/>
  <c r="AF30" i="17"/>
  <c r="AH30" i="17" s="1"/>
  <c r="AE30" i="17"/>
  <c r="AG30" i="17" s="1"/>
  <c r="AB30" i="17"/>
  <c r="AD30" i="17" s="1"/>
  <c r="AA30" i="17"/>
  <c r="AC30" i="17" s="1"/>
  <c r="X30" i="17"/>
  <c r="Z30" i="17" s="1"/>
  <c r="W30" i="17"/>
  <c r="Y30" i="17" s="1"/>
  <c r="T30" i="17"/>
  <c r="V30" i="17" s="1"/>
  <c r="S30" i="17"/>
  <c r="U30" i="17" s="1"/>
  <c r="P30" i="17"/>
  <c r="R30" i="17" s="1"/>
  <c r="O30" i="17"/>
  <c r="Q30" i="17" s="1"/>
  <c r="L30" i="17"/>
  <c r="N30" i="17" s="1"/>
  <c r="K30" i="17"/>
  <c r="M30" i="17" s="1"/>
  <c r="H30" i="17"/>
  <c r="J30" i="17" s="1"/>
  <c r="G30" i="17"/>
  <c r="I30" i="17" s="1"/>
  <c r="E30" i="17"/>
  <c r="D30" i="17"/>
  <c r="C30" i="17"/>
  <c r="AV29" i="17"/>
  <c r="AX29" i="17" s="1"/>
  <c r="AU29" i="17"/>
  <c r="AW29" i="17" s="1"/>
  <c r="AR29" i="17"/>
  <c r="AT29" i="17" s="1"/>
  <c r="AQ29" i="17"/>
  <c r="AS29" i="17" s="1"/>
  <c r="AN29" i="17"/>
  <c r="AP29" i="17" s="1"/>
  <c r="AM29" i="17"/>
  <c r="AO29" i="17" s="1"/>
  <c r="AJ29" i="17"/>
  <c r="AL29" i="17" s="1"/>
  <c r="AI29" i="17"/>
  <c r="AK29" i="17" s="1"/>
  <c r="AF29" i="17"/>
  <c r="AH29" i="17" s="1"/>
  <c r="AE29" i="17"/>
  <c r="AG29" i="17" s="1"/>
  <c r="AB29" i="17"/>
  <c r="AD29" i="17" s="1"/>
  <c r="AA29" i="17"/>
  <c r="AC29" i="17" s="1"/>
  <c r="X29" i="17"/>
  <c r="Z29" i="17" s="1"/>
  <c r="W29" i="17"/>
  <c r="Y29" i="17" s="1"/>
  <c r="T29" i="17"/>
  <c r="V29" i="17" s="1"/>
  <c r="S29" i="17"/>
  <c r="U29" i="17" s="1"/>
  <c r="P29" i="17"/>
  <c r="R29" i="17" s="1"/>
  <c r="O29" i="17"/>
  <c r="Q29" i="17" s="1"/>
  <c r="L29" i="17"/>
  <c r="N29" i="17" s="1"/>
  <c r="K29" i="17"/>
  <c r="M29" i="17" s="1"/>
  <c r="H29" i="17"/>
  <c r="J29" i="17" s="1"/>
  <c r="G29" i="17"/>
  <c r="I29" i="17" s="1"/>
  <c r="E29" i="17"/>
  <c r="D29" i="17"/>
  <c r="C29" i="17"/>
  <c r="AV28" i="17"/>
  <c r="AX28" i="17" s="1"/>
  <c r="AU28" i="17"/>
  <c r="AW28" i="17" s="1"/>
  <c r="AR28" i="17"/>
  <c r="AT28" i="17" s="1"/>
  <c r="AQ28" i="17"/>
  <c r="AS28" i="17" s="1"/>
  <c r="AN28" i="17"/>
  <c r="AP28" i="17" s="1"/>
  <c r="AM28" i="17"/>
  <c r="AO28" i="17" s="1"/>
  <c r="AJ28" i="17"/>
  <c r="AL28" i="17" s="1"/>
  <c r="AI28" i="17"/>
  <c r="AK28" i="17" s="1"/>
  <c r="AF28" i="17"/>
  <c r="AH28" i="17" s="1"/>
  <c r="AE28" i="17"/>
  <c r="AG28" i="17" s="1"/>
  <c r="AB28" i="17"/>
  <c r="AD28" i="17" s="1"/>
  <c r="AA28" i="17"/>
  <c r="AC28" i="17" s="1"/>
  <c r="X28" i="17"/>
  <c r="Z28" i="17" s="1"/>
  <c r="W28" i="17"/>
  <c r="Y28" i="17" s="1"/>
  <c r="T28" i="17"/>
  <c r="V28" i="17" s="1"/>
  <c r="S28" i="17"/>
  <c r="U28" i="17" s="1"/>
  <c r="P28" i="17"/>
  <c r="R28" i="17" s="1"/>
  <c r="O28" i="17"/>
  <c r="Q28" i="17" s="1"/>
  <c r="L28" i="17"/>
  <c r="N28" i="17" s="1"/>
  <c r="K28" i="17"/>
  <c r="M28" i="17" s="1"/>
  <c r="H28" i="17"/>
  <c r="J28" i="17" s="1"/>
  <c r="G28" i="17"/>
  <c r="I28" i="17" s="1"/>
  <c r="E28" i="17"/>
  <c r="D28" i="17"/>
  <c r="C28" i="17"/>
  <c r="AV27" i="17"/>
  <c r="AX27" i="17" s="1"/>
  <c r="AU27" i="17"/>
  <c r="AW27" i="17" s="1"/>
  <c r="AR27" i="17"/>
  <c r="AT27" i="17" s="1"/>
  <c r="AQ27" i="17"/>
  <c r="AS27" i="17" s="1"/>
  <c r="AN27" i="17"/>
  <c r="AP27" i="17" s="1"/>
  <c r="AM27" i="17"/>
  <c r="AO27" i="17" s="1"/>
  <c r="AJ27" i="17"/>
  <c r="AL27" i="17" s="1"/>
  <c r="AI27" i="17"/>
  <c r="AK27" i="17" s="1"/>
  <c r="AF27" i="17"/>
  <c r="AH27" i="17" s="1"/>
  <c r="AE27" i="17"/>
  <c r="AG27" i="17" s="1"/>
  <c r="AB27" i="17"/>
  <c r="AD27" i="17" s="1"/>
  <c r="AA27" i="17"/>
  <c r="AC27" i="17" s="1"/>
  <c r="X27" i="17"/>
  <c r="Z27" i="17" s="1"/>
  <c r="W27" i="17"/>
  <c r="Y27" i="17" s="1"/>
  <c r="T27" i="17"/>
  <c r="V27" i="17" s="1"/>
  <c r="S27" i="17"/>
  <c r="U27" i="17" s="1"/>
  <c r="P27" i="17"/>
  <c r="R27" i="17" s="1"/>
  <c r="O27" i="17"/>
  <c r="Q27" i="17" s="1"/>
  <c r="L27" i="17"/>
  <c r="N27" i="17" s="1"/>
  <c r="K27" i="17"/>
  <c r="M27" i="17" s="1"/>
  <c r="H27" i="17"/>
  <c r="J27" i="17" s="1"/>
  <c r="G27" i="17"/>
  <c r="I27" i="17" s="1"/>
  <c r="E27" i="17"/>
  <c r="D27" i="17"/>
  <c r="C27" i="17"/>
  <c r="AV26" i="17"/>
  <c r="AX26" i="17" s="1"/>
  <c r="AU26" i="17"/>
  <c r="AW26" i="17" s="1"/>
  <c r="AR26" i="17"/>
  <c r="AT26" i="17" s="1"/>
  <c r="AQ26" i="17"/>
  <c r="AS26" i="17" s="1"/>
  <c r="AN26" i="17"/>
  <c r="AP26" i="17" s="1"/>
  <c r="AM26" i="17"/>
  <c r="AO26" i="17" s="1"/>
  <c r="AJ26" i="17"/>
  <c r="AL26" i="17" s="1"/>
  <c r="AI26" i="17"/>
  <c r="AK26" i="17" s="1"/>
  <c r="AF26" i="17"/>
  <c r="AH26" i="17" s="1"/>
  <c r="AE26" i="17"/>
  <c r="AG26" i="17" s="1"/>
  <c r="AB26" i="17"/>
  <c r="AD26" i="17" s="1"/>
  <c r="AA26" i="17"/>
  <c r="AC26" i="17" s="1"/>
  <c r="X26" i="17"/>
  <c r="Z26" i="17" s="1"/>
  <c r="W26" i="17"/>
  <c r="Y26" i="17" s="1"/>
  <c r="T26" i="17"/>
  <c r="V26" i="17" s="1"/>
  <c r="S26" i="17"/>
  <c r="U26" i="17" s="1"/>
  <c r="P26" i="17"/>
  <c r="R26" i="17" s="1"/>
  <c r="O26" i="17"/>
  <c r="Q26" i="17" s="1"/>
  <c r="L26" i="17"/>
  <c r="N26" i="17" s="1"/>
  <c r="K26" i="17"/>
  <c r="M26" i="17" s="1"/>
  <c r="H26" i="17"/>
  <c r="J26" i="17" s="1"/>
  <c r="G26" i="17"/>
  <c r="I26" i="17" s="1"/>
  <c r="E26" i="17"/>
  <c r="D26" i="17"/>
  <c r="C26" i="17"/>
  <c r="AV25" i="17"/>
  <c r="AX25" i="17" s="1"/>
  <c r="AU25" i="17"/>
  <c r="AW25" i="17" s="1"/>
  <c r="AR25" i="17"/>
  <c r="AT25" i="17" s="1"/>
  <c r="AQ25" i="17"/>
  <c r="AS25" i="17" s="1"/>
  <c r="AN25" i="17"/>
  <c r="AP25" i="17" s="1"/>
  <c r="AM25" i="17"/>
  <c r="AO25" i="17" s="1"/>
  <c r="AJ25" i="17"/>
  <c r="AL25" i="17" s="1"/>
  <c r="AI25" i="17"/>
  <c r="AK25" i="17" s="1"/>
  <c r="AF25" i="17"/>
  <c r="AH25" i="17" s="1"/>
  <c r="AE25" i="17"/>
  <c r="AG25" i="17" s="1"/>
  <c r="AB25" i="17"/>
  <c r="AD25" i="17" s="1"/>
  <c r="AA25" i="17"/>
  <c r="AC25" i="17" s="1"/>
  <c r="X25" i="17"/>
  <c r="Z25" i="17" s="1"/>
  <c r="W25" i="17"/>
  <c r="Y25" i="17" s="1"/>
  <c r="T25" i="17"/>
  <c r="V25" i="17" s="1"/>
  <c r="S25" i="17"/>
  <c r="U25" i="17" s="1"/>
  <c r="P25" i="17"/>
  <c r="R25" i="17" s="1"/>
  <c r="O25" i="17"/>
  <c r="Q25" i="17" s="1"/>
  <c r="L25" i="17"/>
  <c r="N25" i="17" s="1"/>
  <c r="K25" i="17"/>
  <c r="M25" i="17" s="1"/>
  <c r="H25" i="17"/>
  <c r="J25" i="17" s="1"/>
  <c r="G25" i="17"/>
  <c r="I25" i="17" s="1"/>
  <c r="E25" i="17"/>
  <c r="D25" i="17"/>
  <c r="C25" i="17"/>
  <c r="AV24" i="17"/>
  <c r="AX24" i="17" s="1"/>
  <c r="AU24" i="17"/>
  <c r="AW24" i="17" s="1"/>
  <c r="AR24" i="17"/>
  <c r="AT24" i="17" s="1"/>
  <c r="AQ24" i="17"/>
  <c r="AS24" i="17" s="1"/>
  <c r="AN24" i="17"/>
  <c r="AP24" i="17" s="1"/>
  <c r="AM24" i="17"/>
  <c r="AO24" i="17" s="1"/>
  <c r="AJ24" i="17"/>
  <c r="AL24" i="17" s="1"/>
  <c r="AI24" i="17"/>
  <c r="AK24" i="17" s="1"/>
  <c r="AF24" i="17"/>
  <c r="AH24" i="17" s="1"/>
  <c r="AE24" i="17"/>
  <c r="AG24" i="17" s="1"/>
  <c r="AB24" i="17"/>
  <c r="AD24" i="17" s="1"/>
  <c r="AA24" i="17"/>
  <c r="AC24" i="17" s="1"/>
  <c r="X24" i="17"/>
  <c r="Z24" i="17" s="1"/>
  <c r="W24" i="17"/>
  <c r="Y24" i="17" s="1"/>
  <c r="T24" i="17"/>
  <c r="V24" i="17" s="1"/>
  <c r="S24" i="17"/>
  <c r="U24" i="17" s="1"/>
  <c r="P24" i="17"/>
  <c r="R24" i="17" s="1"/>
  <c r="O24" i="17"/>
  <c r="Q24" i="17" s="1"/>
  <c r="L24" i="17"/>
  <c r="N24" i="17" s="1"/>
  <c r="K24" i="17"/>
  <c r="M24" i="17" s="1"/>
  <c r="H24" i="17"/>
  <c r="J24" i="17" s="1"/>
  <c r="G24" i="17"/>
  <c r="I24" i="17" s="1"/>
  <c r="E24" i="17"/>
  <c r="D24" i="17"/>
  <c r="C24" i="17"/>
  <c r="AV23" i="17"/>
  <c r="AX23" i="17" s="1"/>
  <c r="AU23" i="17"/>
  <c r="AW23" i="17" s="1"/>
  <c r="AR23" i="17"/>
  <c r="AT23" i="17" s="1"/>
  <c r="AQ23" i="17"/>
  <c r="AS23" i="17" s="1"/>
  <c r="AN23" i="17"/>
  <c r="AP23" i="17" s="1"/>
  <c r="AM23" i="17"/>
  <c r="AO23" i="17" s="1"/>
  <c r="AJ23" i="17"/>
  <c r="AL23" i="17" s="1"/>
  <c r="AI23" i="17"/>
  <c r="AK23" i="17" s="1"/>
  <c r="AF23" i="17"/>
  <c r="AH23" i="17" s="1"/>
  <c r="AE23" i="17"/>
  <c r="AG23" i="17" s="1"/>
  <c r="AB23" i="17"/>
  <c r="AD23" i="17" s="1"/>
  <c r="AA23" i="17"/>
  <c r="AC23" i="17" s="1"/>
  <c r="X23" i="17"/>
  <c r="Z23" i="17" s="1"/>
  <c r="W23" i="17"/>
  <c r="Y23" i="17" s="1"/>
  <c r="T23" i="17"/>
  <c r="V23" i="17" s="1"/>
  <c r="S23" i="17"/>
  <c r="U23" i="17" s="1"/>
  <c r="P23" i="17"/>
  <c r="R23" i="17" s="1"/>
  <c r="O23" i="17"/>
  <c r="Q23" i="17" s="1"/>
  <c r="L23" i="17"/>
  <c r="N23" i="17" s="1"/>
  <c r="K23" i="17"/>
  <c r="M23" i="17" s="1"/>
  <c r="H23" i="17"/>
  <c r="J23" i="17" s="1"/>
  <c r="G23" i="17"/>
  <c r="I23" i="17" s="1"/>
  <c r="E23" i="17"/>
  <c r="D23" i="17"/>
  <c r="C23" i="17"/>
  <c r="AV22" i="17"/>
  <c r="AX22" i="17" s="1"/>
  <c r="AU22" i="17"/>
  <c r="AW22" i="17" s="1"/>
  <c r="AR22" i="17"/>
  <c r="AT22" i="17" s="1"/>
  <c r="AQ22" i="17"/>
  <c r="AS22" i="17" s="1"/>
  <c r="AN22" i="17"/>
  <c r="AP22" i="17" s="1"/>
  <c r="AM22" i="17"/>
  <c r="AO22" i="17" s="1"/>
  <c r="AJ22" i="17"/>
  <c r="AL22" i="17" s="1"/>
  <c r="AI22" i="17"/>
  <c r="AK22" i="17" s="1"/>
  <c r="AF22" i="17"/>
  <c r="AH22" i="17" s="1"/>
  <c r="AE22" i="17"/>
  <c r="AG22" i="17" s="1"/>
  <c r="AB22" i="17"/>
  <c r="AD22" i="17" s="1"/>
  <c r="AA22" i="17"/>
  <c r="AC22" i="17" s="1"/>
  <c r="X22" i="17"/>
  <c r="Z22" i="17" s="1"/>
  <c r="W22" i="17"/>
  <c r="Y22" i="17" s="1"/>
  <c r="T22" i="17"/>
  <c r="V22" i="17" s="1"/>
  <c r="S22" i="17"/>
  <c r="U22" i="17" s="1"/>
  <c r="P22" i="17"/>
  <c r="R22" i="17" s="1"/>
  <c r="O22" i="17"/>
  <c r="Q22" i="17" s="1"/>
  <c r="L22" i="17"/>
  <c r="N22" i="17" s="1"/>
  <c r="K22" i="17"/>
  <c r="M22" i="17" s="1"/>
  <c r="H22" i="17"/>
  <c r="J22" i="17" s="1"/>
  <c r="G22" i="17"/>
  <c r="I22" i="17" s="1"/>
  <c r="E22" i="17"/>
  <c r="D22" i="17"/>
  <c r="C22" i="17"/>
  <c r="AV21" i="17"/>
  <c r="AX21" i="17" s="1"/>
  <c r="AU21" i="17"/>
  <c r="AW21" i="17" s="1"/>
  <c r="AR21" i="17"/>
  <c r="AT21" i="17" s="1"/>
  <c r="AQ21" i="17"/>
  <c r="AS21" i="17" s="1"/>
  <c r="AN21" i="17"/>
  <c r="AP21" i="17" s="1"/>
  <c r="AM21" i="17"/>
  <c r="AO21" i="17" s="1"/>
  <c r="AJ21" i="17"/>
  <c r="AL21" i="17" s="1"/>
  <c r="AI21" i="17"/>
  <c r="AK21" i="17" s="1"/>
  <c r="AF21" i="17"/>
  <c r="AH21" i="17" s="1"/>
  <c r="AE21" i="17"/>
  <c r="AG21" i="17" s="1"/>
  <c r="AB21" i="17"/>
  <c r="AD21" i="17" s="1"/>
  <c r="AA21" i="17"/>
  <c r="AC21" i="17" s="1"/>
  <c r="X21" i="17"/>
  <c r="Z21" i="17" s="1"/>
  <c r="W21" i="17"/>
  <c r="Y21" i="17" s="1"/>
  <c r="T21" i="17"/>
  <c r="V21" i="17" s="1"/>
  <c r="S21" i="17"/>
  <c r="U21" i="17" s="1"/>
  <c r="P21" i="17"/>
  <c r="R21" i="17" s="1"/>
  <c r="O21" i="17"/>
  <c r="Q21" i="17" s="1"/>
  <c r="L21" i="17"/>
  <c r="N21" i="17" s="1"/>
  <c r="K21" i="17"/>
  <c r="M21" i="17" s="1"/>
  <c r="H21" i="17"/>
  <c r="J21" i="17" s="1"/>
  <c r="G21" i="17"/>
  <c r="I21" i="17" s="1"/>
  <c r="E21" i="17"/>
  <c r="D21" i="17"/>
  <c r="C21" i="17"/>
  <c r="AV20" i="17"/>
  <c r="AX20" i="17" s="1"/>
  <c r="AU20" i="17"/>
  <c r="AW20" i="17" s="1"/>
  <c r="AR20" i="17"/>
  <c r="AT20" i="17" s="1"/>
  <c r="AQ20" i="17"/>
  <c r="AS20" i="17" s="1"/>
  <c r="AN20" i="17"/>
  <c r="AP20" i="17" s="1"/>
  <c r="AM20" i="17"/>
  <c r="AO20" i="17" s="1"/>
  <c r="AJ20" i="17"/>
  <c r="AL20" i="17" s="1"/>
  <c r="AI20" i="17"/>
  <c r="AK20" i="17" s="1"/>
  <c r="AF20" i="17"/>
  <c r="AH20" i="17" s="1"/>
  <c r="AE20" i="17"/>
  <c r="AG20" i="17" s="1"/>
  <c r="AB20" i="17"/>
  <c r="AD20" i="17" s="1"/>
  <c r="AA20" i="17"/>
  <c r="AC20" i="17" s="1"/>
  <c r="X20" i="17"/>
  <c r="Z20" i="17" s="1"/>
  <c r="W20" i="17"/>
  <c r="Y20" i="17" s="1"/>
  <c r="T20" i="17"/>
  <c r="V20" i="17" s="1"/>
  <c r="S20" i="17"/>
  <c r="U20" i="17" s="1"/>
  <c r="P20" i="17"/>
  <c r="R20" i="17" s="1"/>
  <c r="O20" i="17"/>
  <c r="Q20" i="17" s="1"/>
  <c r="L20" i="17"/>
  <c r="N20" i="17" s="1"/>
  <c r="K20" i="17"/>
  <c r="M20" i="17" s="1"/>
  <c r="H20" i="17"/>
  <c r="J20" i="17" s="1"/>
  <c r="G20" i="17"/>
  <c r="I20" i="17" s="1"/>
  <c r="E20" i="17"/>
  <c r="D20" i="17"/>
  <c r="C20" i="17"/>
  <c r="AV19" i="17"/>
  <c r="AX19" i="17" s="1"/>
  <c r="AU19" i="17"/>
  <c r="AW19" i="17" s="1"/>
  <c r="AR19" i="17"/>
  <c r="AT19" i="17" s="1"/>
  <c r="AQ19" i="17"/>
  <c r="AS19" i="17" s="1"/>
  <c r="AN19" i="17"/>
  <c r="AP19" i="17" s="1"/>
  <c r="AM19" i="17"/>
  <c r="AO19" i="17" s="1"/>
  <c r="AJ19" i="17"/>
  <c r="AL19" i="17" s="1"/>
  <c r="AI19" i="17"/>
  <c r="AK19" i="17" s="1"/>
  <c r="AF19" i="17"/>
  <c r="AH19" i="17" s="1"/>
  <c r="AE19" i="17"/>
  <c r="AG19" i="17" s="1"/>
  <c r="AB19" i="17"/>
  <c r="AD19" i="17" s="1"/>
  <c r="AA19" i="17"/>
  <c r="AC19" i="17" s="1"/>
  <c r="X19" i="17"/>
  <c r="Z19" i="17" s="1"/>
  <c r="W19" i="17"/>
  <c r="Y19" i="17" s="1"/>
  <c r="T19" i="17"/>
  <c r="V19" i="17" s="1"/>
  <c r="S19" i="17"/>
  <c r="U19" i="17" s="1"/>
  <c r="P19" i="17"/>
  <c r="R19" i="17" s="1"/>
  <c r="O19" i="17"/>
  <c r="Q19" i="17" s="1"/>
  <c r="L19" i="17"/>
  <c r="N19" i="17" s="1"/>
  <c r="K19" i="17"/>
  <c r="M19" i="17" s="1"/>
  <c r="H19" i="17"/>
  <c r="J19" i="17" s="1"/>
  <c r="G19" i="17"/>
  <c r="I19" i="17" s="1"/>
  <c r="E19" i="17"/>
  <c r="D19" i="17"/>
  <c r="C19" i="17"/>
  <c r="AV18" i="17"/>
  <c r="AX18" i="17" s="1"/>
  <c r="AU18" i="17"/>
  <c r="AW18" i="17" s="1"/>
  <c r="AR18" i="17"/>
  <c r="AT18" i="17" s="1"/>
  <c r="AQ18" i="17"/>
  <c r="AS18" i="17" s="1"/>
  <c r="AN18" i="17"/>
  <c r="AP18" i="17" s="1"/>
  <c r="AM18" i="17"/>
  <c r="AO18" i="17" s="1"/>
  <c r="AJ18" i="17"/>
  <c r="AL18" i="17" s="1"/>
  <c r="AI18" i="17"/>
  <c r="AK18" i="17" s="1"/>
  <c r="AF18" i="17"/>
  <c r="AH18" i="17" s="1"/>
  <c r="AE18" i="17"/>
  <c r="AG18" i="17" s="1"/>
  <c r="AB18" i="17"/>
  <c r="AD18" i="17" s="1"/>
  <c r="AA18" i="17"/>
  <c r="AC18" i="17" s="1"/>
  <c r="X18" i="17"/>
  <c r="Z18" i="17" s="1"/>
  <c r="W18" i="17"/>
  <c r="Y18" i="17" s="1"/>
  <c r="T18" i="17"/>
  <c r="V18" i="17" s="1"/>
  <c r="S18" i="17"/>
  <c r="U18" i="17" s="1"/>
  <c r="P18" i="17"/>
  <c r="R18" i="17" s="1"/>
  <c r="O18" i="17"/>
  <c r="Q18" i="17" s="1"/>
  <c r="L18" i="17"/>
  <c r="N18" i="17" s="1"/>
  <c r="K18" i="17"/>
  <c r="M18" i="17" s="1"/>
  <c r="H18" i="17"/>
  <c r="J18" i="17" s="1"/>
  <c r="G18" i="17"/>
  <c r="I18" i="17" s="1"/>
  <c r="E18" i="17"/>
  <c r="D18" i="17"/>
  <c r="C18" i="17"/>
  <c r="AV17" i="17"/>
  <c r="AX17" i="17" s="1"/>
  <c r="AU17" i="17"/>
  <c r="AW17" i="17" s="1"/>
  <c r="AR17" i="17"/>
  <c r="AT17" i="17" s="1"/>
  <c r="AQ17" i="17"/>
  <c r="AS17" i="17" s="1"/>
  <c r="AN17" i="17"/>
  <c r="AP17" i="17" s="1"/>
  <c r="AM17" i="17"/>
  <c r="AO17" i="17" s="1"/>
  <c r="AJ17" i="17"/>
  <c r="AL17" i="17" s="1"/>
  <c r="AI17" i="17"/>
  <c r="AK17" i="17" s="1"/>
  <c r="AF17" i="17"/>
  <c r="AH17" i="17" s="1"/>
  <c r="AE17" i="17"/>
  <c r="AG17" i="17" s="1"/>
  <c r="AB17" i="17"/>
  <c r="AD17" i="17" s="1"/>
  <c r="AA17" i="17"/>
  <c r="AC17" i="17" s="1"/>
  <c r="X17" i="17"/>
  <c r="Z17" i="17" s="1"/>
  <c r="W17" i="17"/>
  <c r="Y17" i="17" s="1"/>
  <c r="T17" i="17"/>
  <c r="V17" i="17" s="1"/>
  <c r="S17" i="17"/>
  <c r="U17" i="17" s="1"/>
  <c r="P17" i="17"/>
  <c r="R17" i="17" s="1"/>
  <c r="O17" i="17"/>
  <c r="Q17" i="17" s="1"/>
  <c r="L17" i="17"/>
  <c r="N17" i="17" s="1"/>
  <c r="K17" i="17"/>
  <c r="M17" i="17" s="1"/>
  <c r="H17" i="17"/>
  <c r="J17" i="17" s="1"/>
  <c r="G17" i="17"/>
  <c r="I17" i="17" s="1"/>
  <c r="E17" i="17"/>
  <c r="D17" i="17"/>
  <c r="C17" i="17"/>
  <c r="AV16" i="17"/>
  <c r="AX16" i="17" s="1"/>
  <c r="AU16" i="17"/>
  <c r="AW16" i="17" s="1"/>
  <c r="AR16" i="17"/>
  <c r="AT16" i="17" s="1"/>
  <c r="AQ16" i="17"/>
  <c r="AS16" i="17" s="1"/>
  <c r="AN16" i="17"/>
  <c r="AP16" i="17" s="1"/>
  <c r="AM16" i="17"/>
  <c r="AO16" i="17" s="1"/>
  <c r="AJ16" i="17"/>
  <c r="AL16" i="17" s="1"/>
  <c r="AI16" i="17"/>
  <c r="AK16" i="17" s="1"/>
  <c r="AF16" i="17"/>
  <c r="AH16" i="17" s="1"/>
  <c r="AE16" i="17"/>
  <c r="AG16" i="17" s="1"/>
  <c r="AB16" i="17"/>
  <c r="AD16" i="17" s="1"/>
  <c r="AA16" i="17"/>
  <c r="AC16" i="17" s="1"/>
  <c r="X16" i="17"/>
  <c r="Z16" i="17" s="1"/>
  <c r="W16" i="17"/>
  <c r="Y16" i="17" s="1"/>
  <c r="T16" i="17"/>
  <c r="V16" i="17" s="1"/>
  <c r="S16" i="17"/>
  <c r="U16" i="17" s="1"/>
  <c r="P16" i="17"/>
  <c r="R16" i="17" s="1"/>
  <c r="O16" i="17"/>
  <c r="Q16" i="17" s="1"/>
  <c r="L16" i="17"/>
  <c r="N16" i="17" s="1"/>
  <c r="K16" i="17"/>
  <c r="M16" i="17" s="1"/>
  <c r="H16" i="17"/>
  <c r="J16" i="17" s="1"/>
  <c r="G16" i="17"/>
  <c r="I16" i="17" s="1"/>
  <c r="E16" i="17"/>
  <c r="D16" i="17"/>
  <c r="C16" i="17"/>
  <c r="AV15" i="17"/>
  <c r="AX15" i="17" s="1"/>
  <c r="AU15" i="17"/>
  <c r="AW15" i="17" s="1"/>
  <c r="AR15" i="17"/>
  <c r="AT15" i="17" s="1"/>
  <c r="AQ15" i="17"/>
  <c r="AS15" i="17" s="1"/>
  <c r="AN15" i="17"/>
  <c r="AP15" i="17" s="1"/>
  <c r="AM15" i="17"/>
  <c r="AO15" i="17" s="1"/>
  <c r="AJ15" i="17"/>
  <c r="AL15" i="17" s="1"/>
  <c r="AI15" i="17"/>
  <c r="AK15" i="17" s="1"/>
  <c r="AF15" i="17"/>
  <c r="AH15" i="17" s="1"/>
  <c r="AE15" i="17"/>
  <c r="AG15" i="17" s="1"/>
  <c r="AB15" i="17"/>
  <c r="AD15" i="17" s="1"/>
  <c r="AA15" i="17"/>
  <c r="AC15" i="17" s="1"/>
  <c r="X15" i="17"/>
  <c r="Z15" i="17" s="1"/>
  <c r="W15" i="17"/>
  <c r="Y15" i="17" s="1"/>
  <c r="T15" i="17"/>
  <c r="V15" i="17" s="1"/>
  <c r="S15" i="17"/>
  <c r="U15" i="17" s="1"/>
  <c r="P15" i="17"/>
  <c r="R15" i="17" s="1"/>
  <c r="O15" i="17"/>
  <c r="Q15" i="17" s="1"/>
  <c r="L15" i="17"/>
  <c r="N15" i="17" s="1"/>
  <c r="K15" i="17"/>
  <c r="M15" i="17" s="1"/>
  <c r="H15" i="17"/>
  <c r="J15" i="17" s="1"/>
  <c r="G15" i="17"/>
  <c r="I15" i="17" s="1"/>
  <c r="E15" i="17"/>
  <c r="D15" i="17"/>
  <c r="C15" i="17"/>
  <c r="AV14" i="17"/>
  <c r="AX14" i="17" s="1"/>
  <c r="AU14" i="17"/>
  <c r="AW14" i="17" s="1"/>
  <c r="AR14" i="17"/>
  <c r="AT14" i="17" s="1"/>
  <c r="AQ14" i="17"/>
  <c r="AS14" i="17" s="1"/>
  <c r="AN14" i="17"/>
  <c r="AP14" i="17" s="1"/>
  <c r="AM14" i="17"/>
  <c r="AO14" i="17" s="1"/>
  <c r="AJ14" i="17"/>
  <c r="AL14" i="17" s="1"/>
  <c r="AI14" i="17"/>
  <c r="AK14" i="17" s="1"/>
  <c r="AF14" i="17"/>
  <c r="AH14" i="17" s="1"/>
  <c r="AE14" i="17"/>
  <c r="AG14" i="17" s="1"/>
  <c r="AB14" i="17"/>
  <c r="AD14" i="17" s="1"/>
  <c r="AA14" i="17"/>
  <c r="AC14" i="17" s="1"/>
  <c r="X14" i="17"/>
  <c r="Z14" i="17" s="1"/>
  <c r="W14" i="17"/>
  <c r="Y14" i="17" s="1"/>
  <c r="T14" i="17"/>
  <c r="V14" i="17" s="1"/>
  <c r="S14" i="17"/>
  <c r="U14" i="17" s="1"/>
  <c r="P14" i="17"/>
  <c r="R14" i="17" s="1"/>
  <c r="O14" i="17"/>
  <c r="Q14" i="17" s="1"/>
  <c r="L14" i="17"/>
  <c r="N14" i="17" s="1"/>
  <c r="K14" i="17"/>
  <c r="M14" i="17" s="1"/>
  <c r="H14" i="17"/>
  <c r="J14" i="17" s="1"/>
  <c r="G14" i="17"/>
  <c r="I14" i="17" s="1"/>
  <c r="E14" i="17"/>
  <c r="D14" i="17"/>
  <c r="C14" i="17"/>
  <c r="AV13" i="17"/>
  <c r="AX13" i="17" s="1"/>
  <c r="AU13" i="17"/>
  <c r="AW13" i="17" s="1"/>
  <c r="AR13" i="17"/>
  <c r="AT13" i="17" s="1"/>
  <c r="AQ13" i="17"/>
  <c r="AS13" i="17" s="1"/>
  <c r="AN13" i="17"/>
  <c r="AP13" i="17" s="1"/>
  <c r="AM13" i="17"/>
  <c r="AO13" i="17" s="1"/>
  <c r="AJ13" i="17"/>
  <c r="AL13" i="17" s="1"/>
  <c r="AI13" i="17"/>
  <c r="AK13" i="17" s="1"/>
  <c r="AF13" i="17"/>
  <c r="AH13" i="17" s="1"/>
  <c r="AE13" i="17"/>
  <c r="AG13" i="17" s="1"/>
  <c r="AB13" i="17"/>
  <c r="AD13" i="17" s="1"/>
  <c r="AA13" i="17"/>
  <c r="AC13" i="17" s="1"/>
  <c r="X13" i="17"/>
  <c r="Z13" i="17" s="1"/>
  <c r="W13" i="17"/>
  <c r="Y13" i="17" s="1"/>
  <c r="T13" i="17"/>
  <c r="V13" i="17" s="1"/>
  <c r="S13" i="17"/>
  <c r="U13" i="17" s="1"/>
  <c r="P13" i="17"/>
  <c r="R13" i="17" s="1"/>
  <c r="O13" i="17"/>
  <c r="Q13" i="17" s="1"/>
  <c r="L13" i="17"/>
  <c r="N13" i="17" s="1"/>
  <c r="K13" i="17"/>
  <c r="M13" i="17" s="1"/>
  <c r="H13" i="17"/>
  <c r="J13" i="17" s="1"/>
  <c r="G13" i="17"/>
  <c r="I13" i="17" s="1"/>
  <c r="E13" i="17"/>
  <c r="D13" i="17"/>
  <c r="C13" i="17"/>
  <c r="AV12" i="17"/>
  <c r="AX12" i="17" s="1"/>
  <c r="AU12" i="17"/>
  <c r="AW12" i="17" s="1"/>
  <c r="AR12" i="17"/>
  <c r="AT12" i="17" s="1"/>
  <c r="AQ12" i="17"/>
  <c r="AS12" i="17" s="1"/>
  <c r="AN12" i="17"/>
  <c r="AP12" i="17" s="1"/>
  <c r="AM12" i="17"/>
  <c r="AO12" i="17" s="1"/>
  <c r="AJ12" i="17"/>
  <c r="AL12" i="17" s="1"/>
  <c r="AI12" i="17"/>
  <c r="AK12" i="17" s="1"/>
  <c r="AF12" i="17"/>
  <c r="AH12" i="17" s="1"/>
  <c r="AE12" i="17"/>
  <c r="AG12" i="17" s="1"/>
  <c r="AB12" i="17"/>
  <c r="AD12" i="17" s="1"/>
  <c r="AA12" i="17"/>
  <c r="AC12" i="17" s="1"/>
  <c r="X12" i="17"/>
  <c r="Z12" i="17" s="1"/>
  <c r="W12" i="17"/>
  <c r="Y12" i="17" s="1"/>
  <c r="T12" i="17"/>
  <c r="V12" i="17" s="1"/>
  <c r="S12" i="17"/>
  <c r="U12" i="17" s="1"/>
  <c r="P12" i="17"/>
  <c r="R12" i="17" s="1"/>
  <c r="O12" i="17"/>
  <c r="Q12" i="17" s="1"/>
  <c r="L12" i="17"/>
  <c r="N12" i="17" s="1"/>
  <c r="K12" i="17"/>
  <c r="M12" i="17" s="1"/>
  <c r="H12" i="17"/>
  <c r="J12" i="17" s="1"/>
  <c r="G12" i="17"/>
  <c r="I12" i="17" s="1"/>
  <c r="E12" i="17"/>
  <c r="D12" i="17"/>
  <c r="C12" i="17"/>
  <c r="AV11" i="17"/>
  <c r="AX11" i="17" s="1"/>
  <c r="AU11" i="17"/>
  <c r="AW11" i="17" s="1"/>
  <c r="AR11" i="17"/>
  <c r="AT11" i="17" s="1"/>
  <c r="AQ11" i="17"/>
  <c r="AS11" i="17" s="1"/>
  <c r="AN11" i="17"/>
  <c r="AP11" i="17" s="1"/>
  <c r="AM11" i="17"/>
  <c r="AO11" i="17" s="1"/>
  <c r="AJ11" i="17"/>
  <c r="AL11" i="17" s="1"/>
  <c r="AI11" i="17"/>
  <c r="AK11" i="17" s="1"/>
  <c r="AF11" i="17"/>
  <c r="AH11" i="17" s="1"/>
  <c r="AE11" i="17"/>
  <c r="AG11" i="17" s="1"/>
  <c r="AB11" i="17"/>
  <c r="AD11" i="17" s="1"/>
  <c r="AA11" i="17"/>
  <c r="AC11" i="17" s="1"/>
  <c r="X11" i="17"/>
  <c r="Z11" i="17" s="1"/>
  <c r="W11" i="17"/>
  <c r="Y11" i="17" s="1"/>
  <c r="T11" i="17"/>
  <c r="V11" i="17" s="1"/>
  <c r="S11" i="17"/>
  <c r="U11" i="17" s="1"/>
  <c r="P11" i="17"/>
  <c r="R11" i="17" s="1"/>
  <c r="O11" i="17"/>
  <c r="Q11" i="17" s="1"/>
  <c r="L11" i="17"/>
  <c r="N11" i="17" s="1"/>
  <c r="K11" i="17"/>
  <c r="M11" i="17" s="1"/>
  <c r="H11" i="17"/>
  <c r="J11" i="17" s="1"/>
  <c r="G11" i="17"/>
  <c r="I11" i="17" s="1"/>
  <c r="E11" i="17"/>
  <c r="D11" i="17"/>
  <c r="C11" i="17"/>
  <c r="AV10" i="17"/>
  <c r="AX10" i="17" s="1"/>
  <c r="AU10" i="17"/>
  <c r="AW10" i="17" s="1"/>
  <c r="AR10" i="17"/>
  <c r="AT10" i="17" s="1"/>
  <c r="AQ10" i="17"/>
  <c r="AS10" i="17" s="1"/>
  <c r="AN10" i="17"/>
  <c r="AP10" i="17" s="1"/>
  <c r="AM10" i="17"/>
  <c r="AO10" i="17" s="1"/>
  <c r="AJ10" i="17"/>
  <c r="AL10" i="17" s="1"/>
  <c r="AI10" i="17"/>
  <c r="AK10" i="17" s="1"/>
  <c r="AF10" i="17"/>
  <c r="AH10" i="17" s="1"/>
  <c r="AE10" i="17"/>
  <c r="AG10" i="17" s="1"/>
  <c r="AB10" i="17"/>
  <c r="AD10" i="17" s="1"/>
  <c r="AA10" i="17"/>
  <c r="AC10" i="17" s="1"/>
  <c r="X10" i="17"/>
  <c r="Z10" i="17" s="1"/>
  <c r="W10" i="17"/>
  <c r="Y10" i="17" s="1"/>
  <c r="T10" i="17"/>
  <c r="V10" i="17" s="1"/>
  <c r="S10" i="17"/>
  <c r="U10" i="17" s="1"/>
  <c r="P10" i="17"/>
  <c r="R10" i="17" s="1"/>
  <c r="O10" i="17"/>
  <c r="Q10" i="17" s="1"/>
  <c r="L10" i="17"/>
  <c r="N10" i="17" s="1"/>
  <c r="K10" i="17"/>
  <c r="M10" i="17" s="1"/>
  <c r="H10" i="17"/>
  <c r="J10" i="17" s="1"/>
  <c r="G10" i="17"/>
  <c r="I10" i="17" s="1"/>
  <c r="E10" i="17"/>
  <c r="D10" i="17"/>
  <c r="C10" i="17"/>
  <c r="AV9" i="17"/>
  <c r="AX9" i="17" s="1"/>
  <c r="AU9" i="17"/>
  <c r="AW9" i="17" s="1"/>
  <c r="AR9" i="17"/>
  <c r="AT9" i="17" s="1"/>
  <c r="AQ9" i="17"/>
  <c r="AS9" i="17" s="1"/>
  <c r="AN9" i="17"/>
  <c r="AP9" i="17" s="1"/>
  <c r="AM9" i="17"/>
  <c r="AO9" i="17" s="1"/>
  <c r="AJ9" i="17"/>
  <c r="AL9" i="17" s="1"/>
  <c r="AI9" i="17"/>
  <c r="AK9" i="17" s="1"/>
  <c r="AF9" i="17"/>
  <c r="AH9" i="17" s="1"/>
  <c r="AE9" i="17"/>
  <c r="AG9" i="17" s="1"/>
  <c r="AB9" i="17"/>
  <c r="AD9" i="17" s="1"/>
  <c r="AA9" i="17"/>
  <c r="AC9" i="17" s="1"/>
  <c r="X9" i="17"/>
  <c r="Z9" i="17" s="1"/>
  <c r="W9" i="17"/>
  <c r="Y9" i="17" s="1"/>
  <c r="T9" i="17"/>
  <c r="V9" i="17" s="1"/>
  <c r="S9" i="17"/>
  <c r="U9" i="17" s="1"/>
  <c r="P9" i="17"/>
  <c r="R9" i="17" s="1"/>
  <c r="O9" i="17"/>
  <c r="Q9" i="17" s="1"/>
  <c r="L9" i="17"/>
  <c r="N9" i="17" s="1"/>
  <c r="K9" i="17"/>
  <c r="M9" i="17" s="1"/>
  <c r="H9" i="17"/>
  <c r="J9" i="17" s="1"/>
  <c r="G9" i="17"/>
  <c r="I9" i="17" s="1"/>
  <c r="E9" i="17"/>
  <c r="D9" i="17"/>
  <c r="C9" i="17"/>
  <c r="AV8" i="17"/>
  <c r="AX8" i="17" s="1"/>
  <c r="AU8" i="17"/>
  <c r="AW8" i="17" s="1"/>
  <c r="AR8" i="17"/>
  <c r="AT8" i="17" s="1"/>
  <c r="AQ8" i="17"/>
  <c r="AS8" i="17" s="1"/>
  <c r="AN8" i="17"/>
  <c r="AP8" i="17" s="1"/>
  <c r="AM8" i="17"/>
  <c r="AO8" i="17" s="1"/>
  <c r="AJ8" i="17"/>
  <c r="AL8" i="17" s="1"/>
  <c r="AI8" i="17"/>
  <c r="AK8" i="17" s="1"/>
  <c r="AF8" i="17"/>
  <c r="AH8" i="17" s="1"/>
  <c r="AE8" i="17"/>
  <c r="AG8" i="17" s="1"/>
  <c r="AB8" i="17"/>
  <c r="AD8" i="17" s="1"/>
  <c r="AA8" i="17"/>
  <c r="AC8" i="17" s="1"/>
  <c r="X8" i="17"/>
  <c r="Z8" i="17" s="1"/>
  <c r="W8" i="17"/>
  <c r="Y8" i="17" s="1"/>
  <c r="T8" i="17"/>
  <c r="V8" i="17" s="1"/>
  <c r="S8" i="17"/>
  <c r="U8" i="17" s="1"/>
  <c r="P8" i="17"/>
  <c r="R8" i="17" s="1"/>
  <c r="O8" i="17"/>
  <c r="Q8" i="17" s="1"/>
  <c r="L8" i="17"/>
  <c r="N8" i="17" s="1"/>
  <c r="K8" i="17"/>
  <c r="M8" i="17" s="1"/>
  <c r="H8" i="17"/>
  <c r="J8" i="17" s="1"/>
  <c r="G8" i="17"/>
  <c r="I8" i="17" s="1"/>
  <c r="E8" i="17"/>
  <c r="D8" i="17"/>
  <c r="C8" i="17"/>
  <c r="AV7" i="17"/>
  <c r="AX7" i="17" s="1"/>
  <c r="AU7" i="17"/>
  <c r="AW7" i="17" s="1"/>
  <c r="AR7" i="17"/>
  <c r="AT7" i="17" s="1"/>
  <c r="AQ7" i="17"/>
  <c r="AS7" i="17" s="1"/>
  <c r="AN7" i="17"/>
  <c r="AP7" i="17" s="1"/>
  <c r="AM7" i="17"/>
  <c r="AO7" i="17" s="1"/>
  <c r="AJ7" i="17"/>
  <c r="AL7" i="17" s="1"/>
  <c r="AI7" i="17"/>
  <c r="AK7" i="17" s="1"/>
  <c r="AF7" i="17"/>
  <c r="AH7" i="17" s="1"/>
  <c r="AE7" i="17"/>
  <c r="AG7" i="17" s="1"/>
  <c r="AB7" i="17"/>
  <c r="AD7" i="17" s="1"/>
  <c r="AA7" i="17"/>
  <c r="AC7" i="17" s="1"/>
  <c r="X7" i="17"/>
  <c r="Z7" i="17" s="1"/>
  <c r="W7" i="17"/>
  <c r="Y7" i="17" s="1"/>
  <c r="T7" i="17"/>
  <c r="V7" i="17" s="1"/>
  <c r="S7" i="17"/>
  <c r="U7" i="17" s="1"/>
  <c r="P7" i="17"/>
  <c r="R7" i="17" s="1"/>
  <c r="O7" i="17"/>
  <c r="Q7" i="17" s="1"/>
  <c r="L7" i="17"/>
  <c r="N7" i="17" s="1"/>
  <c r="K7" i="17"/>
  <c r="M7" i="17" s="1"/>
  <c r="H7" i="17"/>
  <c r="J7" i="17" s="1"/>
  <c r="G7" i="17"/>
  <c r="I7" i="17" s="1"/>
  <c r="E7" i="17"/>
  <c r="D7" i="17"/>
  <c r="C7" i="17"/>
  <c r="AV6" i="17"/>
  <c r="AX6" i="17" s="1"/>
  <c r="AU6" i="17"/>
  <c r="AW6" i="17" s="1"/>
  <c r="AR6" i="17"/>
  <c r="AT6" i="17" s="1"/>
  <c r="AQ6" i="17"/>
  <c r="AS6" i="17" s="1"/>
  <c r="AN6" i="17"/>
  <c r="AP6" i="17" s="1"/>
  <c r="AM6" i="17"/>
  <c r="AO6" i="17" s="1"/>
  <c r="AJ6" i="17"/>
  <c r="AL6" i="17" s="1"/>
  <c r="AI6" i="17"/>
  <c r="AK6" i="17" s="1"/>
  <c r="AF6" i="17"/>
  <c r="AH6" i="17" s="1"/>
  <c r="AE6" i="17"/>
  <c r="AG6" i="17" s="1"/>
  <c r="AB6" i="17"/>
  <c r="AD6" i="17" s="1"/>
  <c r="AA6" i="17"/>
  <c r="AC6" i="17" s="1"/>
  <c r="X6" i="17"/>
  <c r="Z6" i="17" s="1"/>
  <c r="W6" i="17"/>
  <c r="Y6" i="17" s="1"/>
  <c r="T6" i="17"/>
  <c r="V6" i="17" s="1"/>
  <c r="S6" i="17"/>
  <c r="U6" i="17" s="1"/>
  <c r="P6" i="17"/>
  <c r="R6" i="17" s="1"/>
  <c r="O6" i="17"/>
  <c r="Q6" i="17" s="1"/>
  <c r="L6" i="17"/>
  <c r="N6" i="17" s="1"/>
  <c r="K6" i="17"/>
  <c r="M6" i="17" s="1"/>
  <c r="H6" i="17"/>
  <c r="J6" i="17" s="1"/>
  <c r="G6" i="17"/>
  <c r="I6" i="17" s="1"/>
  <c r="E6" i="17"/>
  <c r="D6" i="17"/>
  <c r="C6" i="17"/>
  <c r="AV5" i="17"/>
  <c r="AX5" i="17" s="1"/>
  <c r="AU5" i="17"/>
  <c r="AW5" i="17" s="1"/>
  <c r="AR5" i="17"/>
  <c r="AT5" i="17" s="1"/>
  <c r="AQ5" i="17"/>
  <c r="AS5" i="17" s="1"/>
  <c r="AN5" i="17"/>
  <c r="AP5" i="17" s="1"/>
  <c r="AM5" i="17"/>
  <c r="AO5" i="17" s="1"/>
  <c r="AJ5" i="17"/>
  <c r="AL5" i="17" s="1"/>
  <c r="AI5" i="17"/>
  <c r="AK5" i="17" s="1"/>
  <c r="AF5" i="17"/>
  <c r="AH5" i="17" s="1"/>
  <c r="AE5" i="17"/>
  <c r="AG5" i="17" s="1"/>
  <c r="AB5" i="17"/>
  <c r="AD5" i="17" s="1"/>
  <c r="AA5" i="17"/>
  <c r="AC5" i="17" s="1"/>
  <c r="X5" i="17"/>
  <c r="Z5" i="17" s="1"/>
  <c r="W5" i="17"/>
  <c r="Y5" i="17" s="1"/>
  <c r="T5" i="17"/>
  <c r="V5" i="17" s="1"/>
  <c r="S5" i="17"/>
  <c r="U5" i="17" s="1"/>
  <c r="P5" i="17"/>
  <c r="R5" i="17" s="1"/>
  <c r="O5" i="17"/>
  <c r="Q5" i="17" s="1"/>
  <c r="L5" i="17"/>
  <c r="N5" i="17" s="1"/>
  <c r="K5" i="17"/>
  <c r="M5" i="17" s="1"/>
  <c r="H5" i="17"/>
  <c r="J5" i="17" s="1"/>
  <c r="G5" i="17"/>
  <c r="I5" i="17" s="1"/>
  <c r="E5" i="17"/>
  <c r="D5" i="17"/>
  <c r="C5" i="17"/>
  <c r="AV4" i="17"/>
  <c r="AX4" i="17" s="1"/>
  <c r="AU4" i="17"/>
  <c r="AW4" i="17" s="1"/>
  <c r="AR4" i="17"/>
  <c r="AT4" i="17" s="1"/>
  <c r="AQ4" i="17"/>
  <c r="AS4" i="17" s="1"/>
  <c r="AN4" i="17"/>
  <c r="AP4" i="17" s="1"/>
  <c r="AM4" i="17"/>
  <c r="AO4" i="17" s="1"/>
  <c r="AJ4" i="17"/>
  <c r="AL4" i="17" s="1"/>
  <c r="AI4" i="17"/>
  <c r="AK4" i="17" s="1"/>
  <c r="AF4" i="17"/>
  <c r="AH4" i="17" s="1"/>
  <c r="AE4" i="17"/>
  <c r="AG4" i="17" s="1"/>
  <c r="AB4" i="17"/>
  <c r="AD4" i="17" s="1"/>
  <c r="AA4" i="17"/>
  <c r="AC4" i="17" s="1"/>
  <c r="X4" i="17"/>
  <c r="Z4" i="17" s="1"/>
  <c r="W4" i="17"/>
  <c r="Y4" i="17" s="1"/>
  <c r="T4" i="17"/>
  <c r="V4" i="17" s="1"/>
  <c r="S4" i="17"/>
  <c r="U4" i="17" s="1"/>
  <c r="P4" i="17"/>
  <c r="R4" i="17" s="1"/>
  <c r="O4" i="17"/>
  <c r="Q4" i="17" s="1"/>
  <c r="L4" i="17"/>
  <c r="N4" i="17" s="1"/>
  <c r="K4" i="17"/>
  <c r="M4" i="17" s="1"/>
  <c r="H4" i="17"/>
  <c r="J4" i="17" s="1"/>
  <c r="G4" i="17"/>
  <c r="I4" i="17" s="1"/>
  <c r="E4" i="17"/>
  <c r="D4" i="17"/>
  <c r="C4" i="17"/>
  <c r="AV3" i="17"/>
  <c r="AX3" i="17" s="1"/>
  <c r="AU3" i="17"/>
  <c r="AW3" i="17" s="1"/>
  <c r="AR3" i="17"/>
  <c r="AT3" i="17" s="1"/>
  <c r="AQ3" i="17"/>
  <c r="AS3" i="17" s="1"/>
  <c r="AN3" i="17"/>
  <c r="AP3" i="17" s="1"/>
  <c r="AM3" i="17"/>
  <c r="AO3" i="17" s="1"/>
  <c r="AJ3" i="17"/>
  <c r="AL3" i="17" s="1"/>
  <c r="AI3" i="17"/>
  <c r="AK3" i="17" s="1"/>
  <c r="AF3" i="17"/>
  <c r="AH3" i="17" s="1"/>
  <c r="AE3" i="17"/>
  <c r="AG3" i="17" s="1"/>
  <c r="AB3" i="17"/>
  <c r="AD3" i="17" s="1"/>
  <c r="AA3" i="17"/>
  <c r="AC3" i="17" s="1"/>
  <c r="X3" i="17"/>
  <c r="Z3" i="17" s="1"/>
  <c r="W3" i="17"/>
  <c r="Y3" i="17" s="1"/>
  <c r="T3" i="17"/>
  <c r="V3" i="17" s="1"/>
  <c r="S3" i="17"/>
  <c r="U3" i="17" s="1"/>
  <c r="P3" i="17"/>
  <c r="R3" i="17" s="1"/>
  <c r="O3" i="17"/>
  <c r="Q3" i="17" s="1"/>
  <c r="L3" i="17"/>
  <c r="N3" i="17" s="1"/>
  <c r="K3" i="17"/>
  <c r="M3" i="17" s="1"/>
  <c r="H3" i="17"/>
  <c r="J3" i="17" s="1"/>
  <c r="G3" i="17"/>
  <c r="I3" i="17" s="1"/>
  <c r="E3" i="17"/>
  <c r="D3" i="17"/>
  <c r="C3" i="17"/>
  <c r="AV50" i="16"/>
  <c r="AX50" i="16" s="1"/>
  <c r="AU50" i="16"/>
  <c r="AW50" i="16" s="1"/>
  <c r="AR50" i="16"/>
  <c r="AT50" i="16" s="1"/>
  <c r="AQ50" i="16"/>
  <c r="AS50" i="16" s="1"/>
  <c r="AN50" i="16"/>
  <c r="AP50" i="16" s="1"/>
  <c r="AM50" i="16"/>
  <c r="AO50" i="16" s="1"/>
  <c r="AJ50" i="16"/>
  <c r="AL50" i="16" s="1"/>
  <c r="AI50" i="16"/>
  <c r="AK50" i="16" s="1"/>
  <c r="AF50" i="16"/>
  <c r="AH50" i="16" s="1"/>
  <c r="AE50" i="16"/>
  <c r="AG50" i="16" s="1"/>
  <c r="AB50" i="16"/>
  <c r="AD50" i="16" s="1"/>
  <c r="AA50" i="16"/>
  <c r="AC50" i="16" s="1"/>
  <c r="X50" i="16"/>
  <c r="Z50" i="16" s="1"/>
  <c r="W50" i="16"/>
  <c r="Y50" i="16" s="1"/>
  <c r="T50" i="16"/>
  <c r="V50" i="16" s="1"/>
  <c r="S50" i="16"/>
  <c r="U50" i="16" s="1"/>
  <c r="P50" i="16"/>
  <c r="R50" i="16" s="1"/>
  <c r="O50" i="16"/>
  <c r="Q50" i="16" s="1"/>
  <c r="L50" i="16"/>
  <c r="N50" i="16" s="1"/>
  <c r="K50" i="16"/>
  <c r="M50" i="16" s="1"/>
  <c r="H50" i="16"/>
  <c r="J50" i="16" s="1"/>
  <c r="G50" i="16"/>
  <c r="I50" i="16" s="1"/>
  <c r="E50" i="16"/>
  <c r="D50" i="16"/>
  <c r="C50" i="16"/>
  <c r="AV49" i="16"/>
  <c r="AX49" i="16" s="1"/>
  <c r="AU49" i="16"/>
  <c r="AW49" i="16" s="1"/>
  <c r="AR49" i="16"/>
  <c r="AT49" i="16" s="1"/>
  <c r="AQ49" i="16"/>
  <c r="AS49" i="16" s="1"/>
  <c r="AN49" i="16"/>
  <c r="AP49" i="16" s="1"/>
  <c r="AM49" i="16"/>
  <c r="AO49" i="16" s="1"/>
  <c r="AJ49" i="16"/>
  <c r="AL49" i="16" s="1"/>
  <c r="AI49" i="16"/>
  <c r="AK49" i="16" s="1"/>
  <c r="AF49" i="16"/>
  <c r="AH49" i="16" s="1"/>
  <c r="AE49" i="16"/>
  <c r="AG49" i="16" s="1"/>
  <c r="AB49" i="16"/>
  <c r="AD49" i="16" s="1"/>
  <c r="AA49" i="16"/>
  <c r="AC49" i="16" s="1"/>
  <c r="X49" i="16"/>
  <c r="Z49" i="16" s="1"/>
  <c r="W49" i="16"/>
  <c r="Y49" i="16" s="1"/>
  <c r="T49" i="16"/>
  <c r="V49" i="16" s="1"/>
  <c r="S49" i="16"/>
  <c r="U49" i="16" s="1"/>
  <c r="P49" i="16"/>
  <c r="R49" i="16" s="1"/>
  <c r="O49" i="16"/>
  <c r="Q49" i="16" s="1"/>
  <c r="L49" i="16"/>
  <c r="N49" i="16" s="1"/>
  <c r="K49" i="16"/>
  <c r="M49" i="16" s="1"/>
  <c r="H49" i="16"/>
  <c r="J49" i="16" s="1"/>
  <c r="G49" i="16"/>
  <c r="I49" i="16" s="1"/>
  <c r="E49" i="16"/>
  <c r="D49" i="16"/>
  <c r="C49" i="16"/>
  <c r="AV48" i="16"/>
  <c r="AX48" i="16" s="1"/>
  <c r="AU48" i="16"/>
  <c r="AW48" i="16" s="1"/>
  <c r="AR48" i="16"/>
  <c r="AT48" i="16" s="1"/>
  <c r="AQ48" i="16"/>
  <c r="AS48" i="16" s="1"/>
  <c r="AN48" i="16"/>
  <c r="AP48" i="16" s="1"/>
  <c r="AM48" i="16"/>
  <c r="AO48" i="16" s="1"/>
  <c r="AJ48" i="16"/>
  <c r="AL48" i="16" s="1"/>
  <c r="AI48" i="16"/>
  <c r="AK48" i="16" s="1"/>
  <c r="AF48" i="16"/>
  <c r="AH48" i="16" s="1"/>
  <c r="AE48" i="16"/>
  <c r="AG48" i="16" s="1"/>
  <c r="AB48" i="16"/>
  <c r="AD48" i="16" s="1"/>
  <c r="AA48" i="16"/>
  <c r="AC48" i="16" s="1"/>
  <c r="X48" i="16"/>
  <c r="Z48" i="16" s="1"/>
  <c r="W48" i="16"/>
  <c r="Y48" i="16" s="1"/>
  <c r="T48" i="16"/>
  <c r="V48" i="16" s="1"/>
  <c r="S48" i="16"/>
  <c r="U48" i="16" s="1"/>
  <c r="P48" i="16"/>
  <c r="R48" i="16" s="1"/>
  <c r="O48" i="16"/>
  <c r="Q48" i="16" s="1"/>
  <c r="L48" i="16"/>
  <c r="N48" i="16" s="1"/>
  <c r="K48" i="16"/>
  <c r="M48" i="16" s="1"/>
  <c r="H48" i="16"/>
  <c r="J48" i="16" s="1"/>
  <c r="G48" i="16"/>
  <c r="I48" i="16" s="1"/>
  <c r="E48" i="16"/>
  <c r="D48" i="16"/>
  <c r="C48" i="16"/>
  <c r="AV47" i="16"/>
  <c r="AX47" i="16" s="1"/>
  <c r="AU47" i="16"/>
  <c r="AW47" i="16" s="1"/>
  <c r="AR47" i="16"/>
  <c r="AT47" i="16" s="1"/>
  <c r="AQ47" i="16"/>
  <c r="AS47" i="16" s="1"/>
  <c r="AN47" i="16"/>
  <c r="AP47" i="16" s="1"/>
  <c r="AM47" i="16"/>
  <c r="AO47" i="16" s="1"/>
  <c r="AJ47" i="16"/>
  <c r="AL47" i="16" s="1"/>
  <c r="AI47" i="16"/>
  <c r="AK47" i="16" s="1"/>
  <c r="AF47" i="16"/>
  <c r="AH47" i="16" s="1"/>
  <c r="AE47" i="16"/>
  <c r="AG47" i="16" s="1"/>
  <c r="AB47" i="16"/>
  <c r="AD47" i="16" s="1"/>
  <c r="AA47" i="16"/>
  <c r="AC47" i="16" s="1"/>
  <c r="X47" i="16"/>
  <c r="Z47" i="16" s="1"/>
  <c r="W47" i="16"/>
  <c r="Y47" i="16" s="1"/>
  <c r="T47" i="16"/>
  <c r="V47" i="16" s="1"/>
  <c r="S47" i="16"/>
  <c r="U47" i="16" s="1"/>
  <c r="P47" i="16"/>
  <c r="R47" i="16" s="1"/>
  <c r="O47" i="16"/>
  <c r="Q47" i="16" s="1"/>
  <c r="L47" i="16"/>
  <c r="N47" i="16" s="1"/>
  <c r="K47" i="16"/>
  <c r="M47" i="16" s="1"/>
  <c r="H47" i="16"/>
  <c r="J47" i="16" s="1"/>
  <c r="G47" i="16"/>
  <c r="I47" i="16" s="1"/>
  <c r="E47" i="16"/>
  <c r="D47" i="16"/>
  <c r="C47" i="16"/>
  <c r="AV46" i="16"/>
  <c r="AX46" i="16" s="1"/>
  <c r="AU46" i="16"/>
  <c r="AW46" i="16" s="1"/>
  <c r="AR46" i="16"/>
  <c r="AT46" i="16" s="1"/>
  <c r="AQ46" i="16"/>
  <c r="AS46" i="16" s="1"/>
  <c r="AN46" i="16"/>
  <c r="AP46" i="16" s="1"/>
  <c r="AM46" i="16"/>
  <c r="AO46" i="16" s="1"/>
  <c r="AJ46" i="16"/>
  <c r="AL46" i="16" s="1"/>
  <c r="AI46" i="16"/>
  <c r="AK46" i="16" s="1"/>
  <c r="AF46" i="16"/>
  <c r="AH46" i="16" s="1"/>
  <c r="AE46" i="16"/>
  <c r="AG46" i="16" s="1"/>
  <c r="AB46" i="16"/>
  <c r="AD46" i="16" s="1"/>
  <c r="AA46" i="16"/>
  <c r="AC46" i="16" s="1"/>
  <c r="X46" i="16"/>
  <c r="Z46" i="16" s="1"/>
  <c r="W46" i="16"/>
  <c r="Y46" i="16" s="1"/>
  <c r="T46" i="16"/>
  <c r="V46" i="16" s="1"/>
  <c r="S46" i="16"/>
  <c r="U46" i="16" s="1"/>
  <c r="P46" i="16"/>
  <c r="R46" i="16" s="1"/>
  <c r="O46" i="16"/>
  <c r="Q46" i="16" s="1"/>
  <c r="L46" i="16"/>
  <c r="N46" i="16" s="1"/>
  <c r="K46" i="16"/>
  <c r="M46" i="16" s="1"/>
  <c r="H46" i="16"/>
  <c r="J46" i="16" s="1"/>
  <c r="G46" i="16"/>
  <c r="I46" i="16" s="1"/>
  <c r="E46" i="16"/>
  <c r="D46" i="16"/>
  <c r="C46" i="16"/>
  <c r="AV45" i="16"/>
  <c r="AX45" i="16" s="1"/>
  <c r="AU45" i="16"/>
  <c r="AW45" i="16" s="1"/>
  <c r="AR45" i="16"/>
  <c r="AT45" i="16" s="1"/>
  <c r="AQ45" i="16"/>
  <c r="AS45" i="16" s="1"/>
  <c r="AN45" i="16"/>
  <c r="AP45" i="16" s="1"/>
  <c r="AM45" i="16"/>
  <c r="AO45" i="16" s="1"/>
  <c r="AJ45" i="16"/>
  <c r="AL45" i="16" s="1"/>
  <c r="AI45" i="16"/>
  <c r="AK45" i="16" s="1"/>
  <c r="AF45" i="16"/>
  <c r="AH45" i="16" s="1"/>
  <c r="AE45" i="16"/>
  <c r="AG45" i="16" s="1"/>
  <c r="AB45" i="16"/>
  <c r="AD45" i="16" s="1"/>
  <c r="AA45" i="16"/>
  <c r="AC45" i="16" s="1"/>
  <c r="X45" i="16"/>
  <c r="Z45" i="16" s="1"/>
  <c r="W45" i="16"/>
  <c r="Y45" i="16" s="1"/>
  <c r="T45" i="16"/>
  <c r="V45" i="16" s="1"/>
  <c r="S45" i="16"/>
  <c r="U45" i="16" s="1"/>
  <c r="P45" i="16"/>
  <c r="R45" i="16" s="1"/>
  <c r="O45" i="16"/>
  <c r="Q45" i="16" s="1"/>
  <c r="L45" i="16"/>
  <c r="N45" i="16" s="1"/>
  <c r="K45" i="16"/>
  <c r="M45" i="16" s="1"/>
  <c r="H45" i="16"/>
  <c r="J45" i="16" s="1"/>
  <c r="G45" i="16"/>
  <c r="I45" i="16" s="1"/>
  <c r="E45" i="16"/>
  <c r="D45" i="16"/>
  <c r="C45" i="16"/>
  <c r="AV44" i="16"/>
  <c r="AX44" i="16" s="1"/>
  <c r="AU44" i="16"/>
  <c r="AW44" i="16" s="1"/>
  <c r="AR44" i="16"/>
  <c r="AT44" i="16" s="1"/>
  <c r="AQ44" i="16"/>
  <c r="AS44" i="16" s="1"/>
  <c r="AN44" i="16"/>
  <c r="AP44" i="16" s="1"/>
  <c r="AM44" i="16"/>
  <c r="AO44" i="16" s="1"/>
  <c r="AJ44" i="16"/>
  <c r="AL44" i="16" s="1"/>
  <c r="AI44" i="16"/>
  <c r="AK44" i="16" s="1"/>
  <c r="AF44" i="16"/>
  <c r="AH44" i="16" s="1"/>
  <c r="AE44" i="16"/>
  <c r="AG44" i="16" s="1"/>
  <c r="AB44" i="16"/>
  <c r="AD44" i="16" s="1"/>
  <c r="AA44" i="16"/>
  <c r="AC44" i="16" s="1"/>
  <c r="X44" i="16"/>
  <c r="Z44" i="16" s="1"/>
  <c r="W44" i="16"/>
  <c r="Y44" i="16" s="1"/>
  <c r="T44" i="16"/>
  <c r="V44" i="16" s="1"/>
  <c r="S44" i="16"/>
  <c r="U44" i="16" s="1"/>
  <c r="P44" i="16"/>
  <c r="R44" i="16" s="1"/>
  <c r="O44" i="16"/>
  <c r="Q44" i="16" s="1"/>
  <c r="L44" i="16"/>
  <c r="N44" i="16" s="1"/>
  <c r="K44" i="16"/>
  <c r="M44" i="16" s="1"/>
  <c r="H44" i="16"/>
  <c r="J44" i="16" s="1"/>
  <c r="G44" i="16"/>
  <c r="I44" i="16" s="1"/>
  <c r="E44" i="16"/>
  <c r="D44" i="16"/>
  <c r="C44" i="16"/>
  <c r="AV43" i="16"/>
  <c r="AX43" i="16" s="1"/>
  <c r="AU43" i="16"/>
  <c r="AW43" i="16" s="1"/>
  <c r="AR43" i="16"/>
  <c r="AT43" i="16" s="1"/>
  <c r="AQ43" i="16"/>
  <c r="AS43" i="16" s="1"/>
  <c r="AN43" i="16"/>
  <c r="AP43" i="16" s="1"/>
  <c r="AM43" i="16"/>
  <c r="AO43" i="16" s="1"/>
  <c r="AJ43" i="16"/>
  <c r="AL43" i="16" s="1"/>
  <c r="AI43" i="16"/>
  <c r="AK43" i="16" s="1"/>
  <c r="AF43" i="16"/>
  <c r="AH43" i="16" s="1"/>
  <c r="AE43" i="16"/>
  <c r="AG43" i="16" s="1"/>
  <c r="AB43" i="16"/>
  <c r="AD43" i="16" s="1"/>
  <c r="AA43" i="16"/>
  <c r="AC43" i="16" s="1"/>
  <c r="X43" i="16"/>
  <c r="Z43" i="16" s="1"/>
  <c r="W43" i="16"/>
  <c r="Y43" i="16" s="1"/>
  <c r="T43" i="16"/>
  <c r="V43" i="16" s="1"/>
  <c r="S43" i="16"/>
  <c r="U43" i="16" s="1"/>
  <c r="P43" i="16"/>
  <c r="R43" i="16" s="1"/>
  <c r="O43" i="16"/>
  <c r="Q43" i="16" s="1"/>
  <c r="L43" i="16"/>
  <c r="N43" i="16" s="1"/>
  <c r="K43" i="16"/>
  <c r="M43" i="16" s="1"/>
  <c r="H43" i="16"/>
  <c r="J43" i="16" s="1"/>
  <c r="G43" i="16"/>
  <c r="I43" i="16" s="1"/>
  <c r="E43" i="16"/>
  <c r="D43" i="16"/>
  <c r="C43" i="16"/>
  <c r="AV42" i="16"/>
  <c r="AX42" i="16" s="1"/>
  <c r="AU42" i="16"/>
  <c r="AW42" i="16" s="1"/>
  <c r="AR42" i="16"/>
  <c r="AT42" i="16" s="1"/>
  <c r="AQ42" i="16"/>
  <c r="AS42" i="16" s="1"/>
  <c r="AN42" i="16"/>
  <c r="AP42" i="16" s="1"/>
  <c r="AM42" i="16"/>
  <c r="AO42" i="16" s="1"/>
  <c r="AJ42" i="16"/>
  <c r="AL42" i="16" s="1"/>
  <c r="AI42" i="16"/>
  <c r="AK42" i="16" s="1"/>
  <c r="AF42" i="16"/>
  <c r="AH42" i="16" s="1"/>
  <c r="AE42" i="16"/>
  <c r="AG42" i="16" s="1"/>
  <c r="AB42" i="16"/>
  <c r="AD42" i="16" s="1"/>
  <c r="AA42" i="16"/>
  <c r="AC42" i="16" s="1"/>
  <c r="X42" i="16"/>
  <c r="Z42" i="16" s="1"/>
  <c r="W42" i="16"/>
  <c r="Y42" i="16" s="1"/>
  <c r="T42" i="16"/>
  <c r="V42" i="16" s="1"/>
  <c r="S42" i="16"/>
  <c r="U42" i="16" s="1"/>
  <c r="P42" i="16"/>
  <c r="R42" i="16" s="1"/>
  <c r="O42" i="16"/>
  <c r="Q42" i="16" s="1"/>
  <c r="L42" i="16"/>
  <c r="N42" i="16" s="1"/>
  <c r="K42" i="16"/>
  <c r="M42" i="16" s="1"/>
  <c r="H42" i="16"/>
  <c r="J42" i="16" s="1"/>
  <c r="G42" i="16"/>
  <c r="I42" i="16" s="1"/>
  <c r="E42" i="16"/>
  <c r="D42" i="16"/>
  <c r="C42" i="16"/>
  <c r="AV41" i="16"/>
  <c r="AX41" i="16" s="1"/>
  <c r="AU41" i="16"/>
  <c r="AW41" i="16" s="1"/>
  <c r="AR41" i="16"/>
  <c r="AT41" i="16" s="1"/>
  <c r="AQ41" i="16"/>
  <c r="AS41" i="16" s="1"/>
  <c r="AN41" i="16"/>
  <c r="AP41" i="16" s="1"/>
  <c r="AM41" i="16"/>
  <c r="AO41" i="16" s="1"/>
  <c r="AJ41" i="16"/>
  <c r="AL41" i="16" s="1"/>
  <c r="AI41" i="16"/>
  <c r="AK41" i="16" s="1"/>
  <c r="AF41" i="16"/>
  <c r="AH41" i="16" s="1"/>
  <c r="AE41" i="16"/>
  <c r="AG41" i="16" s="1"/>
  <c r="AB41" i="16"/>
  <c r="AD41" i="16" s="1"/>
  <c r="AA41" i="16"/>
  <c r="AC41" i="16" s="1"/>
  <c r="X41" i="16"/>
  <c r="Z41" i="16" s="1"/>
  <c r="W41" i="16"/>
  <c r="Y41" i="16" s="1"/>
  <c r="T41" i="16"/>
  <c r="V41" i="16" s="1"/>
  <c r="S41" i="16"/>
  <c r="U41" i="16" s="1"/>
  <c r="P41" i="16"/>
  <c r="R41" i="16" s="1"/>
  <c r="O41" i="16"/>
  <c r="Q41" i="16" s="1"/>
  <c r="L41" i="16"/>
  <c r="N41" i="16" s="1"/>
  <c r="K41" i="16"/>
  <c r="M41" i="16" s="1"/>
  <c r="H41" i="16"/>
  <c r="J41" i="16" s="1"/>
  <c r="G41" i="16"/>
  <c r="I41" i="16" s="1"/>
  <c r="E41" i="16"/>
  <c r="D41" i="16"/>
  <c r="C41" i="16"/>
  <c r="AV40" i="16"/>
  <c r="AX40" i="16" s="1"/>
  <c r="AU40" i="16"/>
  <c r="AW40" i="16" s="1"/>
  <c r="AR40" i="16"/>
  <c r="AT40" i="16" s="1"/>
  <c r="AQ40" i="16"/>
  <c r="AS40" i="16" s="1"/>
  <c r="AN40" i="16"/>
  <c r="AP40" i="16" s="1"/>
  <c r="AM40" i="16"/>
  <c r="AO40" i="16" s="1"/>
  <c r="AJ40" i="16"/>
  <c r="AL40" i="16" s="1"/>
  <c r="AI40" i="16"/>
  <c r="AK40" i="16" s="1"/>
  <c r="AF40" i="16"/>
  <c r="AH40" i="16" s="1"/>
  <c r="AE40" i="16"/>
  <c r="AG40" i="16" s="1"/>
  <c r="AB40" i="16"/>
  <c r="AD40" i="16" s="1"/>
  <c r="AA40" i="16"/>
  <c r="AC40" i="16" s="1"/>
  <c r="X40" i="16"/>
  <c r="Z40" i="16" s="1"/>
  <c r="W40" i="16"/>
  <c r="Y40" i="16" s="1"/>
  <c r="T40" i="16"/>
  <c r="V40" i="16" s="1"/>
  <c r="S40" i="16"/>
  <c r="U40" i="16" s="1"/>
  <c r="P40" i="16"/>
  <c r="R40" i="16" s="1"/>
  <c r="O40" i="16"/>
  <c r="Q40" i="16" s="1"/>
  <c r="L40" i="16"/>
  <c r="N40" i="16" s="1"/>
  <c r="K40" i="16"/>
  <c r="M40" i="16" s="1"/>
  <c r="H40" i="16"/>
  <c r="J40" i="16" s="1"/>
  <c r="G40" i="16"/>
  <c r="I40" i="16" s="1"/>
  <c r="E40" i="16"/>
  <c r="D40" i="16"/>
  <c r="C40" i="16"/>
  <c r="AV39" i="16"/>
  <c r="AX39" i="16" s="1"/>
  <c r="AU39" i="16"/>
  <c r="AW39" i="16" s="1"/>
  <c r="AR39" i="16"/>
  <c r="AT39" i="16" s="1"/>
  <c r="AQ39" i="16"/>
  <c r="AS39" i="16" s="1"/>
  <c r="AN39" i="16"/>
  <c r="AP39" i="16" s="1"/>
  <c r="AM39" i="16"/>
  <c r="AO39" i="16" s="1"/>
  <c r="AJ39" i="16"/>
  <c r="AL39" i="16" s="1"/>
  <c r="AI39" i="16"/>
  <c r="AK39" i="16" s="1"/>
  <c r="AF39" i="16"/>
  <c r="AH39" i="16" s="1"/>
  <c r="AE39" i="16"/>
  <c r="AG39" i="16" s="1"/>
  <c r="AB39" i="16"/>
  <c r="AD39" i="16" s="1"/>
  <c r="AA39" i="16"/>
  <c r="AC39" i="16" s="1"/>
  <c r="X39" i="16"/>
  <c r="Z39" i="16" s="1"/>
  <c r="W39" i="16"/>
  <c r="Y39" i="16" s="1"/>
  <c r="T39" i="16"/>
  <c r="V39" i="16" s="1"/>
  <c r="S39" i="16"/>
  <c r="U39" i="16" s="1"/>
  <c r="P39" i="16"/>
  <c r="R39" i="16" s="1"/>
  <c r="O39" i="16"/>
  <c r="Q39" i="16" s="1"/>
  <c r="L39" i="16"/>
  <c r="N39" i="16" s="1"/>
  <c r="K39" i="16"/>
  <c r="M39" i="16" s="1"/>
  <c r="H39" i="16"/>
  <c r="J39" i="16" s="1"/>
  <c r="G39" i="16"/>
  <c r="I39" i="16" s="1"/>
  <c r="E39" i="16"/>
  <c r="D39" i="16"/>
  <c r="C39" i="16"/>
  <c r="AV38" i="16"/>
  <c r="AX38" i="16" s="1"/>
  <c r="AU38" i="16"/>
  <c r="AW38" i="16" s="1"/>
  <c r="AR38" i="16"/>
  <c r="AT38" i="16" s="1"/>
  <c r="AQ38" i="16"/>
  <c r="AS38" i="16" s="1"/>
  <c r="AN38" i="16"/>
  <c r="AP38" i="16" s="1"/>
  <c r="AM38" i="16"/>
  <c r="AO38" i="16" s="1"/>
  <c r="AJ38" i="16"/>
  <c r="AL38" i="16" s="1"/>
  <c r="AI38" i="16"/>
  <c r="AK38" i="16" s="1"/>
  <c r="AF38" i="16"/>
  <c r="AH38" i="16" s="1"/>
  <c r="AE38" i="16"/>
  <c r="AG38" i="16" s="1"/>
  <c r="AB38" i="16"/>
  <c r="AD38" i="16" s="1"/>
  <c r="AA38" i="16"/>
  <c r="AC38" i="16" s="1"/>
  <c r="X38" i="16"/>
  <c r="Z38" i="16" s="1"/>
  <c r="W38" i="16"/>
  <c r="Y38" i="16" s="1"/>
  <c r="T38" i="16"/>
  <c r="V38" i="16" s="1"/>
  <c r="S38" i="16"/>
  <c r="U38" i="16" s="1"/>
  <c r="P38" i="16"/>
  <c r="R38" i="16" s="1"/>
  <c r="O38" i="16"/>
  <c r="Q38" i="16" s="1"/>
  <c r="L38" i="16"/>
  <c r="N38" i="16" s="1"/>
  <c r="K38" i="16"/>
  <c r="M38" i="16" s="1"/>
  <c r="H38" i="16"/>
  <c r="J38" i="16" s="1"/>
  <c r="G38" i="16"/>
  <c r="I38" i="16" s="1"/>
  <c r="E38" i="16"/>
  <c r="D38" i="16"/>
  <c r="C38" i="16"/>
  <c r="AV37" i="16"/>
  <c r="AX37" i="16" s="1"/>
  <c r="AU37" i="16"/>
  <c r="AW37" i="16" s="1"/>
  <c r="AR37" i="16"/>
  <c r="AT37" i="16" s="1"/>
  <c r="AQ37" i="16"/>
  <c r="AS37" i="16" s="1"/>
  <c r="AN37" i="16"/>
  <c r="AP37" i="16" s="1"/>
  <c r="AM37" i="16"/>
  <c r="AO37" i="16" s="1"/>
  <c r="AJ37" i="16"/>
  <c r="AL37" i="16" s="1"/>
  <c r="AI37" i="16"/>
  <c r="AK37" i="16" s="1"/>
  <c r="AF37" i="16"/>
  <c r="AH37" i="16" s="1"/>
  <c r="AE37" i="16"/>
  <c r="AG37" i="16" s="1"/>
  <c r="AB37" i="16"/>
  <c r="AD37" i="16" s="1"/>
  <c r="AA37" i="16"/>
  <c r="AC37" i="16" s="1"/>
  <c r="X37" i="16"/>
  <c r="Z37" i="16" s="1"/>
  <c r="W37" i="16"/>
  <c r="Y37" i="16" s="1"/>
  <c r="T37" i="16"/>
  <c r="V37" i="16" s="1"/>
  <c r="S37" i="16"/>
  <c r="U37" i="16" s="1"/>
  <c r="P37" i="16"/>
  <c r="R37" i="16" s="1"/>
  <c r="O37" i="16"/>
  <c r="Q37" i="16" s="1"/>
  <c r="L37" i="16"/>
  <c r="N37" i="16" s="1"/>
  <c r="K37" i="16"/>
  <c r="M37" i="16" s="1"/>
  <c r="H37" i="16"/>
  <c r="J37" i="16" s="1"/>
  <c r="G37" i="16"/>
  <c r="I37" i="16" s="1"/>
  <c r="E37" i="16"/>
  <c r="D37" i="16"/>
  <c r="C37" i="16"/>
  <c r="AV36" i="16"/>
  <c r="AX36" i="16" s="1"/>
  <c r="AU36" i="16"/>
  <c r="AW36" i="16" s="1"/>
  <c r="AR36" i="16"/>
  <c r="AT36" i="16" s="1"/>
  <c r="AQ36" i="16"/>
  <c r="AS36" i="16" s="1"/>
  <c r="AN36" i="16"/>
  <c r="AP36" i="16" s="1"/>
  <c r="AM36" i="16"/>
  <c r="AO36" i="16" s="1"/>
  <c r="AJ36" i="16"/>
  <c r="AL36" i="16" s="1"/>
  <c r="AI36" i="16"/>
  <c r="AK36" i="16" s="1"/>
  <c r="AF36" i="16"/>
  <c r="AH36" i="16" s="1"/>
  <c r="AE36" i="16"/>
  <c r="AG36" i="16" s="1"/>
  <c r="AB36" i="16"/>
  <c r="AD36" i="16" s="1"/>
  <c r="AA36" i="16"/>
  <c r="AC36" i="16" s="1"/>
  <c r="X36" i="16"/>
  <c r="Z36" i="16" s="1"/>
  <c r="W36" i="16"/>
  <c r="Y36" i="16" s="1"/>
  <c r="T36" i="16"/>
  <c r="V36" i="16" s="1"/>
  <c r="S36" i="16"/>
  <c r="U36" i="16" s="1"/>
  <c r="P36" i="16"/>
  <c r="R36" i="16" s="1"/>
  <c r="O36" i="16"/>
  <c r="Q36" i="16" s="1"/>
  <c r="L36" i="16"/>
  <c r="N36" i="16" s="1"/>
  <c r="K36" i="16"/>
  <c r="M36" i="16" s="1"/>
  <c r="H36" i="16"/>
  <c r="J36" i="16" s="1"/>
  <c r="G36" i="16"/>
  <c r="I36" i="16" s="1"/>
  <c r="E36" i="16"/>
  <c r="D36" i="16"/>
  <c r="C36" i="16"/>
  <c r="AV35" i="16"/>
  <c r="AX35" i="16" s="1"/>
  <c r="AU35" i="16"/>
  <c r="AW35" i="16" s="1"/>
  <c r="AR35" i="16"/>
  <c r="AT35" i="16" s="1"/>
  <c r="AQ35" i="16"/>
  <c r="AS35" i="16" s="1"/>
  <c r="AN35" i="16"/>
  <c r="AP35" i="16" s="1"/>
  <c r="AM35" i="16"/>
  <c r="AO35" i="16" s="1"/>
  <c r="AJ35" i="16"/>
  <c r="AL35" i="16" s="1"/>
  <c r="AI35" i="16"/>
  <c r="AK35" i="16" s="1"/>
  <c r="AF35" i="16"/>
  <c r="AH35" i="16" s="1"/>
  <c r="AE35" i="16"/>
  <c r="AG35" i="16" s="1"/>
  <c r="AB35" i="16"/>
  <c r="AD35" i="16" s="1"/>
  <c r="AA35" i="16"/>
  <c r="AC35" i="16" s="1"/>
  <c r="X35" i="16"/>
  <c r="Z35" i="16" s="1"/>
  <c r="W35" i="16"/>
  <c r="Y35" i="16" s="1"/>
  <c r="T35" i="16"/>
  <c r="V35" i="16" s="1"/>
  <c r="S35" i="16"/>
  <c r="U35" i="16" s="1"/>
  <c r="P35" i="16"/>
  <c r="R35" i="16" s="1"/>
  <c r="O35" i="16"/>
  <c r="Q35" i="16" s="1"/>
  <c r="L35" i="16"/>
  <c r="N35" i="16" s="1"/>
  <c r="K35" i="16"/>
  <c r="M35" i="16" s="1"/>
  <c r="H35" i="16"/>
  <c r="J35" i="16" s="1"/>
  <c r="G35" i="16"/>
  <c r="I35" i="16" s="1"/>
  <c r="E35" i="16"/>
  <c r="D35" i="16"/>
  <c r="C35" i="16"/>
  <c r="AV34" i="16"/>
  <c r="AX34" i="16" s="1"/>
  <c r="AU34" i="16"/>
  <c r="AW34" i="16" s="1"/>
  <c r="AR34" i="16"/>
  <c r="AT34" i="16" s="1"/>
  <c r="AQ34" i="16"/>
  <c r="AS34" i="16" s="1"/>
  <c r="AN34" i="16"/>
  <c r="AP34" i="16" s="1"/>
  <c r="AM34" i="16"/>
  <c r="AO34" i="16" s="1"/>
  <c r="AJ34" i="16"/>
  <c r="AL34" i="16" s="1"/>
  <c r="AI34" i="16"/>
  <c r="AK34" i="16" s="1"/>
  <c r="AF34" i="16"/>
  <c r="AH34" i="16" s="1"/>
  <c r="AE34" i="16"/>
  <c r="AG34" i="16" s="1"/>
  <c r="AB34" i="16"/>
  <c r="AD34" i="16" s="1"/>
  <c r="AA34" i="16"/>
  <c r="AC34" i="16" s="1"/>
  <c r="X34" i="16"/>
  <c r="Z34" i="16" s="1"/>
  <c r="W34" i="16"/>
  <c r="Y34" i="16" s="1"/>
  <c r="T34" i="16"/>
  <c r="V34" i="16" s="1"/>
  <c r="S34" i="16"/>
  <c r="U34" i="16" s="1"/>
  <c r="P34" i="16"/>
  <c r="R34" i="16" s="1"/>
  <c r="O34" i="16"/>
  <c r="Q34" i="16" s="1"/>
  <c r="L34" i="16"/>
  <c r="N34" i="16" s="1"/>
  <c r="K34" i="16"/>
  <c r="M34" i="16" s="1"/>
  <c r="H34" i="16"/>
  <c r="J34" i="16" s="1"/>
  <c r="G34" i="16"/>
  <c r="I34" i="16" s="1"/>
  <c r="E34" i="16"/>
  <c r="D34" i="16"/>
  <c r="C34" i="16"/>
  <c r="AV33" i="16"/>
  <c r="AX33" i="16" s="1"/>
  <c r="AU33" i="16"/>
  <c r="AW33" i="16" s="1"/>
  <c r="AR33" i="16"/>
  <c r="AT33" i="16" s="1"/>
  <c r="AQ33" i="16"/>
  <c r="AS33" i="16" s="1"/>
  <c r="AN33" i="16"/>
  <c r="AP33" i="16" s="1"/>
  <c r="AM33" i="16"/>
  <c r="AO33" i="16" s="1"/>
  <c r="AJ33" i="16"/>
  <c r="AL33" i="16" s="1"/>
  <c r="AI33" i="16"/>
  <c r="AK33" i="16" s="1"/>
  <c r="AF33" i="16"/>
  <c r="AH33" i="16" s="1"/>
  <c r="AE33" i="16"/>
  <c r="AG33" i="16" s="1"/>
  <c r="AB33" i="16"/>
  <c r="AD33" i="16" s="1"/>
  <c r="AA33" i="16"/>
  <c r="AC33" i="16" s="1"/>
  <c r="X33" i="16"/>
  <c r="Z33" i="16" s="1"/>
  <c r="W33" i="16"/>
  <c r="Y33" i="16" s="1"/>
  <c r="T33" i="16"/>
  <c r="V33" i="16" s="1"/>
  <c r="S33" i="16"/>
  <c r="U33" i="16" s="1"/>
  <c r="P33" i="16"/>
  <c r="R33" i="16" s="1"/>
  <c r="O33" i="16"/>
  <c r="Q33" i="16" s="1"/>
  <c r="L33" i="16"/>
  <c r="N33" i="16" s="1"/>
  <c r="K33" i="16"/>
  <c r="M33" i="16" s="1"/>
  <c r="H33" i="16"/>
  <c r="J33" i="16" s="1"/>
  <c r="G33" i="16"/>
  <c r="I33" i="16" s="1"/>
  <c r="E33" i="16"/>
  <c r="D33" i="16"/>
  <c r="C33" i="16"/>
  <c r="AV32" i="16"/>
  <c r="AX32" i="16" s="1"/>
  <c r="AU32" i="16"/>
  <c r="AW32" i="16" s="1"/>
  <c r="AR32" i="16"/>
  <c r="AT32" i="16" s="1"/>
  <c r="AQ32" i="16"/>
  <c r="AS32" i="16" s="1"/>
  <c r="AN32" i="16"/>
  <c r="AP32" i="16" s="1"/>
  <c r="AM32" i="16"/>
  <c r="AO32" i="16" s="1"/>
  <c r="AJ32" i="16"/>
  <c r="AL32" i="16" s="1"/>
  <c r="AI32" i="16"/>
  <c r="AK32" i="16" s="1"/>
  <c r="AF32" i="16"/>
  <c r="AH32" i="16" s="1"/>
  <c r="AE32" i="16"/>
  <c r="AG32" i="16" s="1"/>
  <c r="AB32" i="16"/>
  <c r="AD32" i="16" s="1"/>
  <c r="AA32" i="16"/>
  <c r="AC32" i="16" s="1"/>
  <c r="X32" i="16"/>
  <c r="Z32" i="16" s="1"/>
  <c r="W32" i="16"/>
  <c r="Y32" i="16" s="1"/>
  <c r="T32" i="16"/>
  <c r="V32" i="16" s="1"/>
  <c r="S32" i="16"/>
  <c r="U32" i="16" s="1"/>
  <c r="P32" i="16"/>
  <c r="R32" i="16" s="1"/>
  <c r="O32" i="16"/>
  <c r="Q32" i="16" s="1"/>
  <c r="L32" i="16"/>
  <c r="N32" i="16" s="1"/>
  <c r="K32" i="16"/>
  <c r="M32" i="16" s="1"/>
  <c r="H32" i="16"/>
  <c r="J32" i="16" s="1"/>
  <c r="G32" i="16"/>
  <c r="I32" i="16" s="1"/>
  <c r="E32" i="16"/>
  <c r="D32" i="16"/>
  <c r="C32" i="16"/>
  <c r="AV31" i="16"/>
  <c r="AX31" i="16" s="1"/>
  <c r="AU31" i="16"/>
  <c r="AW31" i="16" s="1"/>
  <c r="AR31" i="16"/>
  <c r="AT31" i="16" s="1"/>
  <c r="AQ31" i="16"/>
  <c r="AS31" i="16" s="1"/>
  <c r="AN31" i="16"/>
  <c r="AP31" i="16" s="1"/>
  <c r="AM31" i="16"/>
  <c r="AO31" i="16" s="1"/>
  <c r="AJ31" i="16"/>
  <c r="AL31" i="16" s="1"/>
  <c r="AI31" i="16"/>
  <c r="AK31" i="16" s="1"/>
  <c r="AF31" i="16"/>
  <c r="AH31" i="16" s="1"/>
  <c r="AE31" i="16"/>
  <c r="AG31" i="16" s="1"/>
  <c r="AB31" i="16"/>
  <c r="AD31" i="16" s="1"/>
  <c r="AA31" i="16"/>
  <c r="AC31" i="16" s="1"/>
  <c r="X31" i="16"/>
  <c r="Z31" i="16" s="1"/>
  <c r="W31" i="16"/>
  <c r="Y31" i="16" s="1"/>
  <c r="T31" i="16"/>
  <c r="V31" i="16" s="1"/>
  <c r="S31" i="16"/>
  <c r="U31" i="16" s="1"/>
  <c r="P31" i="16"/>
  <c r="R31" i="16" s="1"/>
  <c r="O31" i="16"/>
  <c r="Q31" i="16" s="1"/>
  <c r="L31" i="16"/>
  <c r="N31" i="16" s="1"/>
  <c r="K31" i="16"/>
  <c r="M31" i="16" s="1"/>
  <c r="H31" i="16"/>
  <c r="J31" i="16" s="1"/>
  <c r="G31" i="16"/>
  <c r="I31" i="16" s="1"/>
  <c r="E31" i="16"/>
  <c r="D31" i="16"/>
  <c r="C31" i="16"/>
  <c r="AV30" i="16"/>
  <c r="AX30" i="16" s="1"/>
  <c r="AU30" i="16"/>
  <c r="AW30" i="16" s="1"/>
  <c r="AR30" i="16"/>
  <c r="AT30" i="16" s="1"/>
  <c r="AQ30" i="16"/>
  <c r="AS30" i="16" s="1"/>
  <c r="AN30" i="16"/>
  <c r="AP30" i="16" s="1"/>
  <c r="AM30" i="16"/>
  <c r="AO30" i="16" s="1"/>
  <c r="AJ30" i="16"/>
  <c r="AL30" i="16" s="1"/>
  <c r="AI30" i="16"/>
  <c r="AK30" i="16" s="1"/>
  <c r="AF30" i="16"/>
  <c r="AH30" i="16" s="1"/>
  <c r="AE30" i="16"/>
  <c r="AG30" i="16" s="1"/>
  <c r="AB30" i="16"/>
  <c r="AD30" i="16" s="1"/>
  <c r="AA30" i="16"/>
  <c r="AC30" i="16" s="1"/>
  <c r="X30" i="16"/>
  <c r="Z30" i="16" s="1"/>
  <c r="W30" i="16"/>
  <c r="Y30" i="16" s="1"/>
  <c r="T30" i="16"/>
  <c r="V30" i="16" s="1"/>
  <c r="S30" i="16"/>
  <c r="U30" i="16" s="1"/>
  <c r="P30" i="16"/>
  <c r="R30" i="16" s="1"/>
  <c r="O30" i="16"/>
  <c r="Q30" i="16" s="1"/>
  <c r="L30" i="16"/>
  <c r="N30" i="16" s="1"/>
  <c r="K30" i="16"/>
  <c r="M30" i="16" s="1"/>
  <c r="H30" i="16"/>
  <c r="J30" i="16" s="1"/>
  <c r="G30" i="16"/>
  <c r="I30" i="16" s="1"/>
  <c r="E30" i="16"/>
  <c r="D30" i="16"/>
  <c r="C30" i="16"/>
  <c r="AV29" i="16"/>
  <c r="AX29" i="16" s="1"/>
  <c r="AU29" i="16"/>
  <c r="AW29" i="16" s="1"/>
  <c r="AR29" i="16"/>
  <c r="AT29" i="16" s="1"/>
  <c r="AQ29" i="16"/>
  <c r="AS29" i="16" s="1"/>
  <c r="AN29" i="16"/>
  <c r="AP29" i="16" s="1"/>
  <c r="AM29" i="16"/>
  <c r="AO29" i="16" s="1"/>
  <c r="AJ29" i="16"/>
  <c r="AL29" i="16" s="1"/>
  <c r="AI29" i="16"/>
  <c r="AK29" i="16" s="1"/>
  <c r="AF29" i="16"/>
  <c r="AH29" i="16" s="1"/>
  <c r="AE29" i="16"/>
  <c r="AG29" i="16" s="1"/>
  <c r="AB29" i="16"/>
  <c r="AD29" i="16" s="1"/>
  <c r="AA29" i="16"/>
  <c r="AC29" i="16" s="1"/>
  <c r="X29" i="16"/>
  <c r="Z29" i="16" s="1"/>
  <c r="W29" i="16"/>
  <c r="Y29" i="16" s="1"/>
  <c r="T29" i="16"/>
  <c r="V29" i="16" s="1"/>
  <c r="S29" i="16"/>
  <c r="U29" i="16" s="1"/>
  <c r="P29" i="16"/>
  <c r="R29" i="16" s="1"/>
  <c r="O29" i="16"/>
  <c r="Q29" i="16" s="1"/>
  <c r="L29" i="16"/>
  <c r="N29" i="16" s="1"/>
  <c r="K29" i="16"/>
  <c r="M29" i="16" s="1"/>
  <c r="H29" i="16"/>
  <c r="J29" i="16" s="1"/>
  <c r="G29" i="16"/>
  <c r="I29" i="16" s="1"/>
  <c r="E29" i="16"/>
  <c r="D29" i="16"/>
  <c r="C29" i="16"/>
  <c r="AV28" i="16"/>
  <c r="AX28" i="16" s="1"/>
  <c r="AU28" i="16"/>
  <c r="AW28" i="16" s="1"/>
  <c r="AR28" i="16"/>
  <c r="AT28" i="16" s="1"/>
  <c r="AQ28" i="16"/>
  <c r="AS28" i="16" s="1"/>
  <c r="AN28" i="16"/>
  <c r="AP28" i="16" s="1"/>
  <c r="AM28" i="16"/>
  <c r="AO28" i="16" s="1"/>
  <c r="AJ28" i="16"/>
  <c r="AL28" i="16" s="1"/>
  <c r="AI28" i="16"/>
  <c r="AK28" i="16" s="1"/>
  <c r="AF28" i="16"/>
  <c r="AH28" i="16" s="1"/>
  <c r="AE28" i="16"/>
  <c r="AG28" i="16" s="1"/>
  <c r="AB28" i="16"/>
  <c r="AD28" i="16" s="1"/>
  <c r="AA28" i="16"/>
  <c r="AC28" i="16" s="1"/>
  <c r="X28" i="16"/>
  <c r="Z28" i="16" s="1"/>
  <c r="W28" i="16"/>
  <c r="Y28" i="16" s="1"/>
  <c r="T28" i="16"/>
  <c r="V28" i="16" s="1"/>
  <c r="S28" i="16"/>
  <c r="U28" i="16" s="1"/>
  <c r="P28" i="16"/>
  <c r="R28" i="16" s="1"/>
  <c r="O28" i="16"/>
  <c r="Q28" i="16" s="1"/>
  <c r="L28" i="16"/>
  <c r="N28" i="16" s="1"/>
  <c r="K28" i="16"/>
  <c r="M28" i="16" s="1"/>
  <c r="H28" i="16"/>
  <c r="J28" i="16" s="1"/>
  <c r="G28" i="16"/>
  <c r="I28" i="16" s="1"/>
  <c r="E28" i="16"/>
  <c r="D28" i="16"/>
  <c r="C28" i="16"/>
  <c r="AV27" i="16"/>
  <c r="AX27" i="16" s="1"/>
  <c r="AU27" i="16"/>
  <c r="AW27" i="16" s="1"/>
  <c r="AR27" i="16"/>
  <c r="AT27" i="16" s="1"/>
  <c r="AQ27" i="16"/>
  <c r="AS27" i="16" s="1"/>
  <c r="AN27" i="16"/>
  <c r="AP27" i="16" s="1"/>
  <c r="AM27" i="16"/>
  <c r="AO27" i="16" s="1"/>
  <c r="AJ27" i="16"/>
  <c r="AL27" i="16" s="1"/>
  <c r="AI27" i="16"/>
  <c r="AK27" i="16" s="1"/>
  <c r="AF27" i="16"/>
  <c r="AH27" i="16" s="1"/>
  <c r="AE27" i="16"/>
  <c r="AG27" i="16" s="1"/>
  <c r="AB27" i="16"/>
  <c r="AD27" i="16" s="1"/>
  <c r="AA27" i="16"/>
  <c r="AC27" i="16" s="1"/>
  <c r="X27" i="16"/>
  <c r="Z27" i="16" s="1"/>
  <c r="W27" i="16"/>
  <c r="Y27" i="16" s="1"/>
  <c r="T27" i="16"/>
  <c r="V27" i="16" s="1"/>
  <c r="S27" i="16"/>
  <c r="U27" i="16" s="1"/>
  <c r="P27" i="16"/>
  <c r="R27" i="16" s="1"/>
  <c r="O27" i="16"/>
  <c r="Q27" i="16" s="1"/>
  <c r="L27" i="16"/>
  <c r="N27" i="16" s="1"/>
  <c r="K27" i="16"/>
  <c r="M27" i="16" s="1"/>
  <c r="H27" i="16"/>
  <c r="J27" i="16" s="1"/>
  <c r="G27" i="16"/>
  <c r="I27" i="16" s="1"/>
  <c r="E27" i="16"/>
  <c r="D27" i="16"/>
  <c r="C27" i="16"/>
  <c r="AV26" i="16"/>
  <c r="AX26" i="16" s="1"/>
  <c r="AU26" i="16"/>
  <c r="AW26" i="16" s="1"/>
  <c r="AR26" i="16"/>
  <c r="AT26" i="16" s="1"/>
  <c r="AQ26" i="16"/>
  <c r="AS26" i="16" s="1"/>
  <c r="AN26" i="16"/>
  <c r="AP26" i="16" s="1"/>
  <c r="AM26" i="16"/>
  <c r="AO26" i="16" s="1"/>
  <c r="AJ26" i="16"/>
  <c r="AL26" i="16" s="1"/>
  <c r="AI26" i="16"/>
  <c r="AK26" i="16" s="1"/>
  <c r="AF26" i="16"/>
  <c r="AH26" i="16" s="1"/>
  <c r="AE26" i="16"/>
  <c r="AG26" i="16" s="1"/>
  <c r="AB26" i="16"/>
  <c r="AD26" i="16" s="1"/>
  <c r="AA26" i="16"/>
  <c r="AC26" i="16" s="1"/>
  <c r="X26" i="16"/>
  <c r="Z26" i="16" s="1"/>
  <c r="W26" i="16"/>
  <c r="Y26" i="16" s="1"/>
  <c r="T26" i="16"/>
  <c r="V26" i="16" s="1"/>
  <c r="S26" i="16"/>
  <c r="U26" i="16" s="1"/>
  <c r="P26" i="16"/>
  <c r="R26" i="16" s="1"/>
  <c r="O26" i="16"/>
  <c r="Q26" i="16" s="1"/>
  <c r="L26" i="16"/>
  <c r="N26" i="16" s="1"/>
  <c r="K26" i="16"/>
  <c r="M26" i="16" s="1"/>
  <c r="H26" i="16"/>
  <c r="J26" i="16" s="1"/>
  <c r="G26" i="16"/>
  <c r="I26" i="16" s="1"/>
  <c r="E26" i="16"/>
  <c r="D26" i="16"/>
  <c r="C26" i="16"/>
  <c r="AV25" i="16"/>
  <c r="AX25" i="16" s="1"/>
  <c r="AU25" i="16"/>
  <c r="AW25" i="16" s="1"/>
  <c r="AR25" i="16"/>
  <c r="AT25" i="16" s="1"/>
  <c r="AQ25" i="16"/>
  <c r="AS25" i="16" s="1"/>
  <c r="AN25" i="16"/>
  <c r="AP25" i="16" s="1"/>
  <c r="AM25" i="16"/>
  <c r="AO25" i="16" s="1"/>
  <c r="AJ25" i="16"/>
  <c r="AL25" i="16" s="1"/>
  <c r="AI25" i="16"/>
  <c r="AK25" i="16" s="1"/>
  <c r="AF25" i="16"/>
  <c r="AH25" i="16" s="1"/>
  <c r="AE25" i="16"/>
  <c r="AG25" i="16" s="1"/>
  <c r="AB25" i="16"/>
  <c r="AD25" i="16" s="1"/>
  <c r="AA25" i="16"/>
  <c r="AC25" i="16" s="1"/>
  <c r="X25" i="16"/>
  <c r="Z25" i="16" s="1"/>
  <c r="W25" i="16"/>
  <c r="Y25" i="16" s="1"/>
  <c r="T25" i="16"/>
  <c r="V25" i="16" s="1"/>
  <c r="S25" i="16"/>
  <c r="U25" i="16" s="1"/>
  <c r="P25" i="16"/>
  <c r="R25" i="16" s="1"/>
  <c r="O25" i="16"/>
  <c r="Q25" i="16" s="1"/>
  <c r="L25" i="16"/>
  <c r="N25" i="16" s="1"/>
  <c r="K25" i="16"/>
  <c r="M25" i="16" s="1"/>
  <c r="H25" i="16"/>
  <c r="J25" i="16" s="1"/>
  <c r="G25" i="16"/>
  <c r="I25" i="16" s="1"/>
  <c r="E25" i="16"/>
  <c r="D25" i="16"/>
  <c r="C25" i="16"/>
  <c r="AV24" i="16"/>
  <c r="AX24" i="16" s="1"/>
  <c r="AU24" i="16"/>
  <c r="AW24" i="16" s="1"/>
  <c r="AR24" i="16"/>
  <c r="AT24" i="16" s="1"/>
  <c r="AQ24" i="16"/>
  <c r="AS24" i="16" s="1"/>
  <c r="AN24" i="16"/>
  <c r="AP24" i="16" s="1"/>
  <c r="AM24" i="16"/>
  <c r="AO24" i="16" s="1"/>
  <c r="AJ24" i="16"/>
  <c r="AL24" i="16" s="1"/>
  <c r="AI24" i="16"/>
  <c r="AK24" i="16" s="1"/>
  <c r="AF24" i="16"/>
  <c r="AH24" i="16" s="1"/>
  <c r="AE24" i="16"/>
  <c r="AG24" i="16" s="1"/>
  <c r="AB24" i="16"/>
  <c r="AD24" i="16" s="1"/>
  <c r="AA24" i="16"/>
  <c r="AC24" i="16" s="1"/>
  <c r="X24" i="16"/>
  <c r="Z24" i="16" s="1"/>
  <c r="W24" i="16"/>
  <c r="Y24" i="16" s="1"/>
  <c r="T24" i="16"/>
  <c r="V24" i="16" s="1"/>
  <c r="S24" i="16"/>
  <c r="U24" i="16" s="1"/>
  <c r="P24" i="16"/>
  <c r="R24" i="16" s="1"/>
  <c r="O24" i="16"/>
  <c r="Q24" i="16" s="1"/>
  <c r="L24" i="16"/>
  <c r="N24" i="16" s="1"/>
  <c r="K24" i="16"/>
  <c r="M24" i="16" s="1"/>
  <c r="H24" i="16"/>
  <c r="J24" i="16" s="1"/>
  <c r="G24" i="16"/>
  <c r="I24" i="16" s="1"/>
  <c r="E24" i="16"/>
  <c r="D24" i="16"/>
  <c r="C24" i="16"/>
  <c r="AV23" i="16"/>
  <c r="AX23" i="16" s="1"/>
  <c r="AU23" i="16"/>
  <c r="AW23" i="16" s="1"/>
  <c r="AR23" i="16"/>
  <c r="AT23" i="16" s="1"/>
  <c r="AQ23" i="16"/>
  <c r="AS23" i="16" s="1"/>
  <c r="AN23" i="16"/>
  <c r="AP23" i="16" s="1"/>
  <c r="AM23" i="16"/>
  <c r="AO23" i="16" s="1"/>
  <c r="AJ23" i="16"/>
  <c r="AL23" i="16" s="1"/>
  <c r="AI23" i="16"/>
  <c r="AK23" i="16" s="1"/>
  <c r="AF23" i="16"/>
  <c r="AH23" i="16" s="1"/>
  <c r="AE23" i="16"/>
  <c r="AG23" i="16" s="1"/>
  <c r="AB23" i="16"/>
  <c r="AD23" i="16" s="1"/>
  <c r="AA23" i="16"/>
  <c r="AC23" i="16" s="1"/>
  <c r="X23" i="16"/>
  <c r="Z23" i="16" s="1"/>
  <c r="W23" i="16"/>
  <c r="Y23" i="16" s="1"/>
  <c r="T23" i="16"/>
  <c r="V23" i="16" s="1"/>
  <c r="S23" i="16"/>
  <c r="U23" i="16" s="1"/>
  <c r="P23" i="16"/>
  <c r="R23" i="16" s="1"/>
  <c r="O23" i="16"/>
  <c r="Q23" i="16" s="1"/>
  <c r="L23" i="16"/>
  <c r="N23" i="16" s="1"/>
  <c r="K23" i="16"/>
  <c r="M23" i="16" s="1"/>
  <c r="H23" i="16"/>
  <c r="J23" i="16" s="1"/>
  <c r="G23" i="16"/>
  <c r="I23" i="16" s="1"/>
  <c r="E23" i="16"/>
  <c r="D23" i="16"/>
  <c r="C23" i="16"/>
  <c r="AV22" i="16"/>
  <c r="AX22" i="16" s="1"/>
  <c r="AU22" i="16"/>
  <c r="AW22" i="16" s="1"/>
  <c r="AR22" i="16"/>
  <c r="AT22" i="16" s="1"/>
  <c r="AQ22" i="16"/>
  <c r="AS22" i="16" s="1"/>
  <c r="AN22" i="16"/>
  <c r="AP22" i="16" s="1"/>
  <c r="AM22" i="16"/>
  <c r="AO22" i="16" s="1"/>
  <c r="AJ22" i="16"/>
  <c r="AL22" i="16" s="1"/>
  <c r="AI22" i="16"/>
  <c r="AK22" i="16" s="1"/>
  <c r="AF22" i="16"/>
  <c r="AH22" i="16" s="1"/>
  <c r="AE22" i="16"/>
  <c r="AG22" i="16" s="1"/>
  <c r="AB22" i="16"/>
  <c r="AD22" i="16" s="1"/>
  <c r="AA22" i="16"/>
  <c r="AC22" i="16" s="1"/>
  <c r="X22" i="16"/>
  <c r="Z22" i="16" s="1"/>
  <c r="W22" i="16"/>
  <c r="Y22" i="16" s="1"/>
  <c r="T22" i="16"/>
  <c r="V22" i="16" s="1"/>
  <c r="S22" i="16"/>
  <c r="U22" i="16" s="1"/>
  <c r="P22" i="16"/>
  <c r="R22" i="16" s="1"/>
  <c r="O22" i="16"/>
  <c r="Q22" i="16" s="1"/>
  <c r="L22" i="16"/>
  <c r="N22" i="16" s="1"/>
  <c r="K22" i="16"/>
  <c r="M22" i="16" s="1"/>
  <c r="H22" i="16"/>
  <c r="J22" i="16" s="1"/>
  <c r="G22" i="16"/>
  <c r="I22" i="16" s="1"/>
  <c r="E22" i="16"/>
  <c r="D22" i="16"/>
  <c r="C22" i="16"/>
  <c r="AV21" i="16"/>
  <c r="AX21" i="16" s="1"/>
  <c r="AU21" i="16"/>
  <c r="AW21" i="16" s="1"/>
  <c r="AR21" i="16"/>
  <c r="AT21" i="16" s="1"/>
  <c r="AQ21" i="16"/>
  <c r="AS21" i="16" s="1"/>
  <c r="AN21" i="16"/>
  <c r="AP21" i="16" s="1"/>
  <c r="AM21" i="16"/>
  <c r="AO21" i="16" s="1"/>
  <c r="AJ21" i="16"/>
  <c r="AL21" i="16" s="1"/>
  <c r="AI21" i="16"/>
  <c r="AK21" i="16" s="1"/>
  <c r="AF21" i="16"/>
  <c r="AH21" i="16" s="1"/>
  <c r="AE21" i="16"/>
  <c r="AG21" i="16" s="1"/>
  <c r="AB21" i="16"/>
  <c r="AD21" i="16" s="1"/>
  <c r="AA21" i="16"/>
  <c r="AC21" i="16" s="1"/>
  <c r="X21" i="16"/>
  <c r="Z21" i="16" s="1"/>
  <c r="W21" i="16"/>
  <c r="Y21" i="16" s="1"/>
  <c r="T21" i="16"/>
  <c r="V21" i="16" s="1"/>
  <c r="S21" i="16"/>
  <c r="U21" i="16" s="1"/>
  <c r="P21" i="16"/>
  <c r="R21" i="16" s="1"/>
  <c r="O21" i="16"/>
  <c r="Q21" i="16" s="1"/>
  <c r="L21" i="16"/>
  <c r="N21" i="16" s="1"/>
  <c r="K21" i="16"/>
  <c r="M21" i="16" s="1"/>
  <c r="H21" i="16"/>
  <c r="J21" i="16" s="1"/>
  <c r="G21" i="16"/>
  <c r="I21" i="16" s="1"/>
  <c r="E21" i="16"/>
  <c r="D21" i="16"/>
  <c r="C21" i="16"/>
  <c r="AV20" i="16"/>
  <c r="AX20" i="16" s="1"/>
  <c r="AU20" i="16"/>
  <c r="AW20" i="16" s="1"/>
  <c r="AR20" i="16"/>
  <c r="AT20" i="16" s="1"/>
  <c r="AQ20" i="16"/>
  <c r="AS20" i="16" s="1"/>
  <c r="AN20" i="16"/>
  <c r="AP20" i="16" s="1"/>
  <c r="AM20" i="16"/>
  <c r="AO20" i="16" s="1"/>
  <c r="AJ20" i="16"/>
  <c r="AL20" i="16" s="1"/>
  <c r="AI20" i="16"/>
  <c r="AK20" i="16" s="1"/>
  <c r="AF20" i="16"/>
  <c r="AH20" i="16" s="1"/>
  <c r="AE20" i="16"/>
  <c r="AG20" i="16" s="1"/>
  <c r="AB20" i="16"/>
  <c r="AD20" i="16" s="1"/>
  <c r="AA20" i="16"/>
  <c r="AC20" i="16" s="1"/>
  <c r="X20" i="16"/>
  <c r="Z20" i="16" s="1"/>
  <c r="W20" i="16"/>
  <c r="Y20" i="16" s="1"/>
  <c r="T20" i="16"/>
  <c r="V20" i="16" s="1"/>
  <c r="S20" i="16"/>
  <c r="U20" i="16" s="1"/>
  <c r="P20" i="16"/>
  <c r="R20" i="16" s="1"/>
  <c r="O20" i="16"/>
  <c r="Q20" i="16" s="1"/>
  <c r="L20" i="16"/>
  <c r="N20" i="16" s="1"/>
  <c r="K20" i="16"/>
  <c r="M20" i="16" s="1"/>
  <c r="H20" i="16"/>
  <c r="J20" i="16" s="1"/>
  <c r="G20" i="16"/>
  <c r="I20" i="16" s="1"/>
  <c r="E20" i="16"/>
  <c r="D20" i="16"/>
  <c r="C20" i="16"/>
  <c r="AV19" i="16"/>
  <c r="AX19" i="16" s="1"/>
  <c r="AU19" i="16"/>
  <c r="AW19" i="16" s="1"/>
  <c r="AR19" i="16"/>
  <c r="AT19" i="16" s="1"/>
  <c r="AQ19" i="16"/>
  <c r="AS19" i="16" s="1"/>
  <c r="AN19" i="16"/>
  <c r="AP19" i="16" s="1"/>
  <c r="AM19" i="16"/>
  <c r="AO19" i="16" s="1"/>
  <c r="AJ19" i="16"/>
  <c r="AL19" i="16" s="1"/>
  <c r="AI19" i="16"/>
  <c r="AK19" i="16" s="1"/>
  <c r="AF19" i="16"/>
  <c r="AH19" i="16" s="1"/>
  <c r="AE19" i="16"/>
  <c r="AG19" i="16" s="1"/>
  <c r="AB19" i="16"/>
  <c r="AD19" i="16" s="1"/>
  <c r="AA19" i="16"/>
  <c r="AC19" i="16" s="1"/>
  <c r="X19" i="16"/>
  <c r="Z19" i="16" s="1"/>
  <c r="W19" i="16"/>
  <c r="Y19" i="16" s="1"/>
  <c r="T19" i="16"/>
  <c r="V19" i="16" s="1"/>
  <c r="S19" i="16"/>
  <c r="U19" i="16" s="1"/>
  <c r="P19" i="16"/>
  <c r="R19" i="16" s="1"/>
  <c r="O19" i="16"/>
  <c r="Q19" i="16" s="1"/>
  <c r="L19" i="16"/>
  <c r="N19" i="16" s="1"/>
  <c r="K19" i="16"/>
  <c r="M19" i="16" s="1"/>
  <c r="H19" i="16"/>
  <c r="J19" i="16" s="1"/>
  <c r="G19" i="16"/>
  <c r="I19" i="16" s="1"/>
  <c r="E19" i="16"/>
  <c r="D19" i="16"/>
  <c r="C19" i="16"/>
  <c r="AV18" i="16"/>
  <c r="AX18" i="16" s="1"/>
  <c r="AU18" i="16"/>
  <c r="AW18" i="16" s="1"/>
  <c r="AR18" i="16"/>
  <c r="AT18" i="16" s="1"/>
  <c r="AQ18" i="16"/>
  <c r="AS18" i="16" s="1"/>
  <c r="AN18" i="16"/>
  <c r="AP18" i="16" s="1"/>
  <c r="AM18" i="16"/>
  <c r="AO18" i="16" s="1"/>
  <c r="AJ18" i="16"/>
  <c r="AL18" i="16" s="1"/>
  <c r="AI18" i="16"/>
  <c r="AK18" i="16" s="1"/>
  <c r="AF18" i="16"/>
  <c r="AH18" i="16" s="1"/>
  <c r="AE18" i="16"/>
  <c r="AG18" i="16" s="1"/>
  <c r="AB18" i="16"/>
  <c r="AD18" i="16" s="1"/>
  <c r="AA18" i="16"/>
  <c r="AC18" i="16" s="1"/>
  <c r="X18" i="16"/>
  <c r="Z18" i="16" s="1"/>
  <c r="W18" i="16"/>
  <c r="Y18" i="16" s="1"/>
  <c r="T18" i="16"/>
  <c r="V18" i="16" s="1"/>
  <c r="S18" i="16"/>
  <c r="U18" i="16" s="1"/>
  <c r="P18" i="16"/>
  <c r="R18" i="16" s="1"/>
  <c r="O18" i="16"/>
  <c r="Q18" i="16" s="1"/>
  <c r="L18" i="16"/>
  <c r="N18" i="16" s="1"/>
  <c r="K18" i="16"/>
  <c r="M18" i="16" s="1"/>
  <c r="H18" i="16"/>
  <c r="J18" i="16" s="1"/>
  <c r="G18" i="16"/>
  <c r="I18" i="16" s="1"/>
  <c r="E18" i="16"/>
  <c r="D18" i="16"/>
  <c r="C18" i="16"/>
  <c r="AV17" i="16"/>
  <c r="AX17" i="16" s="1"/>
  <c r="AU17" i="16"/>
  <c r="AW17" i="16" s="1"/>
  <c r="AR17" i="16"/>
  <c r="AT17" i="16" s="1"/>
  <c r="AQ17" i="16"/>
  <c r="AS17" i="16" s="1"/>
  <c r="AN17" i="16"/>
  <c r="AP17" i="16" s="1"/>
  <c r="AM17" i="16"/>
  <c r="AO17" i="16" s="1"/>
  <c r="AJ17" i="16"/>
  <c r="AL17" i="16" s="1"/>
  <c r="AI17" i="16"/>
  <c r="AK17" i="16" s="1"/>
  <c r="AF17" i="16"/>
  <c r="AH17" i="16" s="1"/>
  <c r="AE17" i="16"/>
  <c r="AG17" i="16" s="1"/>
  <c r="AB17" i="16"/>
  <c r="AD17" i="16" s="1"/>
  <c r="AA17" i="16"/>
  <c r="AC17" i="16" s="1"/>
  <c r="X17" i="16"/>
  <c r="Z17" i="16" s="1"/>
  <c r="W17" i="16"/>
  <c r="Y17" i="16" s="1"/>
  <c r="T17" i="16"/>
  <c r="V17" i="16" s="1"/>
  <c r="S17" i="16"/>
  <c r="U17" i="16" s="1"/>
  <c r="P17" i="16"/>
  <c r="R17" i="16" s="1"/>
  <c r="O17" i="16"/>
  <c r="Q17" i="16" s="1"/>
  <c r="L17" i="16"/>
  <c r="N17" i="16" s="1"/>
  <c r="K17" i="16"/>
  <c r="M17" i="16" s="1"/>
  <c r="H17" i="16"/>
  <c r="J17" i="16" s="1"/>
  <c r="G17" i="16"/>
  <c r="I17" i="16" s="1"/>
  <c r="E17" i="16"/>
  <c r="D17" i="16"/>
  <c r="C17" i="16"/>
  <c r="AV16" i="16"/>
  <c r="AX16" i="16" s="1"/>
  <c r="AU16" i="16"/>
  <c r="AW16" i="16" s="1"/>
  <c r="AR16" i="16"/>
  <c r="AT16" i="16" s="1"/>
  <c r="AQ16" i="16"/>
  <c r="AS16" i="16" s="1"/>
  <c r="AN16" i="16"/>
  <c r="AP16" i="16" s="1"/>
  <c r="AM16" i="16"/>
  <c r="AO16" i="16" s="1"/>
  <c r="AJ16" i="16"/>
  <c r="AL16" i="16" s="1"/>
  <c r="AI16" i="16"/>
  <c r="AK16" i="16" s="1"/>
  <c r="AF16" i="16"/>
  <c r="AH16" i="16" s="1"/>
  <c r="AE16" i="16"/>
  <c r="AG16" i="16" s="1"/>
  <c r="AB16" i="16"/>
  <c r="AD16" i="16" s="1"/>
  <c r="AA16" i="16"/>
  <c r="AC16" i="16" s="1"/>
  <c r="X16" i="16"/>
  <c r="Z16" i="16" s="1"/>
  <c r="W16" i="16"/>
  <c r="Y16" i="16" s="1"/>
  <c r="T16" i="16"/>
  <c r="V16" i="16" s="1"/>
  <c r="S16" i="16"/>
  <c r="U16" i="16" s="1"/>
  <c r="P16" i="16"/>
  <c r="R16" i="16" s="1"/>
  <c r="O16" i="16"/>
  <c r="Q16" i="16" s="1"/>
  <c r="L16" i="16"/>
  <c r="N16" i="16" s="1"/>
  <c r="K16" i="16"/>
  <c r="M16" i="16" s="1"/>
  <c r="H16" i="16"/>
  <c r="J16" i="16" s="1"/>
  <c r="G16" i="16"/>
  <c r="I16" i="16" s="1"/>
  <c r="E16" i="16"/>
  <c r="D16" i="16"/>
  <c r="C16" i="16"/>
  <c r="AV15" i="16"/>
  <c r="AX15" i="16" s="1"/>
  <c r="AU15" i="16"/>
  <c r="AW15" i="16" s="1"/>
  <c r="AR15" i="16"/>
  <c r="AT15" i="16" s="1"/>
  <c r="AQ15" i="16"/>
  <c r="AS15" i="16" s="1"/>
  <c r="AN15" i="16"/>
  <c r="AP15" i="16" s="1"/>
  <c r="AM15" i="16"/>
  <c r="AO15" i="16" s="1"/>
  <c r="AJ15" i="16"/>
  <c r="AL15" i="16" s="1"/>
  <c r="AI15" i="16"/>
  <c r="AK15" i="16" s="1"/>
  <c r="AF15" i="16"/>
  <c r="AH15" i="16" s="1"/>
  <c r="AE15" i="16"/>
  <c r="AG15" i="16" s="1"/>
  <c r="AB15" i="16"/>
  <c r="AD15" i="16" s="1"/>
  <c r="AA15" i="16"/>
  <c r="AC15" i="16" s="1"/>
  <c r="X15" i="16"/>
  <c r="Z15" i="16" s="1"/>
  <c r="W15" i="16"/>
  <c r="Y15" i="16" s="1"/>
  <c r="T15" i="16"/>
  <c r="V15" i="16" s="1"/>
  <c r="S15" i="16"/>
  <c r="U15" i="16" s="1"/>
  <c r="P15" i="16"/>
  <c r="R15" i="16" s="1"/>
  <c r="O15" i="16"/>
  <c r="Q15" i="16" s="1"/>
  <c r="L15" i="16"/>
  <c r="N15" i="16" s="1"/>
  <c r="K15" i="16"/>
  <c r="M15" i="16" s="1"/>
  <c r="H15" i="16"/>
  <c r="J15" i="16" s="1"/>
  <c r="G15" i="16"/>
  <c r="I15" i="16" s="1"/>
  <c r="E15" i="16"/>
  <c r="D15" i="16"/>
  <c r="C15" i="16"/>
  <c r="AV14" i="16"/>
  <c r="AX14" i="16" s="1"/>
  <c r="AU14" i="16"/>
  <c r="AW14" i="16" s="1"/>
  <c r="AR14" i="16"/>
  <c r="AT14" i="16" s="1"/>
  <c r="AQ14" i="16"/>
  <c r="AS14" i="16" s="1"/>
  <c r="AN14" i="16"/>
  <c r="AP14" i="16" s="1"/>
  <c r="AM14" i="16"/>
  <c r="AO14" i="16" s="1"/>
  <c r="AJ14" i="16"/>
  <c r="AL14" i="16" s="1"/>
  <c r="AI14" i="16"/>
  <c r="AK14" i="16" s="1"/>
  <c r="AF14" i="16"/>
  <c r="AH14" i="16" s="1"/>
  <c r="AE14" i="16"/>
  <c r="AG14" i="16" s="1"/>
  <c r="AB14" i="16"/>
  <c r="AD14" i="16" s="1"/>
  <c r="AA14" i="16"/>
  <c r="AC14" i="16" s="1"/>
  <c r="X14" i="16"/>
  <c r="Z14" i="16" s="1"/>
  <c r="W14" i="16"/>
  <c r="Y14" i="16" s="1"/>
  <c r="T14" i="16"/>
  <c r="V14" i="16" s="1"/>
  <c r="S14" i="16"/>
  <c r="U14" i="16" s="1"/>
  <c r="P14" i="16"/>
  <c r="R14" i="16" s="1"/>
  <c r="O14" i="16"/>
  <c r="Q14" i="16" s="1"/>
  <c r="L14" i="16"/>
  <c r="N14" i="16" s="1"/>
  <c r="K14" i="16"/>
  <c r="M14" i="16" s="1"/>
  <c r="H14" i="16"/>
  <c r="J14" i="16" s="1"/>
  <c r="G14" i="16"/>
  <c r="I14" i="16" s="1"/>
  <c r="E14" i="16"/>
  <c r="D14" i="16"/>
  <c r="C14" i="16"/>
  <c r="AV13" i="16"/>
  <c r="AX13" i="16" s="1"/>
  <c r="AU13" i="16"/>
  <c r="AW13" i="16" s="1"/>
  <c r="AR13" i="16"/>
  <c r="AT13" i="16" s="1"/>
  <c r="AQ13" i="16"/>
  <c r="AS13" i="16" s="1"/>
  <c r="AN13" i="16"/>
  <c r="AP13" i="16" s="1"/>
  <c r="AM13" i="16"/>
  <c r="AO13" i="16" s="1"/>
  <c r="AJ13" i="16"/>
  <c r="AL13" i="16" s="1"/>
  <c r="AI13" i="16"/>
  <c r="AK13" i="16" s="1"/>
  <c r="AF13" i="16"/>
  <c r="AH13" i="16" s="1"/>
  <c r="AE13" i="16"/>
  <c r="AG13" i="16" s="1"/>
  <c r="AB13" i="16"/>
  <c r="AD13" i="16" s="1"/>
  <c r="AA13" i="16"/>
  <c r="AC13" i="16" s="1"/>
  <c r="X13" i="16"/>
  <c r="Z13" i="16" s="1"/>
  <c r="W13" i="16"/>
  <c r="Y13" i="16" s="1"/>
  <c r="T13" i="16"/>
  <c r="V13" i="16" s="1"/>
  <c r="S13" i="16"/>
  <c r="U13" i="16" s="1"/>
  <c r="P13" i="16"/>
  <c r="R13" i="16" s="1"/>
  <c r="O13" i="16"/>
  <c r="Q13" i="16" s="1"/>
  <c r="L13" i="16"/>
  <c r="N13" i="16" s="1"/>
  <c r="K13" i="16"/>
  <c r="M13" i="16" s="1"/>
  <c r="H13" i="16"/>
  <c r="J13" i="16" s="1"/>
  <c r="G13" i="16"/>
  <c r="I13" i="16" s="1"/>
  <c r="E13" i="16"/>
  <c r="D13" i="16"/>
  <c r="C13" i="16"/>
  <c r="AV12" i="16"/>
  <c r="AX12" i="16" s="1"/>
  <c r="AU12" i="16"/>
  <c r="AW12" i="16" s="1"/>
  <c r="AR12" i="16"/>
  <c r="AT12" i="16" s="1"/>
  <c r="AQ12" i="16"/>
  <c r="AS12" i="16" s="1"/>
  <c r="AN12" i="16"/>
  <c r="AP12" i="16" s="1"/>
  <c r="AM12" i="16"/>
  <c r="AO12" i="16" s="1"/>
  <c r="AJ12" i="16"/>
  <c r="AL12" i="16" s="1"/>
  <c r="AI12" i="16"/>
  <c r="AK12" i="16" s="1"/>
  <c r="AF12" i="16"/>
  <c r="AH12" i="16" s="1"/>
  <c r="AE12" i="16"/>
  <c r="AG12" i="16" s="1"/>
  <c r="AB12" i="16"/>
  <c r="AD12" i="16" s="1"/>
  <c r="AA12" i="16"/>
  <c r="AC12" i="16" s="1"/>
  <c r="X12" i="16"/>
  <c r="Z12" i="16" s="1"/>
  <c r="W12" i="16"/>
  <c r="Y12" i="16" s="1"/>
  <c r="T12" i="16"/>
  <c r="V12" i="16" s="1"/>
  <c r="S12" i="16"/>
  <c r="U12" i="16" s="1"/>
  <c r="P12" i="16"/>
  <c r="R12" i="16" s="1"/>
  <c r="O12" i="16"/>
  <c r="Q12" i="16" s="1"/>
  <c r="L12" i="16"/>
  <c r="N12" i="16" s="1"/>
  <c r="K12" i="16"/>
  <c r="M12" i="16" s="1"/>
  <c r="H12" i="16"/>
  <c r="J12" i="16" s="1"/>
  <c r="G12" i="16"/>
  <c r="I12" i="16" s="1"/>
  <c r="E12" i="16"/>
  <c r="D12" i="16"/>
  <c r="C12" i="16"/>
  <c r="AV11" i="16"/>
  <c r="AX11" i="16" s="1"/>
  <c r="AU11" i="16"/>
  <c r="AW11" i="16" s="1"/>
  <c r="AR11" i="16"/>
  <c r="AT11" i="16" s="1"/>
  <c r="AQ11" i="16"/>
  <c r="AS11" i="16" s="1"/>
  <c r="AN11" i="16"/>
  <c r="AP11" i="16" s="1"/>
  <c r="AM11" i="16"/>
  <c r="AO11" i="16" s="1"/>
  <c r="AJ11" i="16"/>
  <c r="AL11" i="16" s="1"/>
  <c r="AI11" i="16"/>
  <c r="AK11" i="16" s="1"/>
  <c r="AF11" i="16"/>
  <c r="AH11" i="16" s="1"/>
  <c r="AE11" i="16"/>
  <c r="AG11" i="16" s="1"/>
  <c r="AB11" i="16"/>
  <c r="AD11" i="16" s="1"/>
  <c r="AA11" i="16"/>
  <c r="AC11" i="16" s="1"/>
  <c r="X11" i="16"/>
  <c r="Z11" i="16" s="1"/>
  <c r="W11" i="16"/>
  <c r="Y11" i="16" s="1"/>
  <c r="T11" i="16"/>
  <c r="V11" i="16" s="1"/>
  <c r="S11" i="16"/>
  <c r="U11" i="16" s="1"/>
  <c r="P11" i="16"/>
  <c r="R11" i="16" s="1"/>
  <c r="O11" i="16"/>
  <c r="Q11" i="16" s="1"/>
  <c r="L11" i="16"/>
  <c r="N11" i="16" s="1"/>
  <c r="K11" i="16"/>
  <c r="M11" i="16" s="1"/>
  <c r="H11" i="16"/>
  <c r="J11" i="16" s="1"/>
  <c r="G11" i="16"/>
  <c r="I11" i="16" s="1"/>
  <c r="E11" i="16"/>
  <c r="D11" i="16"/>
  <c r="C11" i="16"/>
  <c r="AV10" i="16"/>
  <c r="AX10" i="16" s="1"/>
  <c r="AU10" i="16"/>
  <c r="AW10" i="16" s="1"/>
  <c r="AR10" i="16"/>
  <c r="AT10" i="16" s="1"/>
  <c r="AQ10" i="16"/>
  <c r="AS10" i="16" s="1"/>
  <c r="AN10" i="16"/>
  <c r="AP10" i="16" s="1"/>
  <c r="AM10" i="16"/>
  <c r="AO10" i="16" s="1"/>
  <c r="AJ10" i="16"/>
  <c r="AL10" i="16" s="1"/>
  <c r="AI10" i="16"/>
  <c r="AK10" i="16" s="1"/>
  <c r="AF10" i="16"/>
  <c r="AH10" i="16" s="1"/>
  <c r="AE10" i="16"/>
  <c r="AG10" i="16" s="1"/>
  <c r="AB10" i="16"/>
  <c r="AD10" i="16" s="1"/>
  <c r="AA10" i="16"/>
  <c r="AC10" i="16" s="1"/>
  <c r="X10" i="16"/>
  <c r="Z10" i="16" s="1"/>
  <c r="W10" i="16"/>
  <c r="Y10" i="16" s="1"/>
  <c r="T10" i="16"/>
  <c r="V10" i="16" s="1"/>
  <c r="S10" i="16"/>
  <c r="U10" i="16" s="1"/>
  <c r="P10" i="16"/>
  <c r="R10" i="16" s="1"/>
  <c r="O10" i="16"/>
  <c r="Q10" i="16" s="1"/>
  <c r="L10" i="16"/>
  <c r="N10" i="16" s="1"/>
  <c r="K10" i="16"/>
  <c r="M10" i="16" s="1"/>
  <c r="H10" i="16"/>
  <c r="J10" i="16" s="1"/>
  <c r="G10" i="16"/>
  <c r="I10" i="16" s="1"/>
  <c r="E10" i="16"/>
  <c r="D10" i="16"/>
  <c r="C10" i="16"/>
  <c r="AV9" i="16"/>
  <c r="AX9" i="16" s="1"/>
  <c r="AU9" i="16"/>
  <c r="AW9" i="16" s="1"/>
  <c r="AR9" i="16"/>
  <c r="AT9" i="16" s="1"/>
  <c r="AQ9" i="16"/>
  <c r="AS9" i="16" s="1"/>
  <c r="AN9" i="16"/>
  <c r="AP9" i="16" s="1"/>
  <c r="AM9" i="16"/>
  <c r="AO9" i="16" s="1"/>
  <c r="AJ9" i="16"/>
  <c r="AL9" i="16" s="1"/>
  <c r="AI9" i="16"/>
  <c r="AK9" i="16" s="1"/>
  <c r="AF9" i="16"/>
  <c r="AH9" i="16" s="1"/>
  <c r="AE9" i="16"/>
  <c r="AG9" i="16" s="1"/>
  <c r="AB9" i="16"/>
  <c r="AD9" i="16" s="1"/>
  <c r="AA9" i="16"/>
  <c r="AC9" i="16" s="1"/>
  <c r="X9" i="16"/>
  <c r="Z9" i="16" s="1"/>
  <c r="W9" i="16"/>
  <c r="Y9" i="16" s="1"/>
  <c r="T9" i="16"/>
  <c r="V9" i="16" s="1"/>
  <c r="S9" i="16"/>
  <c r="U9" i="16" s="1"/>
  <c r="P9" i="16"/>
  <c r="R9" i="16" s="1"/>
  <c r="O9" i="16"/>
  <c r="Q9" i="16" s="1"/>
  <c r="L9" i="16"/>
  <c r="N9" i="16" s="1"/>
  <c r="K9" i="16"/>
  <c r="M9" i="16" s="1"/>
  <c r="H9" i="16"/>
  <c r="J9" i="16" s="1"/>
  <c r="G9" i="16"/>
  <c r="I9" i="16" s="1"/>
  <c r="E9" i="16"/>
  <c r="D9" i="16"/>
  <c r="C9" i="16"/>
  <c r="AV8" i="16"/>
  <c r="AX8" i="16" s="1"/>
  <c r="AU8" i="16"/>
  <c r="AW8" i="16" s="1"/>
  <c r="AR8" i="16"/>
  <c r="AT8" i="16" s="1"/>
  <c r="AQ8" i="16"/>
  <c r="AS8" i="16" s="1"/>
  <c r="AN8" i="16"/>
  <c r="AP8" i="16" s="1"/>
  <c r="AM8" i="16"/>
  <c r="AO8" i="16" s="1"/>
  <c r="AJ8" i="16"/>
  <c r="AL8" i="16" s="1"/>
  <c r="AI8" i="16"/>
  <c r="AK8" i="16" s="1"/>
  <c r="AF8" i="16"/>
  <c r="AH8" i="16" s="1"/>
  <c r="AE8" i="16"/>
  <c r="AG8" i="16" s="1"/>
  <c r="AB8" i="16"/>
  <c r="AD8" i="16" s="1"/>
  <c r="AA8" i="16"/>
  <c r="AC8" i="16" s="1"/>
  <c r="X8" i="16"/>
  <c r="Z8" i="16" s="1"/>
  <c r="W8" i="16"/>
  <c r="Y8" i="16" s="1"/>
  <c r="T8" i="16"/>
  <c r="V8" i="16" s="1"/>
  <c r="S8" i="16"/>
  <c r="U8" i="16" s="1"/>
  <c r="P8" i="16"/>
  <c r="R8" i="16" s="1"/>
  <c r="O8" i="16"/>
  <c r="Q8" i="16" s="1"/>
  <c r="L8" i="16"/>
  <c r="N8" i="16" s="1"/>
  <c r="K8" i="16"/>
  <c r="M8" i="16" s="1"/>
  <c r="H8" i="16"/>
  <c r="J8" i="16" s="1"/>
  <c r="G8" i="16"/>
  <c r="I8" i="16" s="1"/>
  <c r="E8" i="16"/>
  <c r="D8" i="16"/>
  <c r="C8" i="16"/>
  <c r="AV7" i="16"/>
  <c r="AX7" i="16" s="1"/>
  <c r="AU7" i="16"/>
  <c r="AW7" i="16" s="1"/>
  <c r="AR7" i="16"/>
  <c r="AT7" i="16" s="1"/>
  <c r="AQ7" i="16"/>
  <c r="AS7" i="16" s="1"/>
  <c r="AN7" i="16"/>
  <c r="AP7" i="16" s="1"/>
  <c r="AM7" i="16"/>
  <c r="AO7" i="16" s="1"/>
  <c r="AJ7" i="16"/>
  <c r="AL7" i="16" s="1"/>
  <c r="AI7" i="16"/>
  <c r="AK7" i="16" s="1"/>
  <c r="AF7" i="16"/>
  <c r="AH7" i="16" s="1"/>
  <c r="AE7" i="16"/>
  <c r="AG7" i="16" s="1"/>
  <c r="AB7" i="16"/>
  <c r="AD7" i="16" s="1"/>
  <c r="AA7" i="16"/>
  <c r="AC7" i="16" s="1"/>
  <c r="X7" i="16"/>
  <c r="Z7" i="16" s="1"/>
  <c r="W7" i="16"/>
  <c r="Y7" i="16" s="1"/>
  <c r="T7" i="16"/>
  <c r="V7" i="16" s="1"/>
  <c r="S7" i="16"/>
  <c r="U7" i="16" s="1"/>
  <c r="P7" i="16"/>
  <c r="R7" i="16" s="1"/>
  <c r="O7" i="16"/>
  <c r="Q7" i="16" s="1"/>
  <c r="L7" i="16"/>
  <c r="N7" i="16" s="1"/>
  <c r="K7" i="16"/>
  <c r="M7" i="16" s="1"/>
  <c r="H7" i="16"/>
  <c r="J7" i="16" s="1"/>
  <c r="G7" i="16"/>
  <c r="I7" i="16" s="1"/>
  <c r="E7" i="16"/>
  <c r="D7" i="16"/>
  <c r="C7" i="16"/>
  <c r="AV6" i="16"/>
  <c r="AX6" i="16" s="1"/>
  <c r="AU6" i="16"/>
  <c r="AW6" i="16" s="1"/>
  <c r="AR6" i="16"/>
  <c r="AT6" i="16" s="1"/>
  <c r="AQ6" i="16"/>
  <c r="AS6" i="16" s="1"/>
  <c r="AN6" i="16"/>
  <c r="AP6" i="16" s="1"/>
  <c r="AM6" i="16"/>
  <c r="AO6" i="16" s="1"/>
  <c r="AJ6" i="16"/>
  <c r="AL6" i="16" s="1"/>
  <c r="AI6" i="16"/>
  <c r="AK6" i="16" s="1"/>
  <c r="AF6" i="16"/>
  <c r="AH6" i="16" s="1"/>
  <c r="AE6" i="16"/>
  <c r="AG6" i="16" s="1"/>
  <c r="AB6" i="16"/>
  <c r="AD6" i="16" s="1"/>
  <c r="AA6" i="16"/>
  <c r="AC6" i="16" s="1"/>
  <c r="X6" i="16"/>
  <c r="Z6" i="16" s="1"/>
  <c r="W6" i="16"/>
  <c r="Y6" i="16" s="1"/>
  <c r="T6" i="16"/>
  <c r="V6" i="16" s="1"/>
  <c r="S6" i="16"/>
  <c r="U6" i="16" s="1"/>
  <c r="P6" i="16"/>
  <c r="R6" i="16" s="1"/>
  <c r="O6" i="16"/>
  <c r="Q6" i="16" s="1"/>
  <c r="L6" i="16"/>
  <c r="N6" i="16" s="1"/>
  <c r="K6" i="16"/>
  <c r="M6" i="16" s="1"/>
  <c r="H6" i="16"/>
  <c r="J6" i="16" s="1"/>
  <c r="G6" i="16"/>
  <c r="I6" i="16" s="1"/>
  <c r="E6" i="16"/>
  <c r="D6" i="16"/>
  <c r="C6" i="16"/>
  <c r="AV5" i="16"/>
  <c r="AX5" i="16" s="1"/>
  <c r="AU5" i="16"/>
  <c r="AW5" i="16" s="1"/>
  <c r="AR5" i="16"/>
  <c r="AT5" i="16" s="1"/>
  <c r="AQ5" i="16"/>
  <c r="AS5" i="16" s="1"/>
  <c r="AN5" i="16"/>
  <c r="AP5" i="16" s="1"/>
  <c r="AM5" i="16"/>
  <c r="AO5" i="16" s="1"/>
  <c r="AJ5" i="16"/>
  <c r="AL5" i="16" s="1"/>
  <c r="AI5" i="16"/>
  <c r="AK5" i="16" s="1"/>
  <c r="AF5" i="16"/>
  <c r="AH5" i="16" s="1"/>
  <c r="AE5" i="16"/>
  <c r="AG5" i="16" s="1"/>
  <c r="AB5" i="16"/>
  <c r="AD5" i="16" s="1"/>
  <c r="AA5" i="16"/>
  <c r="AC5" i="16" s="1"/>
  <c r="X5" i="16"/>
  <c r="Z5" i="16" s="1"/>
  <c r="W5" i="16"/>
  <c r="Y5" i="16" s="1"/>
  <c r="T5" i="16"/>
  <c r="V5" i="16" s="1"/>
  <c r="S5" i="16"/>
  <c r="U5" i="16" s="1"/>
  <c r="P5" i="16"/>
  <c r="R5" i="16" s="1"/>
  <c r="O5" i="16"/>
  <c r="Q5" i="16" s="1"/>
  <c r="L5" i="16"/>
  <c r="N5" i="16" s="1"/>
  <c r="K5" i="16"/>
  <c r="M5" i="16" s="1"/>
  <c r="H5" i="16"/>
  <c r="J5" i="16" s="1"/>
  <c r="G5" i="16"/>
  <c r="I5" i="16" s="1"/>
  <c r="E5" i="16"/>
  <c r="D5" i="16"/>
  <c r="C5" i="16"/>
  <c r="AV4" i="16"/>
  <c r="AX4" i="16" s="1"/>
  <c r="AU4" i="16"/>
  <c r="AW4" i="16" s="1"/>
  <c r="AR4" i="16"/>
  <c r="AT4" i="16" s="1"/>
  <c r="AQ4" i="16"/>
  <c r="AS4" i="16" s="1"/>
  <c r="AN4" i="16"/>
  <c r="AP4" i="16" s="1"/>
  <c r="AM4" i="16"/>
  <c r="AO4" i="16" s="1"/>
  <c r="AJ4" i="16"/>
  <c r="AL4" i="16" s="1"/>
  <c r="AI4" i="16"/>
  <c r="AK4" i="16" s="1"/>
  <c r="AF4" i="16"/>
  <c r="AH4" i="16" s="1"/>
  <c r="AE4" i="16"/>
  <c r="AG4" i="16" s="1"/>
  <c r="AB4" i="16"/>
  <c r="AD4" i="16" s="1"/>
  <c r="AA4" i="16"/>
  <c r="AC4" i="16" s="1"/>
  <c r="X4" i="16"/>
  <c r="Z4" i="16" s="1"/>
  <c r="W4" i="16"/>
  <c r="Y4" i="16" s="1"/>
  <c r="T4" i="16"/>
  <c r="V4" i="16" s="1"/>
  <c r="S4" i="16"/>
  <c r="U4" i="16" s="1"/>
  <c r="P4" i="16"/>
  <c r="R4" i="16" s="1"/>
  <c r="O4" i="16"/>
  <c r="Q4" i="16" s="1"/>
  <c r="L4" i="16"/>
  <c r="N4" i="16" s="1"/>
  <c r="K4" i="16"/>
  <c r="M4" i="16" s="1"/>
  <c r="H4" i="16"/>
  <c r="J4" i="16" s="1"/>
  <c r="G4" i="16"/>
  <c r="I4" i="16" s="1"/>
  <c r="E4" i="16"/>
  <c r="D4" i="16"/>
  <c r="C4" i="16"/>
  <c r="AV3" i="16"/>
  <c r="AX3" i="16" s="1"/>
  <c r="AU3" i="16"/>
  <c r="AW3" i="16" s="1"/>
  <c r="AR3" i="16"/>
  <c r="AT3" i="16" s="1"/>
  <c r="AQ3" i="16"/>
  <c r="AS3" i="16" s="1"/>
  <c r="AN3" i="16"/>
  <c r="AP3" i="16" s="1"/>
  <c r="AM3" i="16"/>
  <c r="AO3" i="16" s="1"/>
  <c r="AJ3" i="16"/>
  <c r="AL3" i="16" s="1"/>
  <c r="AI3" i="16"/>
  <c r="AK3" i="16" s="1"/>
  <c r="AF3" i="16"/>
  <c r="AH3" i="16" s="1"/>
  <c r="AE3" i="16"/>
  <c r="AG3" i="16" s="1"/>
  <c r="AB3" i="16"/>
  <c r="AD3" i="16" s="1"/>
  <c r="AA3" i="16"/>
  <c r="AC3" i="16" s="1"/>
  <c r="X3" i="16"/>
  <c r="Z3" i="16" s="1"/>
  <c r="W3" i="16"/>
  <c r="Y3" i="16" s="1"/>
  <c r="T3" i="16"/>
  <c r="V3" i="16" s="1"/>
  <c r="S3" i="16"/>
  <c r="U3" i="16" s="1"/>
  <c r="P3" i="16"/>
  <c r="R3" i="16" s="1"/>
  <c r="O3" i="16"/>
  <c r="Q3" i="16" s="1"/>
  <c r="L3" i="16"/>
  <c r="N3" i="16" s="1"/>
  <c r="K3" i="16"/>
  <c r="M3" i="16" s="1"/>
  <c r="H3" i="16"/>
  <c r="J3" i="16" s="1"/>
  <c r="G3" i="16"/>
  <c r="I3" i="16" s="1"/>
  <c r="E3" i="16"/>
  <c r="D3" i="16"/>
  <c r="C3" i="16"/>
  <c r="R52" i="30" l="1"/>
  <c r="AG52" i="29"/>
  <c r="Q52" i="30"/>
  <c r="AS52" i="30"/>
  <c r="V52" i="30"/>
  <c r="AT52" i="30"/>
  <c r="AW52" i="30"/>
  <c r="Y52" i="30"/>
  <c r="AX52" i="30"/>
  <c r="Z52" i="30"/>
  <c r="AC52" i="30"/>
  <c r="U52" i="30"/>
  <c r="AD52" i="30"/>
  <c r="AP52" i="30"/>
  <c r="AG52" i="30"/>
  <c r="I52" i="30"/>
  <c r="AH52" i="30"/>
  <c r="J52" i="30"/>
  <c r="AL52" i="30"/>
  <c r="M52" i="30"/>
  <c r="AK52" i="30"/>
  <c r="N52" i="30"/>
  <c r="AO52" i="30"/>
  <c r="AX52" i="29"/>
  <c r="Q52" i="29"/>
  <c r="AH52" i="29"/>
  <c r="R52" i="29"/>
  <c r="AL52" i="29"/>
  <c r="V52" i="29"/>
  <c r="AK52" i="29"/>
  <c r="U52" i="29"/>
  <c r="AO52" i="29"/>
  <c r="Y52" i="29"/>
  <c r="AP52" i="29"/>
  <c r="I52" i="29"/>
  <c r="Z52" i="29"/>
  <c r="J52" i="29"/>
  <c r="AS52" i="29"/>
  <c r="AC52" i="29"/>
  <c r="AT52" i="29"/>
  <c r="M52" i="29"/>
  <c r="AD52" i="29"/>
  <c r="N52" i="29"/>
  <c r="AW52" i="29"/>
  <c r="AP52" i="28"/>
  <c r="AW52" i="28"/>
  <c r="J52" i="28"/>
  <c r="AS52" i="28"/>
  <c r="AC52" i="28"/>
  <c r="AT52" i="28"/>
  <c r="U52" i="28"/>
  <c r="AD52" i="28"/>
  <c r="M52" i="28"/>
  <c r="N52" i="28"/>
  <c r="Q52" i="28"/>
  <c r="AG52" i="28"/>
  <c r="AX52" i="28"/>
  <c r="AH52" i="28"/>
  <c r="R52" i="28"/>
  <c r="AK52" i="28"/>
  <c r="AL52" i="28"/>
  <c r="V52" i="28"/>
  <c r="AO52" i="28"/>
  <c r="Y52" i="28"/>
  <c r="I52" i="28"/>
  <c r="Z52" i="28"/>
  <c r="Y52" i="27"/>
  <c r="AL52" i="27"/>
  <c r="AT52" i="27"/>
  <c r="Z52" i="27"/>
  <c r="AS52" i="27"/>
  <c r="I52" i="27"/>
  <c r="AD52" i="27"/>
  <c r="AX52" i="27"/>
  <c r="J52" i="27"/>
  <c r="AC52" i="27"/>
  <c r="AW52" i="27"/>
  <c r="N52" i="27"/>
  <c r="AH52" i="27"/>
  <c r="M52" i="27"/>
  <c r="AG52" i="27"/>
  <c r="U52" i="27"/>
  <c r="R52" i="27"/>
  <c r="Q52" i="27"/>
  <c r="AK52" i="27"/>
  <c r="AO52" i="27"/>
  <c r="V52" i="27"/>
  <c r="AP52" i="27"/>
  <c r="AO52" i="26"/>
  <c r="Z52" i="26"/>
  <c r="AX52" i="26"/>
  <c r="AD52" i="26"/>
  <c r="I52" i="26"/>
  <c r="AC52" i="26"/>
  <c r="AG52" i="26"/>
  <c r="U52" i="26"/>
  <c r="J52" i="26"/>
  <c r="AH52" i="26"/>
  <c r="N52" i="26"/>
  <c r="AL52" i="26"/>
  <c r="M52" i="26"/>
  <c r="AK52" i="26"/>
  <c r="Q52" i="26"/>
  <c r="R52" i="26"/>
  <c r="AP52" i="26"/>
  <c r="V52" i="26"/>
  <c r="AT52" i="26"/>
  <c r="Y52" i="26"/>
  <c r="AS52" i="26"/>
  <c r="AW52" i="26"/>
  <c r="U52" i="25"/>
  <c r="R52" i="25"/>
  <c r="Q52" i="25"/>
  <c r="AK52" i="25"/>
  <c r="AL52" i="25"/>
  <c r="AO52" i="25"/>
  <c r="AP52" i="25"/>
  <c r="V52" i="25"/>
  <c r="Y52" i="25"/>
  <c r="AS52" i="25"/>
  <c r="Z52" i="25"/>
  <c r="I52" i="25"/>
  <c r="AC52" i="25"/>
  <c r="AT52" i="25"/>
  <c r="J52" i="25"/>
  <c r="M52" i="25"/>
  <c r="AD52" i="25"/>
  <c r="AX52" i="25"/>
  <c r="AW52" i="25"/>
  <c r="N52" i="25"/>
  <c r="AH52" i="25"/>
  <c r="AG52" i="25"/>
  <c r="Y52" i="24"/>
  <c r="Z52" i="24"/>
  <c r="AH52" i="24"/>
  <c r="AW52" i="24"/>
  <c r="J52" i="24"/>
  <c r="AC52" i="24"/>
  <c r="AD52" i="24"/>
  <c r="AX52" i="24"/>
  <c r="AG52" i="24"/>
  <c r="M52" i="24"/>
  <c r="N52" i="24"/>
  <c r="Q52" i="24"/>
  <c r="AK52" i="24"/>
  <c r="R52" i="24"/>
  <c r="AL52" i="24"/>
  <c r="U52" i="24"/>
  <c r="AO52" i="24"/>
  <c r="V52" i="24"/>
  <c r="AP52" i="24"/>
  <c r="AS52" i="24"/>
  <c r="I52" i="24"/>
  <c r="AT52" i="24"/>
  <c r="U52" i="23"/>
  <c r="AW52" i="23"/>
  <c r="AL52" i="23"/>
  <c r="AP52" i="23"/>
  <c r="AH52" i="23"/>
  <c r="V52" i="23"/>
  <c r="AO52" i="23"/>
  <c r="Y52" i="23"/>
  <c r="Z52" i="23"/>
  <c r="I52" i="23"/>
  <c r="J52" i="23"/>
  <c r="AS52" i="23"/>
  <c r="AC52" i="23"/>
  <c r="AT52" i="23"/>
  <c r="M52" i="23"/>
  <c r="AD52" i="23"/>
  <c r="N52" i="23"/>
  <c r="AG52" i="23"/>
  <c r="AX52" i="23"/>
  <c r="Q52" i="23"/>
  <c r="R52" i="23"/>
  <c r="AK52" i="23"/>
  <c r="AW52" i="22"/>
  <c r="M52" i="22"/>
  <c r="AG52" i="22"/>
  <c r="Z52" i="22"/>
  <c r="AH52" i="22"/>
  <c r="U52" i="22"/>
  <c r="N52" i="22"/>
  <c r="Q52" i="22"/>
  <c r="R52" i="22"/>
  <c r="AK52" i="22"/>
  <c r="AL52" i="22"/>
  <c r="V52" i="22"/>
  <c r="AO52" i="22"/>
  <c r="AP52" i="22"/>
  <c r="Y52" i="22"/>
  <c r="AS52" i="22"/>
  <c r="AC52" i="22"/>
  <c r="AT52" i="22"/>
  <c r="I52" i="22"/>
  <c r="J52" i="22"/>
  <c r="AD52" i="22"/>
  <c r="AX52" i="22"/>
  <c r="AW52" i="21"/>
  <c r="AT52" i="21"/>
  <c r="Z52" i="21"/>
  <c r="U52" i="21"/>
  <c r="AC52" i="21"/>
  <c r="I52" i="21"/>
  <c r="AX52" i="21"/>
  <c r="AD52" i="21"/>
  <c r="J52" i="21"/>
  <c r="M52" i="21"/>
  <c r="AH52" i="21"/>
  <c r="N52" i="21"/>
  <c r="AG52" i="21"/>
  <c r="R52" i="21"/>
  <c r="AL52" i="21"/>
  <c r="Q52" i="21"/>
  <c r="AK52" i="21"/>
  <c r="V52" i="21"/>
  <c r="AO52" i="21"/>
  <c r="AP52" i="21"/>
  <c r="AS52" i="21"/>
  <c r="Y52" i="21"/>
  <c r="AD52" i="20"/>
  <c r="AT52" i="20"/>
  <c r="U52" i="20"/>
  <c r="N52" i="20"/>
  <c r="AW52" i="20"/>
  <c r="AG52" i="20"/>
  <c r="AX52" i="20"/>
  <c r="Q52" i="20"/>
  <c r="AH52" i="20"/>
  <c r="V52" i="20"/>
  <c r="R52" i="20"/>
  <c r="AK52" i="20"/>
  <c r="AL52" i="20"/>
  <c r="M52" i="20"/>
  <c r="AO52" i="20"/>
  <c r="Y52" i="20"/>
  <c r="AP52" i="20"/>
  <c r="I52" i="20"/>
  <c r="Z52" i="20"/>
  <c r="AS52" i="20"/>
  <c r="J52" i="20"/>
  <c r="AC52" i="20"/>
  <c r="M52" i="19"/>
  <c r="AL52" i="19"/>
  <c r="Q52" i="19"/>
  <c r="AK52" i="19"/>
  <c r="N52" i="19"/>
  <c r="R52" i="19"/>
  <c r="U52" i="19"/>
  <c r="V52" i="19"/>
  <c r="AO52" i="19"/>
  <c r="AP52" i="19"/>
  <c r="AS52" i="19"/>
  <c r="Y52" i="19"/>
  <c r="AT52" i="19"/>
  <c r="Z52" i="19"/>
  <c r="AW52" i="19"/>
  <c r="AC52" i="19"/>
  <c r="AX52" i="19"/>
  <c r="I52" i="19"/>
  <c r="AD52" i="19"/>
  <c r="J52" i="19"/>
  <c r="AG52" i="19"/>
  <c r="AH52" i="19"/>
  <c r="Z52" i="18"/>
  <c r="Q52" i="18"/>
  <c r="AT52" i="18"/>
  <c r="AX52" i="18"/>
  <c r="AD52" i="18"/>
  <c r="I52" i="18"/>
  <c r="AG52" i="18"/>
  <c r="J52" i="18"/>
  <c r="AH52" i="18"/>
  <c r="M52" i="18"/>
  <c r="AK52" i="18"/>
  <c r="AL52" i="18"/>
  <c r="N52" i="18"/>
  <c r="R52" i="18"/>
  <c r="AO52" i="18"/>
  <c r="U52" i="18"/>
  <c r="AP52" i="18"/>
  <c r="V52" i="18"/>
  <c r="AS52" i="18"/>
  <c r="Y52" i="18"/>
  <c r="AW52" i="18"/>
  <c r="AC52" i="18"/>
  <c r="M52" i="17"/>
  <c r="AL52" i="17"/>
  <c r="N52" i="17"/>
  <c r="AG52" i="17"/>
  <c r="AH52" i="17"/>
  <c r="AK52" i="17"/>
  <c r="AO52" i="17"/>
  <c r="Q52" i="17"/>
  <c r="R52" i="17"/>
  <c r="U52" i="17"/>
  <c r="V52" i="17"/>
  <c r="AP52" i="17"/>
  <c r="Y52" i="17"/>
  <c r="Z52" i="17"/>
  <c r="AS52" i="17"/>
  <c r="I52" i="17"/>
  <c r="AT52" i="17"/>
  <c r="J52" i="17"/>
  <c r="AC52" i="17"/>
  <c r="AD52" i="17"/>
  <c r="AW52" i="17"/>
  <c r="AX52" i="17"/>
  <c r="AS52" i="16"/>
  <c r="AP52" i="16"/>
  <c r="R52" i="16"/>
  <c r="Z52" i="16"/>
  <c r="V52" i="16"/>
  <c r="AW52" i="16"/>
  <c r="U52" i="16"/>
  <c r="Y52" i="16"/>
  <c r="AT52" i="16"/>
  <c r="AX52" i="16"/>
  <c r="AC52" i="16"/>
  <c r="AD52" i="16"/>
  <c r="AG52" i="16"/>
  <c r="AH52" i="16"/>
  <c r="I52" i="16"/>
  <c r="J52" i="16"/>
  <c r="AK52" i="16"/>
  <c r="M52" i="16"/>
  <c r="N52" i="16"/>
  <c r="AO52" i="16"/>
  <c r="AL52" i="16"/>
  <c r="Q52" i="16"/>
  <c r="AV50" i="15" l="1"/>
  <c r="AX50" i="15" s="1"/>
  <c r="AU50" i="15"/>
  <c r="AW50" i="15" s="1"/>
  <c r="AR50" i="15"/>
  <c r="AT50" i="15" s="1"/>
  <c r="AQ50" i="15"/>
  <c r="AS50" i="15" s="1"/>
  <c r="AN50" i="15"/>
  <c r="AP50" i="15" s="1"/>
  <c r="AM50" i="15"/>
  <c r="AO50" i="15" s="1"/>
  <c r="AJ50" i="15"/>
  <c r="AL50" i="15" s="1"/>
  <c r="AI50" i="15"/>
  <c r="AK50" i="15" s="1"/>
  <c r="AF50" i="15"/>
  <c r="AH50" i="15" s="1"/>
  <c r="AE50" i="15"/>
  <c r="AG50" i="15" s="1"/>
  <c r="AB50" i="15"/>
  <c r="AD50" i="15" s="1"/>
  <c r="AA50" i="15"/>
  <c r="AC50" i="15" s="1"/>
  <c r="X50" i="15"/>
  <c r="Z50" i="15" s="1"/>
  <c r="W50" i="15"/>
  <c r="Y50" i="15" s="1"/>
  <c r="T50" i="15"/>
  <c r="V50" i="15" s="1"/>
  <c r="S50" i="15"/>
  <c r="U50" i="15" s="1"/>
  <c r="P50" i="15"/>
  <c r="R50" i="15" s="1"/>
  <c r="O50" i="15"/>
  <c r="Q50" i="15" s="1"/>
  <c r="L50" i="15"/>
  <c r="N50" i="15" s="1"/>
  <c r="K50" i="15"/>
  <c r="M50" i="15" s="1"/>
  <c r="H50" i="15"/>
  <c r="J50" i="15" s="1"/>
  <c r="G50" i="15"/>
  <c r="I50" i="15" s="1"/>
  <c r="E50" i="15"/>
  <c r="D50" i="15"/>
  <c r="C50" i="15"/>
  <c r="AV49" i="15"/>
  <c r="AX49" i="15" s="1"/>
  <c r="AU49" i="15"/>
  <c r="AW49" i="15" s="1"/>
  <c r="AR49" i="15"/>
  <c r="AT49" i="15" s="1"/>
  <c r="AQ49" i="15"/>
  <c r="AS49" i="15" s="1"/>
  <c r="AN49" i="15"/>
  <c r="AP49" i="15" s="1"/>
  <c r="AM49" i="15"/>
  <c r="AO49" i="15" s="1"/>
  <c r="AJ49" i="15"/>
  <c r="AL49" i="15" s="1"/>
  <c r="AI49" i="15"/>
  <c r="AK49" i="15" s="1"/>
  <c r="AF49" i="15"/>
  <c r="AH49" i="15" s="1"/>
  <c r="AE49" i="15"/>
  <c r="AG49" i="15" s="1"/>
  <c r="AB49" i="15"/>
  <c r="AD49" i="15" s="1"/>
  <c r="AA49" i="15"/>
  <c r="AC49" i="15" s="1"/>
  <c r="X49" i="15"/>
  <c r="Z49" i="15" s="1"/>
  <c r="W49" i="15"/>
  <c r="Y49" i="15" s="1"/>
  <c r="T49" i="15"/>
  <c r="V49" i="15" s="1"/>
  <c r="S49" i="15"/>
  <c r="U49" i="15" s="1"/>
  <c r="P49" i="15"/>
  <c r="R49" i="15" s="1"/>
  <c r="O49" i="15"/>
  <c r="Q49" i="15" s="1"/>
  <c r="L49" i="15"/>
  <c r="N49" i="15" s="1"/>
  <c r="K49" i="15"/>
  <c r="M49" i="15" s="1"/>
  <c r="H49" i="15"/>
  <c r="J49" i="15" s="1"/>
  <c r="G49" i="15"/>
  <c r="I49" i="15" s="1"/>
  <c r="E49" i="15"/>
  <c r="D49" i="15"/>
  <c r="C49" i="15"/>
  <c r="AV48" i="15"/>
  <c r="AX48" i="15" s="1"/>
  <c r="AU48" i="15"/>
  <c r="AW48" i="15" s="1"/>
  <c r="AR48" i="15"/>
  <c r="AT48" i="15" s="1"/>
  <c r="AQ48" i="15"/>
  <c r="AS48" i="15" s="1"/>
  <c r="AN48" i="15"/>
  <c r="AP48" i="15" s="1"/>
  <c r="AM48" i="15"/>
  <c r="AO48" i="15" s="1"/>
  <c r="AJ48" i="15"/>
  <c r="AL48" i="15" s="1"/>
  <c r="AI48" i="15"/>
  <c r="AK48" i="15" s="1"/>
  <c r="AF48" i="15"/>
  <c r="AH48" i="15" s="1"/>
  <c r="AE48" i="15"/>
  <c r="AG48" i="15" s="1"/>
  <c r="AB48" i="15"/>
  <c r="AD48" i="15" s="1"/>
  <c r="AA48" i="15"/>
  <c r="AC48" i="15" s="1"/>
  <c r="X48" i="15"/>
  <c r="Z48" i="15" s="1"/>
  <c r="W48" i="15"/>
  <c r="Y48" i="15" s="1"/>
  <c r="T48" i="15"/>
  <c r="V48" i="15" s="1"/>
  <c r="S48" i="15"/>
  <c r="U48" i="15" s="1"/>
  <c r="P48" i="15"/>
  <c r="R48" i="15" s="1"/>
  <c r="O48" i="15"/>
  <c r="Q48" i="15" s="1"/>
  <c r="L48" i="15"/>
  <c r="N48" i="15" s="1"/>
  <c r="K48" i="15"/>
  <c r="M48" i="15" s="1"/>
  <c r="H48" i="15"/>
  <c r="J48" i="15" s="1"/>
  <c r="G48" i="15"/>
  <c r="I48" i="15" s="1"/>
  <c r="E48" i="15"/>
  <c r="D48" i="15"/>
  <c r="C48" i="15"/>
  <c r="AV47" i="15"/>
  <c r="AX47" i="15" s="1"/>
  <c r="AU47" i="15"/>
  <c r="AW47" i="15" s="1"/>
  <c r="AR47" i="15"/>
  <c r="AT47" i="15" s="1"/>
  <c r="AQ47" i="15"/>
  <c r="AS47" i="15" s="1"/>
  <c r="AN47" i="15"/>
  <c r="AP47" i="15" s="1"/>
  <c r="AM47" i="15"/>
  <c r="AO47" i="15" s="1"/>
  <c r="AJ47" i="15"/>
  <c r="AL47" i="15" s="1"/>
  <c r="AI47" i="15"/>
  <c r="AK47" i="15" s="1"/>
  <c r="AF47" i="15"/>
  <c r="AH47" i="15" s="1"/>
  <c r="AE47" i="15"/>
  <c r="AG47" i="15" s="1"/>
  <c r="AB47" i="15"/>
  <c r="AD47" i="15" s="1"/>
  <c r="AA47" i="15"/>
  <c r="AC47" i="15" s="1"/>
  <c r="X47" i="15"/>
  <c r="Z47" i="15" s="1"/>
  <c r="W47" i="15"/>
  <c r="Y47" i="15" s="1"/>
  <c r="T47" i="15"/>
  <c r="V47" i="15" s="1"/>
  <c r="S47" i="15"/>
  <c r="U47" i="15" s="1"/>
  <c r="P47" i="15"/>
  <c r="R47" i="15" s="1"/>
  <c r="O47" i="15"/>
  <c r="Q47" i="15" s="1"/>
  <c r="L47" i="15"/>
  <c r="N47" i="15" s="1"/>
  <c r="K47" i="15"/>
  <c r="M47" i="15" s="1"/>
  <c r="H47" i="15"/>
  <c r="J47" i="15" s="1"/>
  <c r="G47" i="15"/>
  <c r="I47" i="15" s="1"/>
  <c r="E47" i="15"/>
  <c r="D47" i="15"/>
  <c r="C47" i="15"/>
  <c r="AV46" i="15"/>
  <c r="AX46" i="15" s="1"/>
  <c r="AU46" i="15"/>
  <c r="AW46" i="15" s="1"/>
  <c r="AR46" i="15"/>
  <c r="AT46" i="15" s="1"/>
  <c r="AQ46" i="15"/>
  <c r="AS46" i="15" s="1"/>
  <c r="AN46" i="15"/>
  <c r="AP46" i="15" s="1"/>
  <c r="AM46" i="15"/>
  <c r="AO46" i="15" s="1"/>
  <c r="AJ46" i="15"/>
  <c r="AL46" i="15" s="1"/>
  <c r="AI46" i="15"/>
  <c r="AK46" i="15" s="1"/>
  <c r="AF46" i="15"/>
  <c r="AH46" i="15" s="1"/>
  <c r="AE46" i="15"/>
  <c r="AG46" i="15" s="1"/>
  <c r="AB46" i="15"/>
  <c r="AD46" i="15" s="1"/>
  <c r="AA46" i="15"/>
  <c r="AC46" i="15" s="1"/>
  <c r="X46" i="15"/>
  <c r="Z46" i="15" s="1"/>
  <c r="W46" i="15"/>
  <c r="Y46" i="15" s="1"/>
  <c r="T46" i="15"/>
  <c r="V46" i="15" s="1"/>
  <c r="S46" i="15"/>
  <c r="U46" i="15" s="1"/>
  <c r="P46" i="15"/>
  <c r="R46" i="15" s="1"/>
  <c r="O46" i="15"/>
  <c r="Q46" i="15" s="1"/>
  <c r="L46" i="15"/>
  <c r="N46" i="15" s="1"/>
  <c r="K46" i="15"/>
  <c r="M46" i="15" s="1"/>
  <c r="H46" i="15"/>
  <c r="J46" i="15" s="1"/>
  <c r="G46" i="15"/>
  <c r="I46" i="15" s="1"/>
  <c r="E46" i="15"/>
  <c r="D46" i="15"/>
  <c r="C46" i="15"/>
  <c r="AV45" i="15"/>
  <c r="AX45" i="15" s="1"/>
  <c r="AU45" i="15"/>
  <c r="AW45" i="15" s="1"/>
  <c r="AR45" i="15"/>
  <c r="AT45" i="15" s="1"/>
  <c r="AQ45" i="15"/>
  <c r="AS45" i="15" s="1"/>
  <c r="AN45" i="15"/>
  <c r="AP45" i="15" s="1"/>
  <c r="AM45" i="15"/>
  <c r="AO45" i="15" s="1"/>
  <c r="AJ45" i="15"/>
  <c r="AL45" i="15" s="1"/>
  <c r="AI45" i="15"/>
  <c r="AK45" i="15" s="1"/>
  <c r="AF45" i="15"/>
  <c r="AH45" i="15" s="1"/>
  <c r="AE45" i="15"/>
  <c r="AG45" i="15" s="1"/>
  <c r="AB45" i="15"/>
  <c r="AD45" i="15" s="1"/>
  <c r="AA45" i="15"/>
  <c r="AC45" i="15" s="1"/>
  <c r="X45" i="15"/>
  <c r="Z45" i="15" s="1"/>
  <c r="W45" i="15"/>
  <c r="Y45" i="15" s="1"/>
  <c r="T45" i="15"/>
  <c r="V45" i="15" s="1"/>
  <c r="S45" i="15"/>
  <c r="U45" i="15" s="1"/>
  <c r="P45" i="15"/>
  <c r="R45" i="15" s="1"/>
  <c r="O45" i="15"/>
  <c r="Q45" i="15" s="1"/>
  <c r="L45" i="15"/>
  <c r="N45" i="15" s="1"/>
  <c r="K45" i="15"/>
  <c r="M45" i="15" s="1"/>
  <c r="H45" i="15"/>
  <c r="J45" i="15" s="1"/>
  <c r="G45" i="15"/>
  <c r="I45" i="15" s="1"/>
  <c r="E45" i="15"/>
  <c r="D45" i="15"/>
  <c r="C45" i="15"/>
  <c r="AV44" i="15"/>
  <c r="AX44" i="15" s="1"/>
  <c r="AU44" i="15"/>
  <c r="AW44" i="15" s="1"/>
  <c r="AR44" i="15"/>
  <c r="AT44" i="15" s="1"/>
  <c r="AQ44" i="15"/>
  <c r="AS44" i="15" s="1"/>
  <c r="AN44" i="15"/>
  <c r="AP44" i="15" s="1"/>
  <c r="AM44" i="15"/>
  <c r="AO44" i="15" s="1"/>
  <c r="AJ44" i="15"/>
  <c r="AL44" i="15" s="1"/>
  <c r="AI44" i="15"/>
  <c r="AK44" i="15" s="1"/>
  <c r="AF44" i="15"/>
  <c r="AH44" i="15" s="1"/>
  <c r="AE44" i="15"/>
  <c r="AG44" i="15" s="1"/>
  <c r="AB44" i="15"/>
  <c r="AD44" i="15" s="1"/>
  <c r="AA44" i="15"/>
  <c r="AC44" i="15" s="1"/>
  <c r="X44" i="15"/>
  <c r="Z44" i="15" s="1"/>
  <c r="W44" i="15"/>
  <c r="Y44" i="15" s="1"/>
  <c r="T44" i="15"/>
  <c r="V44" i="15" s="1"/>
  <c r="S44" i="15"/>
  <c r="U44" i="15" s="1"/>
  <c r="P44" i="15"/>
  <c r="R44" i="15" s="1"/>
  <c r="O44" i="15"/>
  <c r="Q44" i="15" s="1"/>
  <c r="L44" i="15"/>
  <c r="N44" i="15" s="1"/>
  <c r="K44" i="15"/>
  <c r="M44" i="15" s="1"/>
  <c r="H44" i="15"/>
  <c r="J44" i="15" s="1"/>
  <c r="G44" i="15"/>
  <c r="I44" i="15" s="1"/>
  <c r="E44" i="15"/>
  <c r="D44" i="15"/>
  <c r="C44" i="15"/>
  <c r="AV43" i="15"/>
  <c r="AX43" i="15" s="1"/>
  <c r="AU43" i="15"/>
  <c r="AW43" i="15" s="1"/>
  <c r="AR43" i="15"/>
  <c r="AT43" i="15" s="1"/>
  <c r="AQ43" i="15"/>
  <c r="AS43" i="15" s="1"/>
  <c r="AN43" i="15"/>
  <c r="AP43" i="15" s="1"/>
  <c r="AM43" i="15"/>
  <c r="AO43" i="15" s="1"/>
  <c r="AJ43" i="15"/>
  <c r="AL43" i="15" s="1"/>
  <c r="AI43" i="15"/>
  <c r="AK43" i="15" s="1"/>
  <c r="AF43" i="15"/>
  <c r="AH43" i="15" s="1"/>
  <c r="AE43" i="15"/>
  <c r="AG43" i="15" s="1"/>
  <c r="AB43" i="15"/>
  <c r="AD43" i="15" s="1"/>
  <c r="AA43" i="15"/>
  <c r="AC43" i="15" s="1"/>
  <c r="X43" i="15"/>
  <c r="Z43" i="15" s="1"/>
  <c r="W43" i="15"/>
  <c r="Y43" i="15" s="1"/>
  <c r="T43" i="15"/>
  <c r="V43" i="15" s="1"/>
  <c r="S43" i="15"/>
  <c r="U43" i="15" s="1"/>
  <c r="P43" i="15"/>
  <c r="R43" i="15" s="1"/>
  <c r="O43" i="15"/>
  <c r="Q43" i="15" s="1"/>
  <c r="L43" i="15"/>
  <c r="N43" i="15" s="1"/>
  <c r="K43" i="15"/>
  <c r="M43" i="15" s="1"/>
  <c r="H43" i="15"/>
  <c r="J43" i="15" s="1"/>
  <c r="G43" i="15"/>
  <c r="I43" i="15" s="1"/>
  <c r="E43" i="15"/>
  <c r="D43" i="15"/>
  <c r="C43" i="15"/>
  <c r="AV42" i="15"/>
  <c r="AX42" i="15" s="1"/>
  <c r="AU42" i="15"/>
  <c r="AW42" i="15" s="1"/>
  <c r="AR42" i="15"/>
  <c r="AT42" i="15" s="1"/>
  <c r="AQ42" i="15"/>
  <c r="AS42" i="15" s="1"/>
  <c r="AN42" i="15"/>
  <c r="AP42" i="15" s="1"/>
  <c r="AM42" i="15"/>
  <c r="AO42" i="15" s="1"/>
  <c r="AJ42" i="15"/>
  <c r="AL42" i="15" s="1"/>
  <c r="AI42" i="15"/>
  <c r="AK42" i="15" s="1"/>
  <c r="AF42" i="15"/>
  <c r="AH42" i="15" s="1"/>
  <c r="AE42" i="15"/>
  <c r="AG42" i="15" s="1"/>
  <c r="AB42" i="15"/>
  <c r="AD42" i="15" s="1"/>
  <c r="AA42" i="15"/>
  <c r="AC42" i="15" s="1"/>
  <c r="X42" i="15"/>
  <c r="Z42" i="15" s="1"/>
  <c r="W42" i="15"/>
  <c r="Y42" i="15" s="1"/>
  <c r="T42" i="15"/>
  <c r="V42" i="15" s="1"/>
  <c r="S42" i="15"/>
  <c r="U42" i="15" s="1"/>
  <c r="P42" i="15"/>
  <c r="R42" i="15" s="1"/>
  <c r="O42" i="15"/>
  <c r="Q42" i="15" s="1"/>
  <c r="L42" i="15"/>
  <c r="N42" i="15" s="1"/>
  <c r="K42" i="15"/>
  <c r="M42" i="15" s="1"/>
  <c r="H42" i="15"/>
  <c r="J42" i="15" s="1"/>
  <c r="G42" i="15"/>
  <c r="I42" i="15" s="1"/>
  <c r="E42" i="15"/>
  <c r="D42" i="15"/>
  <c r="C42" i="15"/>
  <c r="AV41" i="15"/>
  <c r="AX41" i="15" s="1"/>
  <c r="AU41" i="15"/>
  <c r="AW41" i="15" s="1"/>
  <c r="AR41" i="15"/>
  <c r="AT41" i="15" s="1"/>
  <c r="AQ41" i="15"/>
  <c r="AS41" i="15" s="1"/>
  <c r="AN41" i="15"/>
  <c r="AP41" i="15" s="1"/>
  <c r="AM41" i="15"/>
  <c r="AO41" i="15" s="1"/>
  <c r="AJ41" i="15"/>
  <c r="AL41" i="15" s="1"/>
  <c r="AI41" i="15"/>
  <c r="AK41" i="15" s="1"/>
  <c r="AF41" i="15"/>
  <c r="AH41" i="15" s="1"/>
  <c r="AE41" i="15"/>
  <c r="AG41" i="15" s="1"/>
  <c r="AB41" i="15"/>
  <c r="AD41" i="15" s="1"/>
  <c r="AA41" i="15"/>
  <c r="AC41" i="15" s="1"/>
  <c r="X41" i="15"/>
  <c r="Z41" i="15" s="1"/>
  <c r="W41" i="15"/>
  <c r="Y41" i="15" s="1"/>
  <c r="T41" i="15"/>
  <c r="V41" i="15" s="1"/>
  <c r="S41" i="15"/>
  <c r="U41" i="15" s="1"/>
  <c r="P41" i="15"/>
  <c r="R41" i="15" s="1"/>
  <c r="O41" i="15"/>
  <c r="Q41" i="15" s="1"/>
  <c r="L41" i="15"/>
  <c r="N41" i="15" s="1"/>
  <c r="K41" i="15"/>
  <c r="M41" i="15" s="1"/>
  <c r="H41" i="15"/>
  <c r="J41" i="15" s="1"/>
  <c r="G41" i="15"/>
  <c r="I41" i="15" s="1"/>
  <c r="E41" i="15"/>
  <c r="D41" i="15"/>
  <c r="C41" i="15"/>
  <c r="AV40" i="15"/>
  <c r="AX40" i="15" s="1"/>
  <c r="AU40" i="15"/>
  <c r="AW40" i="15" s="1"/>
  <c r="AR40" i="15"/>
  <c r="AT40" i="15" s="1"/>
  <c r="AQ40" i="15"/>
  <c r="AS40" i="15" s="1"/>
  <c r="AN40" i="15"/>
  <c r="AP40" i="15" s="1"/>
  <c r="AM40" i="15"/>
  <c r="AO40" i="15" s="1"/>
  <c r="AJ40" i="15"/>
  <c r="AL40" i="15" s="1"/>
  <c r="AI40" i="15"/>
  <c r="AK40" i="15" s="1"/>
  <c r="AF40" i="15"/>
  <c r="AH40" i="15" s="1"/>
  <c r="AE40" i="15"/>
  <c r="AG40" i="15" s="1"/>
  <c r="AB40" i="15"/>
  <c r="AD40" i="15" s="1"/>
  <c r="AA40" i="15"/>
  <c r="AC40" i="15" s="1"/>
  <c r="X40" i="15"/>
  <c r="Z40" i="15" s="1"/>
  <c r="W40" i="15"/>
  <c r="Y40" i="15" s="1"/>
  <c r="T40" i="15"/>
  <c r="V40" i="15" s="1"/>
  <c r="S40" i="15"/>
  <c r="U40" i="15" s="1"/>
  <c r="P40" i="15"/>
  <c r="R40" i="15" s="1"/>
  <c r="O40" i="15"/>
  <c r="Q40" i="15" s="1"/>
  <c r="L40" i="15"/>
  <c r="N40" i="15" s="1"/>
  <c r="K40" i="15"/>
  <c r="M40" i="15" s="1"/>
  <c r="H40" i="15"/>
  <c r="J40" i="15" s="1"/>
  <c r="G40" i="15"/>
  <c r="I40" i="15" s="1"/>
  <c r="E40" i="15"/>
  <c r="D40" i="15"/>
  <c r="C40" i="15"/>
  <c r="AV39" i="15"/>
  <c r="AX39" i="15" s="1"/>
  <c r="AU39" i="15"/>
  <c r="AW39" i="15" s="1"/>
  <c r="AR39" i="15"/>
  <c r="AT39" i="15" s="1"/>
  <c r="AQ39" i="15"/>
  <c r="AS39" i="15" s="1"/>
  <c r="AN39" i="15"/>
  <c r="AP39" i="15" s="1"/>
  <c r="AM39" i="15"/>
  <c r="AO39" i="15" s="1"/>
  <c r="AJ39" i="15"/>
  <c r="AL39" i="15" s="1"/>
  <c r="AI39" i="15"/>
  <c r="AK39" i="15" s="1"/>
  <c r="AF39" i="15"/>
  <c r="AH39" i="15" s="1"/>
  <c r="AE39" i="15"/>
  <c r="AG39" i="15" s="1"/>
  <c r="AB39" i="15"/>
  <c r="AD39" i="15" s="1"/>
  <c r="AA39" i="15"/>
  <c r="AC39" i="15" s="1"/>
  <c r="X39" i="15"/>
  <c r="Z39" i="15" s="1"/>
  <c r="W39" i="15"/>
  <c r="Y39" i="15" s="1"/>
  <c r="T39" i="15"/>
  <c r="V39" i="15" s="1"/>
  <c r="S39" i="15"/>
  <c r="U39" i="15" s="1"/>
  <c r="P39" i="15"/>
  <c r="R39" i="15" s="1"/>
  <c r="O39" i="15"/>
  <c r="Q39" i="15" s="1"/>
  <c r="L39" i="15"/>
  <c r="N39" i="15" s="1"/>
  <c r="K39" i="15"/>
  <c r="M39" i="15" s="1"/>
  <c r="H39" i="15"/>
  <c r="J39" i="15" s="1"/>
  <c r="G39" i="15"/>
  <c r="I39" i="15" s="1"/>
  <c r="E39" i="15"/>
  <c r="D39" i="15"/>
  <c r="C39" i="15"/>
  <c r="AV38" i="15"/>
  <c r="AX38" i="15" s="1"/>
  <c r="AU38" i="15"/>
  <c r="AW38" i="15" s="1"/>
  <c r="AR38" i="15"/>
  <c r="AT38" i="15" s="1"/>
  <c r="AQ38" i="15"/>
  <c r="AS38" i="15" s="1"/>
  <c r="AN38" i="15"/>
  <c r="AP38" i="15" s="1"/>
  <c r="AM38" i="15"/>
  <c r="AO38" i="15" s="1"/>
  <c r="AJ38" i="15"/>
  <c r="AL38" i="15" s="1"/>
  <c r="AI38" i="15"/>
  <c r="AK38" i="15" s="1"/>
  <c r="AF38" i="15"/>
  <c r="AH38" i="15" s="1"/>
  <c r="AE38" i="15"/>
  <c r="AG38" i="15" s="1"/>
  <c r="AB38" i="15"/>
  <c r="AD38" i="15" s="1"/>
  <c r="AA38" i="15"/>
  <c r="AC38" i="15" s="1"/>
  <c r="X38" i="15"/>
  <c r="Z38" i="15" s="1"/>
  <c r="W38" i="15"/>
  <c r="Y38" i="15" s="1"/>
  <c r="T38" i="15"/>
  <c r="V38" i="15" s="1"/>
  <c r="S38" i="15"/>
  <c r="U38" i="15" s="1"/>
  <c r="P38" i="15"/>
  <c r="R38" i="15" s="1"/>
  <c r="O38" i="15"/>
  <c r="Q38" i="15" s="1"/>
  <c r="L38" i="15"/>
  <c r="N38" i="15" s="1"/>
  <c r="K38" i="15"/>
  <c r="M38" i="15" s="1"/>
  <c r="H38" i="15"/>
  <c r="J38" i="15" s="1"/>
  <c r="G38" i="15"/>
  <c r="I38" i="15" s="1"/>
  <c r="E38" i="15"/>
  <c r="D38" i="15"/>
  <c r="C38" i="15"/>
  <c r="AV37" i="15"/>
  <c r="AX37" i="15" s="1"/>
  <c r="AU37" i="15"/>
  <c r="AW37" i="15" s="1"/>
  <c r="AR37" i="15"/>
  <c r="AT37" i="15" s="1"/>
  <c r="AQ37" i="15"/>
  <c r="AS37" i="15" s="1"/>
  <c r="AN37" i="15"/>
  <c r="AP37" i="15" s="1"/>
  <c r="AM37" i="15"/>
  <c r="AO37" i="15" s="1"/>
  <c r="AJ37" i="15"/>
  <c r="AL37" i="15" s="1"/>
  <c r="AI37" i="15"/>
  <c r="AK37" i="15" s="1"/>
  <c r="AF37" i="15"/>
  <c r="AH37" i="15" s="1"/>
  <c r="AE37" i="15"/>
  <c r="AG37" i="15" s="1"/>
  <c r="AB37" i="15"/>
  <c r="AD37" i="15" s="1"/>
  <c r="AA37" i="15"/>
  <c r="AC37" i="15" s="1"/>
  <c r="X37" i="15"/>
  <c r="Z37" i="15" s="1"/>
  <c r="W37" i="15"/>
  <c r="Y37" i="15" s="1"/>
  <c r="T37" i="15"/>
  <c r="V37" i="15" s="1"/>
  <c r="S37" i="15"/>
  <c r="U37" i="15" s="1"/>
  <c r="P37" i="15"/>
  <c r="R37" i="15" s="1"/>
  <c r="O37" i="15"/>
  <c r="Q37" i="15" s="1"/>
  <c r="L37" i="15"/>
  <c r="N37" i="15" s="1"/>
  <c r="K37" i="15"/>
  <c r="M37" i="15" s="1"/>
  <c r="H37" i="15"/>
  <c r="J37" i="15" s="1"/>
  <c r="G37" i="15"/>
  <c r="I37" i="15" s="1"/>
  <c r="E37" i="15"/>
  <c r="D37" i="15"/>
  <c r="C37" i="15"/>
  <c r="AV36" i="15"/>
  <c r="AX36" i="15" s="1"/>
  <c r="AU36" i="15"/>
  <c r="AW36" i="15" s="1"/>
  <c r="AR36" i="15"/>
  <c r="AT36" i="15" s="1"/>
  <c r="AQ36" i="15"/>
  <c r="AS36" i="15" s="1"/>
  <c r="AN36" i="15"/>
  <c r="AP36" i="15" s="1"/>
  <c r="AM36" i="15"/>
  <c r="AO36" i="15" s="1"/>
  <c r="AJ36" i="15"/>
  <c r="AL36" i="15" s="1"/>
  <c r="AI36" i="15"/>
  <c r="AK36" i="15" s="1"/>
  <c r="AF36" i="15"/>
  <c r="AH36" i="15" s="1"/>
  <c r="AE36" i="15"/>
  <c r="AG36" i="15" s="1"/>
  <c r="AB36" i="15"/>
  <c r="AD36" i="15" s="1"/>
  <c r="AA36" i="15"/>
  <c r="AC36" i="15" s="1"/>
  <c r="X36" i="15"/>
  <c r="Z36" i="15" s="1"/>
  <c r="W36" i="15"/>
  <c r="Y36" i="15" s="1"/>
  <c r="T36" i="15"/>
  <c r="V36" i="15" s="1"/>
  <c r="S36" i="15"/>
  <c r="U36" i="15" s="1"/>
  <c r="P36" i="15"/>
  <c r="R36" i="15" s="1"/>
  <c r="O36" i="15"/>
  <c r="Q36" i="15" s="1"/>
  <c r="L36" i="15"/>
  <c r="N36" i="15" s="1"/>
  <c r="K36" i="15"/>
  <c r="M36" i="15" s="1"/>
  <c r="H36" i="15"/>
  <c r="J36" i="15" s="1"/>
  <c r="G36" i="15"/>
  <c r="I36" i="15" s="1"/>
  <c r="E36" i="15"/>
  <c r="D36" i="15"/>
  <c r="C36" i="15"/>
  <c r="AV35" i="15"/>
  <c r="AX35" i="15" s="1"/>
  <c r="AU35" i="15"/>
  <c r="AW35" i="15" s="1"/>
  <c r="AR35" i="15"/>
  <c r="AT35" i="15" s="1"/>
  <c r="AQ35" i="15"/>
  <c r="AS35" i="15" s="1"/>
  <c r="AN35" i="15"/>
  <c r="AP35" i="15" s="1"/>
  <c r="AM35" i="15"/>
  <c r="AO35" i="15" s="1"/>
  <c r="AJ35" i="15"/>
  <c r="AL35" i="15" s="1"/>
  <c r="AI35" i="15"/>
  <c r="AK35" i="15" s="1"/>
  <c r="AF35" i="15"/>
  <c r="AH35" i="15" s="1"/>
  <c r="AE35" i="15"/>
  <c r="AG35" i="15" s="1"/>
  <c r="AB35" i="15"/>
  <c r="AD35" i="15" s="1"/>
  <c r="AA35" i="15"/>
  <c r="AC35" i="15" s="1"/>
  <c r="X35" i="15"/>
  <c r="Z35" i="15" s="1"/>
  <c r="W35" i="15"/>
  <c r="Y35" i="15" s="1"/>
  <c r="T35" i="15"/>
  <c r="V35" i="15" s="1"/>
  <c r="S35" i="15"/>
  <c r="U35" i="15" s="1"/>
  <c r="P35" i="15"/>
  <c r="R35" i="15" s="1"/>
  <c r="O35" i="15"/>
  <c r="Q35" i="15" s="1"/>
  <c r="L35" i="15"/>
  <c r="N35" i="15" s="1"/>
  <c r="K35" i="15"/>
  <c r="M35" i="15" s="1"/>
  <c r="H35" i="15"/>
  <c r="J35" i="15" s="1"/>
  <c r="G35" i="15"/>
  <c r="I35" i="15" s="1"/>
  <c r="E35" i="15"/>
  <c r="D35" i="15"/>
  <c r="C35" i="15"/>
  <c r="AV34" i="15"/>
  <c r="AX34" i="15" s="1"/>
  <c r="AU34" i="15"/>
  <c r="AW34" i="15" s="1"/>
  <c r="AR34" i="15"/>
  <c r="AT34" i="15" s="1"/>
  <c r="AQ34" i="15"/>
  <c r="AS34" i="15" s="1"/>
  <c r="AN34" i="15"/>
  <c r="AP34" i="15" s="1"/>
  <c r="AM34" i="15"/>
  <c r="AO34" i="15" s="1"/>
  <c r="AJ34" i="15"/>
  <c r="AL34" i="15" s="1"/>
  <c r="AI34" i="15"/>
  <c r="AK34" i="15" s="1"/>
  <c r="AF34" i="15"/>
  <c r="AH34" i="15" s="1"/>
  <c r="AE34" i="15"/>
  <c r="AG34" i="15" s="1"/>
  <c r="AB34" i="15"/>
  <c r="AD34" i="15" s="1"/>
  <c r="AA34" i="15"/>
  <c r="AC34" i="15" s="1"/>
  <c r="X34" i="15"/>
  <c r="Z34" i="15" s="1"/>
  <c r="W34" i="15"/>
  <c r="Y34" i="15" s="1"/>
  <c r="T34" i="15"/>
  <c r="V34" i="15" s="1"/>
  <c r="S34" i="15"/>
  <c r="U34" i="15" s="1"/>
  <c r="P34" i="15"/>
  <c r="R34" i="15" s="1"/>
  <c r="O34" i="15"/>
  <c r="Q34" i="15" s="1"/>
  <c r="L34" i="15"/>
  <c r="N34" i="15" s="1"/>
  <c r="K34" i="15"/>
  <c r="M34" i="15" s="1"/>
  <c r="H34" i="15"/>
  <c r="J34" i="15" s="1"/>
  <c r="G34" i="15"/>
  <c r="I34" i="15" s="1"/>
  <c r="E34" i="15"/>
  <c r="D34" i="15"/>
  <c r="C34" i="15"/>
  <c r="AV33" i="15"/>
  <c r="AX33" i="15" s="1"/>
  <c r="AU33" i="15"/>
  <c r="AW33" i="15" s="1"/>
  <c r="AR33" i="15"/>
  <c r="AT33" i="15" s="1"/>
  <c r="AQ33" i="15"/>
  <c r="AS33" i="15" s="1"/>
  <c r="AN33" i="15"/>
  <c r="AP33" i="15" s="1"/>
  <c r="AM33" i="15"/>
  <c r="AO33" i="15" s="1"/>
  <c r="AJ33" i="15"/>
  <c r="AL33" i="15" s="1"/>
  <c r="AI33" i="15"/>
  <c r="AK33" i="15" s="1"/>
  <c r="AF33" i="15"/>
  <c r="AH33" i="15" s="1"/>
  <c r="AE33" i="15"/>
  <c r="AG33" i="15" s="1"/>
  <c r="AB33" i="15"/>
  <c r="AD33" i="15" s="1"/>
  <c r="AA33" i="15"/>
  <c r="AC33" i="15" s="1"/>
  <c r="X33" i="15"/>
  <c r="Z33" i="15" s="1"/>
  <c r="W33" i="15"/>
  <c r="Y33" i="15" s="1"/>
  <c r="T33" i="15"/>
  <c r="V33" i="15" s="1"/>
  <c r="S33" i="15"/>
  <c r="U33" i="15" s="1"/>
  <c r="P33" i="15"/>
  <c r="R33" i="15" s="1"/>
  <c r="O33" i="15"/>
  <c r="Q33" i="15" s="1"/>
  <c r="L33" i="15"/>
  <c r="N33" i="15" s="1"/>
  <c r="K33" i="15"/>
  <c r="M33" i="15" s="1"/>
  <c r="H33" i="15"/>
  <c r="J33" i="15" s="1"/>
  <c r="G33" i="15"/>
  <c r="I33" i="15" s="1"/>
  <c r="E33" i="15"/>
  <c r="D33" i="15"/>
  <c r="C33" i="15"/>
  <c r="AV32" i="15"/>
  <c r="AX32" i="15" s="1"/>
  <c r="AU32" i="15"/>
  <c r="AW32" i="15" s="1"/>
  <c r="AR32" i="15"/>
  <c r="AT32" i="15" s="1"/>
  <c r="AQ32" i="15"/>
  <c r="AS32" i="15" s="1"/>
  <c r="AN32" i="15"/>
  <c r="AP32" i="15" s="1"/>
  <c r="AM32" i="15"/>
  <c r="AO32" i="15" s="1"/>
  <c r="AJ32" i="15"/>
  <c r="AL32" i="15" s="1"/>
  <c r="AI32" i="15"/>
  <c r="AK32" i="15" s="1"/>
  <c r="AF32" i="15"/>
  <c r="AH32" i="15" s="1"/>
  <c r="AE32" i="15"/>
  <c r="AG32" i="15" s="1"/>
  <c r="AB32" i="15"/>
  <c r="AD32" i="15" s="1"/>
  <c r="AA32" i="15"/>
  <c r="AC32" i="15" s="1"/>
  <c r="X32" i="15"/>
  <c r="Z32" i="15" s="1"/>
  <c r="W32" i="15"/>
  <c r="Y32" i="15" s="1"/>
  <c r="T32" i="15"/>
  <c r="V32" i="15" s="1"/>
  <c r="S32" i="15"/>
  <c r="U32" i="15" s="1"/>
  <c r="P32" i="15"/>
  <c r="R32" i="15" s="1"/>
  <c r="O32" i="15"/>
  <c r="Q32" i="15" s="1"/>
  <c r="L32" i="15"/>
  <c r="N32" i="15" s="1"/>
  <c r="K32" i="15"/>
  <c r="M32" i="15" s="1"/>
  <c r="H32" i="15"/>
  <c r="J32" i="15" s="1"/>
  <c r="G32" i="15"/>
  <c r="I32" i="15" s="1"/>
  <c r="E32" i="15"/>
  <c r="D32" i="15"/>
  <c r="C32" i="15"/>
  <c r="AV31" i="15"/>
  <c r="AX31" i="15" s="1"/>
  <c r="AU31" i="15"/>
  <c r="AW31" i="15" s="1"/>
  <c r="AR31" i="15"/>
  <c r="AT31" i="15" s="1"/>
  <c r="AQ31" i="15"/>
  <c r="AS31" i="15" s="1"/>
  <c r="AN31" i="15"/>
  <c r="AP31" i="15" s="1"/>
  <c r="AM31" i="15"/>
  <c r="AO31" i="15" s="1"/>
  <c r="AJ31" i="15"/>
  <c r="AL31" i="15" s="1"/>
  <c r="AI31" i="15"/>
  <c r="AK31" i="15" s="1"/>
  <c r="AF31" i="15"/>
  <c r="AH31" i="15" s="1"/>
  <c r="AE31" i="15"/>
  <c r="AG31" i="15" s="1"/>
  <c r="AB31" i="15"/>
  <c r="AD31" i="15" s="1"/>
  <c r="AA31" i="15"/>
  <c r="AC31" i="15" s="1"/>
  <c r="X31" i="15"/>
  <c r="Z31" i="15" s="1"/>
  <c r="W31" i="15"/>
  <c r="Y31" i="15" s="1"/>
  <c r="T31" i="15"/>
  <c r="V31" i="15" s="1"/>
  <c r="S31" i="15"/>
  <c r="U31" i="15" s="1"/>
  <c r="P31" i="15"/>
  <c r="R31" i="15" s="1"/>
  <c r="O31" i="15"/>
  <c r="Q31" i="15" s="1"/>
  <c r="L31" i="15"/>
  <c r="N31" i="15" s="1"/>
  <c r="K31" i="15"/>
  <c r="M31" i="15" s="1"/>
  <c r="H31" i="15"/>
  <c r="J31" i="15" s="1"/>
  <c r="G31" i="15"/>
  <c r="I31" i="15" s="1"/>
  <c r="E31" i="15"/>
  <c r="D31" i="15"/>
  <c r="C31" i="15"/>
  <c r="AV30" i="15"/>
  <c r="AX30" i="15" s="1"/>
  <c r="AU30" i="15"/>
  <c r="AW30" i="15" s="1"/>
  <c r="AR30" i="15"/>
  <c r="AT30" i="15" s="1"/>
  <c r="AQ30" i="15"/>
  <c r="AS30" i="15" s="1"/>
  <c r="AN30" i="15"/>
  <c r="AP30" i="15" s="1"/>
  <c r="AM30" i="15"/>
  <c r="AO30" i="15" s="1"/>
  <c r="AJ30" i="15"/>
  <c r="AL30" i="15" s="1"/>
  <c r="AI30" i="15"/>
  <c r="AK30" i="15" s="1"/>
  <c r="AF30" i="15"/>
  <c r="AH30" i="15" s="1"/>
  <c r="AE30" i="15"/>
  <c r="AG30" i="15" s="1"/>
  <c r="AB30" i="15"/>
  <c r="AD30" i="15" s="1"/>
  <c r="AA30" i="15"/>
  <c r="AC30" i="15" s="1"/>
  <c r="X30" i="15"/>
  <c r="Z30" i="15" s="1"/>
  <c r="W30" i="15"/>
  <c r="Y30" i="15" s="1"/>
  <c r="T30" i="15"/>
  <c r="V30" i="15" s="1"/>
  <c r="S30" i="15"/>
  <c r="U30" i="15" s="1"/>
  <c r="P30" i="15"/>
  <c r="R30" i="15" s="1"/>
  <c r="O30" i="15"/>
  <c r="Q30" i="15" s="1"/>
  <c r="L30" i="15"/>
  <c r="N30" i="15" s="1"/>
  <c r="K30" i="15"/>
  <c r="M30" i="15" s="1"/>
  <c r="H30" i="15"/>
  <c r="J30" i="15" s="1"/>
  <c r="G30" i="15"/>
  <c r="I30" i="15" s="1"/>
  <c r="E30" i="15"/>
  <c r="D30" i="15"/>
  <c r="C30" i="15"/>
  <c r="AV29" i="15"/>
  <c r="AX29" i="15" s="1"/>
  <c r="AU29" i="15"/>
  <c r="AW29" i="15" s="1"/>
  <c r="AR29" i="15"/>
  <c r="AT29" i="15" s="1"/>
  <c r="AQ29" i="15"/>
  <c r="AS29" i="15" s="1"/>
  <c r="AN29" i="15"/>
  <c r="AP29" i="15" s="1"/>
  <c r="AM29" i="15"/>
  <c r="AO29" i="15" s="1"/>
  <c r="AJ29" i="15"/>
  <c r="AL29" i="15" s="1"/>
  <c r="AI29" i="15"/>
  <c r="AK29" i="15" s="1"/>
  <c r="AF29" i="15"/>
  <c r="AH29" i="15" s="1"/>
  <c r="AE29" i="15"/>
  <c r="AG29" i="15" s="1"/>
  <c r="AB29" i="15"/>
  <c r="AD29" i="15" s="1"/>
  <c r="AA29" i="15"/>
  <c r="AC29" i="15" s="1"/>
  <c r="X29" i="15"/>
  <c r="Z29" i="15" s="1"/>
  <c r="W29" i="15"/>
  <c r="Y29" i="15" s="1"/>
  <c r="T29" i="15"/>
  <c r="V29" i="15" s="1"/>
  <c r="S29" i="15"/>
  <c r="U29" i="15" s="1"/>
  <c r="P29" i="15"/>
  <c r="R29" i="15" s="1"/>
  <c r="O29" i="15"/>
  <c r="Q29" i="15" s="1"/>
  <c r="L29" i="15"/>
  <c r="N29" i="15" s="1"/>
  <c r="K29" i="15"/>
  <c r="M29" i="15" s="1"/>
  <c r="H29" i="15"/>
  <c r="J29" i="15" s="1"/>
  <c r="G29" i="15"/>
  <c r="I29" i="15" s="1"/>
  <c r="E29" i="15"/>
  <c r="D29" i="15"/>
  <c r="C29" i="15"/>
  <c r="AV28" i="15"/>
  <c r="AX28" i="15" s="1"/>
  <c r="AU28" i="15"/>
  <c r="AW28" i="15" s="1"/>
  <c r="AR28" i="15"/>
  <c r="AT28" i="15" s="1"/>
  <c r="AQ28" i="15"/>
  <c r="AS28" i="15" s="1"/>
  <c r="AN28" i="15"/>
  <c r="AP28" i="15" s="1"/>
  <c r="AM28" i="15"/>
  <c r="AO28" i="15" s="1"/>
  <c r="AJ28" i="15"/>
  <c r="AL28" i="15" s="1"/>
  <c r="AI28" i="15"/>
  <c r="AK28" i="15" s="1"/>
  <c r="AF28" i="15"/>
  <c r="AH28" i="15" s="1"/>
  <c r="AE28" i="15"/>
  <c r="AG28" i="15" s="1"/>
  <c r="AB28" i="15"/>
  <c r="AD28" i="15" s="1"/>
  <c r="AA28" i="15"/>
  <c r="AC28" i="15" s="1"/>
  <c r="X28" i="15"/>
  <c r="Z28" i="15" s="1"/>
  <c r="W28" i="15"/>
  <c r="Y28" i="15" s="1"/>
  <c r="T28" i="15"/>
  <c r="V28" i="15" s="1"/>
  <c r="S28" i="15"/>
  <c r="U28" i="15" s="1"/>
  <c r="P28" i="15"/>
  <c r="R28" i="15" s="1"/>
  <c r="O28" i="15"/>
  <c r="Q28" i="15" s="1"/>
  <c r="L28" i="15"/>
  <c r="N28" i="15" s="1"/>
  <c r="K28" i="15"/>
  <c r="M28" i="15" s="1"/>
  <c r="H28" i="15"/>
  <c r="J28" i="15" s="1"/>
  <c r="G28" i="15"/>
  <c r="I28" i="15" s="1"/>
  <c r="E28" i="15"/>
  <c r="D28" i="15"/>
  <c r="C28" i="15"/>
  <c r="AV27" i="15"/>
  <c r="AX27" i="15" s="1"/>
  <c r="AU27" i="15"/>
  <c r="AW27" i="15" s="1"/>
  <c r="AR27" i="15"/>
  <c r="AT27" i="15" s="1"/>
  <c r="AQ27" i="15"/>
  <c r="AS27" i="15" s="1"/>
  <c r="AN27" i="15"/>
  <c r="AP27" i="15" s="1"/>
  <c r="AM27" i="15"/>
  <c r="AO27" i="15" s="1"/>
  <c r="AJ27" i="15"/>
  <c r="AL27" i="15" s="1"/>
  <c r="AI27" i="15"/>
  <c r="AK27" i="15" s="1"/>
  <c r="AF27" i="15"/>
  <c r="AH27" i="15" s="1"/>
  <c r="AE27" i="15"/>
  <c r="AG27" i="15" s="1"/>
  <c r="AB27" i="15"/>
  <c r="AD27" i="15" s="1"/>
  <c r="AA27" i="15"/>
  <c r="AC27" i="15" s="1"/>
  <c r="X27" i="15"/>
  <c r="Z27" i="15" s="1"/>
  <c r="W27" i="15"/>
  <c r="Y27" i="15" s="1"/>
  <c r="T27" i="15"/>
  <c r="V27" i="15" s="1"/>
  <c r="S27" i="15"/>
  <c r="U27" i="15" s="1"/>
  <c r="P27" i="15"/>
  <c r="R27" i="15" s="1"/>
  <c r="O27" i="15"/>
  <c r="Q27" i="15" s="1"/>
  <c r="L27" i="15"/>
  <c r="N27" i="15" s="1"/>
  <c r="K27" i="15"/>
  <c r="M27" i="15" s="1"/>
  <c r="H27" i="15"/>
  <c r="J27" i="15" s="1"/>
  <c r="G27" i="15"/>
  <c r="I27" i="15" s="1"/>
  <c r="E27" i="15"/>
  <c r="D27" i="15"/>
  <c r="C27" i="15"/>
  <c r="AV26" i="15"/>
  <c r="AX26" i="15" s="1"/>
  <c r="AU26" i="15"/>
  <c r="AW26" i="15" s="1"/>
  <c r="AR26" i="15"/>
  <c r="AT26" i="15" s="1"/>
  <c r="AQ26" i="15"/>
  <c r="AS26" i="15" s="1"/>
  <c r="AN26" i="15"/>
  <c r="AP26" i="15" s="1"/>
  <c r="AM26" i="15"/>
  <c r="AO26" i="15" s="1"/>
  <c r="AJ26" i="15"/>
  <c r="AL26" i="15" s="1"/>
  <c r="AI26" i="15"/>
  <c r="AK26" i="15" s="1"/>
  <c r="AF26" i="15"/>
  <c r="AH26" i="15" s="1"/>
  <c r="AE26" i="15"/>
  <c r="AG26" i="15" s="1"/>
  <c r="AB26" i="15"/>
  <c r="AD26" i="15" s="1"/>
  <c r="AA26" i="15"/>
  <c r="AC26" i="15" s="1"/>
  <c r="X26" i="15"/>
  <c r="Z26" i="15" s="1"/>
  <c r="W26" i="15"/>
  <c r="Y26" i="15" s="1"/>
  <c r="T26" i="15"/>
  <c r="V26" i="15" s="1"/>
  <c r="S26" i="15"/>
  <c r="U26" i="15" s="1"/>
  <c r="P26" i="15"/>
  <c r="R26" i="15" s="1"/>
  <c r="O26" i="15"/>
  <c r="Q26" i="15" s="1"/>
  <c r="L26" i="15"/>
  <c r="N26" i="15" s="1"/>
  <c r="K26" i="15"/>
  <c r="M26" i="15" s="1"/>
  <c r="H26" i="15"/>
  <c r="J26" i="15" s="1"/>
  <c r="G26" i="15"/>
  <c r="I26" i="15" s="1"/>
  <c r="E26" i="15"/>
  <c r="D26" i="15"/>
  <c r="C26" i="15"/>
  <c r="AV25" i="15"/>
  <c r="AX25" i="15" s="1"/>
  <c r="AU25" i="15"/>
  <c r="AW25" i="15" s="1"/>
  <c r="AR25" i="15"/>
  <c r="AT25" i="15" s="1"/>
  <c r="AQ25" i="15"/>
  <c r="AS25" i="15" s="1"/>
  <c r="AN25" i="15"/>
  <c r="AP25" i="15" s="1"/>
  <c r="AM25" i="15"/>
  <c r="AO25" i="15" s="1"/>
  <c r="AJ25" i="15"/>
  <c r="AL25" i="15" s="1"/>
  <c r="AI25" i="15"/>
  <c r="AK25" i="15" s="1"/>
  <c r="AF25" i="15"/>
  <c r="AH25" i="15" s="1"/>
  <c r="AE25" i="15"/>
  <c r="AG25" i="15" s="1"/>
  <c r="AB25" i="15"/>
  <c r="AD25" i="15" s="1"/>
  <c r="AA25" i="15"/>
  <c r="AC25" i="15" s="1"/>
  <c r="X25" i="15"/>
  <c r="Z25" i="15" s="1"/>
  <c r="W25" i="15"/>
  <c r="Y25" i="15" s="1"/>
  <c r="T25" i="15"/>
  <c r="V25" i="15" s="1"/>
  <c r="S25" i="15"/>
  <c r="U25" i="15" s="1"/>
  <c r="P25" i="15"/>
  <c r="R25" i="15" s="1"/>
  <c r="O25" i="15"/>
  <c r="Q25" i="15" s="1"/>
  <c r="L25" i="15"/>
  <c r="N25" i="15" s="1"/>
  <c r="K25" i="15"/>
  <c r="M25" i="15" s="1"/>
  <c r="H25" i="15"/>
  <c r="J25" i="15" s="1"/>
  <c r="G25" i="15"/>
  <c r="I25" i="15" s="1"/>
  <c r="E25" i="15"/>
  <c r="D25" i="15"/>
  <c r="C25" i="15"/>
  <c r="AV24" i="15"/>
  <c r="AX24" i="15" s="1"/>
  <c r="AU24" i="15"/>
  <c r="AW24" i="15" s="1"/>
  <c r="AR24" i="15"/>
  <c r="AT24" i="15" s="1"/>
  <c r="AQ24" i="15"/>
  <c r="AS24" i="15" s="1"/>
  <c r="AN24" i="15"/>
  <c r="AP24" i="15" s="1"/>
  <c r="AM24" i="15"/>
  <c r="AO24" i="15" s="1"/>
  <c r="AJ24" i="15"/>
  <c r="AL24" i="15" s="1"/>
  <c r="AI24" i="15"/>
  <c r="AK24" i="15" s="1"/>
  <c r="AF24" i="15"/>
  <c r="AH24" i="15" s="1"/>
  <c r="AE24" i="15"/>
  <c r="AG24" i="15" s="1"/>
  <c r="AB24" i="15"/>
  <c r="AD24" i="15" s="1"/>
  <c r="AA24" i="15"/>
  <c r="AC24" i="15" s="1"/>
  <c r="X24" i="15"/>
  <c r="Z24" i="15" s="1"/>
  <c r="W24" i="15"/>
  <c r="Y24" i="15" s="1"/>
  <c r="T24" i="15"/>
  <c r="V24" i="15" s="1"/>
  <c r="S24" i="15"/>
  <c r="U24" i="15" s="1"/>
  <c r="P24" i="15"/>
  <c r="R24" i="15" s="1"/>
  <c r="O24" i="15"/>
  <c r="Q24" i="15" s="1"/>
  <c r="L24" i="15"/>
  <c r="N24" i="15" s="1"/>
  <c r="K24" i="15"/>
  <c r="M24" i="15" s="1"/>
  <c r="H24" i="15"/>
  <c r="J24" i="15" s="1"/>
  <c r="G24" i="15"/>
  <c r="I24" i="15" s="1"/>
  <c r="E24" i="15"/>
  <c r="D24" i="15"/>
  <c r="C24" i="15"/>
  <c r="AV23" i="15"/>
  <c r="AX23" i="15" s="1"/>
  <c r="AU23" i="15"/>
  <c r="AW23" i="15" s="1"/>
  <c r="AR23" i="15"/>
  <c r="AT23" i="15" s="1"/>
  <c r="AQ23" i="15"/>
  <c r="AS23" i="15" s="1"/>
  <c r="AN23" i="15"/>
  <c r="AP23" i="15" s="1"/>
  <c r="AM23" i="15"/>
  <c r="AO23" i="15" s="1"/>
  <c r="AJ23" i="15"/>
  <c r="AL23" i="15" s="1"/>
  <c r="AI23" i="15"/>
  <c r="AK23" i="15" s="1"/>
  <c r="AF23" i="15"/>
  <c r="AH23" i="15" s="1"/>
  <c r="AE23" i="15"/>
  <c r="AG23" i="15" s="1"/>
  <c r="AB23" i="15"/>
  <c r="AD23" i="15" s="1"/>
  <c r="AA23" i="15"/>
  <c r="AC23" i="15" s="1"/>
  <c r="X23" i="15"/>
  <c r="Z23" i="15" s="1"/>
  <c r="W23" i="15"/>
  <c r="Y23" i="15" s="1"/>
  <c r="T23" i="15"/>
  <c r="V23" i="15" s="1"/>
  <c r="S23" i="15"/>
  <c r="U23" i="15" s="1"/>
  <c r="P23" i="15"/>
  <c r="R23" i="15" s="1"/>
  <c r="O23" i="15"/>
  <c r="Q23" i="15" s="1"/>
  <c r="L23" i="15"/>
  <c r="N23" i="15" s="1"/>
  <c r="K23" i="15"/>
  <c r="M23" i="15" s="1"/>
  <c r="H23" i="15"/>
  <c r="J23" i="15" s="1"/>
  <c r="G23" i="15"/>
  <c r="I23" i="15" s="1"/>
  <c r="E23" i="15"/>
  <c r="D23" i="15"/>
  <c r="C23" i="15"/>
  <c r="AV22" i="15"/>
  <c r="AX22" i="15" s="1"/>
  <c r="AU22" i="15"/>
  <c r="AW22" i="15" s="1"/>
  <c r="AR22" i="15"/>
  <c r="AT22" i="15" s="1"/>
  <c r="AQ22" i="15"/>
  <c r="AS22" i="15" s="1"/>
  <c r="AN22" i="15"/>
  <c r="AP22" i="15" s="1"/>
  <c r="AM22" i="15"/>
  <c r="AO22" i="15" s="1"/>
  <c r="AJ22" i="15"/>
  <c r="AL22" i="15" s="1"/>
  <c r="AI22" i="15"/>
  <c r="AK22" i="15" s="1"/>
  <c r="AF22" i="15"/>
  <c r="AH22" i="15" s="1"/>
  <c r="AE22" i="15"/>
  <c r="AG22" i="15" s="1"/>
  <c r="AB22" i="15"/>
  <c r="AD22" i="15" s="1"/>
  <c r="AA22" i="15"/>
  <c r="AC22" i="15" s="1"/>
  <c r="X22" i="15"/>
  <c r="Z22" i="15" s="1"/>
  <c r="W22" i="15"/>
  <c r="Y22" i="15" s="1"/>
  <c r="T22" i="15"/>
  <c r="V22" i="15" s="1"/>
  <c r="S22" i="15"/>
  <c r="U22" i="15" s="1"/>
  <c r="P22" i="15"/>
  <c r="R22" i="15" s="1"/>
  <c r="O22" i="15"/>
  <c r="Q22" i="15" s="1"/>
  <c r="L22" i="15"/>
  <c r="N22" i="15" s="1"/>
  <c r="K22" i="15"/>
  <c r="M22" i="15" s="1"/>
  <c r="H22" i="15"/>
  <c r="J22" i="15" s="1"/>
  <c r="G22" i="15"/>
  <c r="I22" i="15" s="1"/>
  <c r="E22" i="15"/>
  <c r="D22" i="15"/>
  <c r="C22" i="15"/>
  <c r="AV21" i="15"/>
  <c r="AX21" i="15" s="1"/>
  <c r="AU21" i="15"/>
  <c r="AW21" i="15" s="1"/>
  <c r="AR21" i="15"/>
  <c r="AT21" i="15" s="1"/>
  <c r="AQ21" i="15"/>
  <c r="AS21" i="15" s="1"/>
  <c r="AN21" i="15"/>
  <c r="AP21" i="15" s="1"/>
  <c r="AM21" i="15"/>
  <c r="AO21" i="15" s="1"/>
  <c r="AJ21" i="15"/>
  <c r="AL21" i="15" s="1"/>
  <c r="AI21" i="15"/>
  <c r="AK21" i="15" s="1"/>
  <c r="AF21" i="15"/>
  <c r="AH21" i="15" s="1"/>
  <c r="AE21" i="15"/>
  <c r="AG21" i="15" s="1"/>
  <c r="AB21" i="15"/>
  <c r="AD21" i="15" s="1"/>
  <c r="AA21" i="15"/>
  <c r="AC21" i="15" s="1"/>
  <c r="X21" i="15"/>
  <c r="Z21" i="15" s="1"/>
  <c r="W21" i="15"/>
  <c r="Y21" i="15" s="1"/>
  <c r="T21" i="15"/>
  <c r="V21" i="15" s="1"/>
  <c r="S21" i="15"/>
  <c r="U21" i="15" s="1"/>
  <c r="P21" i="15"/>
  <c r="R21" i="15" s="1"/>
  <c r="O21" i="15"/>
  <c r="Q21" i="15" s="1"/>
  <c r="L21" i="15"/>
  <c r="N21" i="15" s="1"/>
  <c r="K21" i="15"/>
  <c r="M21" i="15" s="1"/>
  <c r="H21" i="15"/>
  <c r="J21" i="15" s="1"/>
  <c r="G21" i="15"/>
  <c r="I21" i="15" s="1"/>
  <c r="E21" i="15"/>
  <c r="D21" i="15"/>
  <c r="C21" i="15"/>
  <c r="AV20" i="15"/>
  <c r="AX20" i="15" s="1"/>
  <c r="AU20" i="15"/>
  <c r="AW20" i="15" s="1"/>
  <c r="AR20" i="15"/>
  <c r="AT20" i="15" s="1"/>
  <c r="AQ20" i="15"/>
  <c r="AS20" i="15" s="1"/>
  <c r="AN20" i="15"/>
  <c r="AP20" i="15" s="1"/>
  <c r="AM20" i="15"/>
  <c r="AO20" i="15" s="1"/>
  <c r="AJ20" i="15"/>
  <c r="AL20" i="15" s="1"/>
  <c r="AI20" i="15"/>
  <c r="AK20" i="15" s="1"/>
  <c r="AF20" i="15"/>
  <c r="AH20" i="15" s="1"/>
  <c r="AE20" i="15"/>
  <c r="AG20" i="15" s="1"/>
  <c r="AB20" i="15"/>
  <c r="AD20" i="15" s="1"/>
  <c r="AA20" i="15"/>
  <c r="AC20" i="15" s="1"/>
  <c r="X20" i="15"/>
  <c r="Z20" i="15" s="1"/>
  <c r="W20" i="15"/>
  <c r="Y20" i="15" s="1"/>
  <c r="T20" i="15"/>
  <c r="V20" i="15" s="1"/>
  <c r="S20" i="15"/>
  <c r="U20" i="15" s="1"/>
  <c r="P20" i="15"/>
  <c r="R20" i="15" s="1"/>
  <c r="O20" i="15"/>
  <c r="Q20" i="15" s="1"/>
  <c r="L20" i="15"/>
  <c r="N20" i="15" s="1"/>
  <c r="K20" i="15"/>
  <c r="M20" i="15" s="1"/>
  <c r="H20" i="15"/>
  <c r="J20" i="15" s="1"/>
  <c r="G20" i="15"/>
  <c r="I20" i="15" s="1"/>
  <c r="E20" i="15"/>
  <c r="D20" i="15"/>
  <c r="C20" i="15"/>
  <c r="AV19" i="15"/>
  <c r="AX19" i="15" s="1"/>
  <c r="AU19" i="15"/>
  <c r="AW19" i="15" s="1"/>
  <c r="AR19" i="15"/>
  <c r="AT19" i="15" s="1"/>
  <c r="AQ19" i="15"/>
  <c r="AS19" i="15" s="1"/>
  <c r="AN19" i="15"/>
  <c r="AP19" i="15" s="1"/>
  <c r="AM19" i="15"/>
  <c r="AO19" i="15" s="1"/>
  <c r="AJ19" i="15"/>
  <c r="AL19" i="15" s="1"/>
  <c r="AI19" i="15"/>
  <c r="AK19" i="15" s="1"/>
  <c r="AF19" i="15"/>
  <c r="AH19" i="15" s="1"/>
  <c r="AE19" i="15"/>
  <c r="AG19" i="15" s="1"/>
  <c r="AB19" i="15"/>
  <c r="AD19" i="15" s="1"/>
  <c r="AA19" i="15"/>
  <c r="AC19" i="15" s="1"/>
  <c r="X19" i="15"/>
  <c r="Z19" i="15" s="1"/>
  <c r="W19" i="15"/>
  <c r="Y19" i="15" s="1"/>
  <c r="T19" i="15"/>
  <c r="V19" i="15" s="1"/>
  <c r="S19" i="15"/>
  <c r="U19" i="15" s="1"/>
  <c r="P19" i="15"/>
  <c r="R19" i="15" s="1"/>
  <c r="O19" i="15"/>
  <c r="Q19" i="15" s="1"/>
  <c r="L19" i="15"/>
  <c r="N19" i="15" s="1"/>
  <c r="K19" i="15"/>
  <c r="M19" i="15" s="1"/>
  <c r="H19" i="15"/>
  <c r="J19" i="15" s="1"/>
  <c r="G19" i="15"/>
  <c r="I19" i="15" s="1"/>
  <c r="E19" i="15"/>
  <c r="D19" i="15"/>
  <c r="C19" i="15"/>
  <c r="AV18" i="15"/>
  <c r="AX18" i="15" s="1"/>
  <c r="AU18" i="15"/>
  <c r="AW18" i="15" s="1"/>
  <c r="AR18" i="15"/>
  <c r="AT18" i="15" s="1"/>
  <c r="AQ18" i="15"/>
  <c r="AS18" i="15" s="1"/>
  <c r="AN18" i="15"/>
  <c r="AP18" i="15" s="1"/>
  <c r="AM18" i="15"/>
  <c r="AO18" i="15" s="1"/>
  <c r="AJ18" i="15"/>
  <c r="AL18" i="15" s="1"/>
  <c r="AI18" i="15"/>
  <c r="AK18" i="15" s="1"/>
  <c r="AF18" i="15"/>
  <c r="AH18" i="15" s="1"/>
  <c r="AE18" i="15"/>
  <c r="AG18" i="15" s="1"/>
  <c r="AB18" i="15"/>
  <c r="AD18" i="15" s="1"/>
  <c r="AA18" i="15"/>
  <c r="AC18" i="15" s="1"/>
  <c r="X18" i="15"/>
  <c r="Z18" i="15" s="1"/>
  <c r="W18" i="15"/>
  <c r="Y18" i="15" s="1"/>
  <c r="T18" i="15"/>
  <c r="V18" i="15" s="1"/>
  <c r="S18" i="15"/>
  <c r="U18" i="15" s="1"/>
  <c r="P18" i="15"/>
  <c r="R18" i="15" s="1"/>
  <c r="O18" i="15"/>
  <c r="Q18" i="15" s="1"/>
  <c r="L18" i="15"/>
  <c r="N18" i="15" s="1"/>
  <c r="K18" i="15"/>
  <c r="M18" i="15" s="1"/>
  <c r="H18" i="15"/>
  <c r="J18" i="15" s="1"/>
  <c r="G18" i="15"/>
  <c r="I18" i="15" s="1"/>
  <c r="E18" i="15"/>
  <c r="D18" i="15"/>
  <c r="C18" i="15"/>
  <c r="AV17" i="15"/>
  <c r="AX17" i="15" s="1"/>
  <c r="AU17" i="15"/>
  <c r="AW17" i="15" s="1"/>
  <c r="AR17" i="15"/>
  <c r="AT17" i="15" s="1"/>
  <c r="AQ17" i="15"/>
  <c r="AS17" i="15" s="1"/>
  <c r="AN17" i="15"/>
  <c r="AP17" i="15" s="1"/>
  <c r="AM17" i="15"/>
  <c r="AO17" i="15" s="1"/>
  <c r="AJ17" i="15"/>
  <c r="AL17" i="15" s="1"/>
  <c r="AI17" i="15"/>
  <c r="AK17" i="15" s="1"/>
  <c r="AF17" i="15"/>
  <c r="AH17" i="15" s="1"/>
  <c r="AE17" i="15"/>
  <c r="AG17" i="15" s="1"/>
  <c r="AB17" i="15"/>
  <c r="AD17" i="15" s="1"/>
  <c r="AA17" i="15"/>
  <c r="AC17" i="15" s="1"/>
  <c r="X17" i="15"/>
  <c r="Z17" i="15" s="1"/>
  <c r="W17" i="15"/>
  <c r="Y17" i="15" s="1"/>
  <c r="T17" i="15"/>
  <c r="V17" i="15" s="1"/>
  <c r="S17" i="15"/>
  <c r="U17" i="15" s="1"/>
  <c r="P17" i="15"/>
  <c r="R17" i="15" s="1"/>
  <c r="O17" i="15"/>
  <c r="Q17" i="15" s="1"/>
  <c r="L17" i="15"/>
  <c r="N17" i="15" s="1"/>
  <c r="K17" i="15"/>
  <c r="M17" i="15" s="1"/>
  <c r="H17" i="15"/>
  <c r="J17" i="15" s="1"/>
  <c r="G17" i="15"/>
  <c r="I17" i="15" s="1"/>
  <c r="E17" i="15"/>
  <c r="D17" i="15"/>
  <c r="C17" i="15"/>
  <c r="AV16" i="15"/>
  <c r="AX16" i="15" s="1"/>
  <c r="AU16" i="15"/>
  <c r="AW16" i="15" s="1"/>
  <c r="AR16" i="15"/>
  <c r="AT16" i="15" s="1"/>
  <c r="AQ16" i="15"/>
  <c r="AS16" i="15" s="1"/>
  <c r="AN16" i="15"/>
  <c r="AP16" i="15" s="1"/>
  <c r="AM16" i="15"/>
  <c r="AO16" i="15" s="1"/>
  <c r="AJ16" i="15"/>
  <c r="AL16" i="15" s="1"/>
  <c r="AI16" i="15"/>
  <c r="AK16" i="15" s="1"/>
  <c r="AF16" i="15"/>
  <c r="AH16" i="15" s="1"/>
  <c r="AE16" i="15"/>
  <c r="AG16" i="15" s="1"/>
  <c r="AB16" i="15"/>
  <c r="AD16" i="15" s="1"/>
  <c r="AA16" i="15"/>
  <c r="AC16" i="15" s="1"/>
  <c r="X16" i="15"/>
  <c r="Z16" i="15" s="1"/>
  <c r="W16" i="15"/>
  <c r="Y16" i="15" s="1"/>
  <c r="T16" i="15"/>
  <c r="V16" i="15" s="1"/>
  <c r="S16" i="15"/>
  <c r="U16" i="15" s="1"/>
  <c r="P16" i="15"/>
  <c r="R16" i="15" s="1"/>
  <c r="O16" i="15"/>
  <c r="Q16" i="15" s="1"/>
  <c r="L16" i="15"/>
  <c r="N16" i="15" s="1"/>
  <c r="K16" i="15"/>
  <c r="M16" i="15" s="1"/>
  <c r="H16" i="15"/>
  <c r="J16" i="15" s="1"/>
  <c r="G16" i="15"/>
  <c r="I16" i="15" s="1"/>
  <c r="E16" i="15"/>
  <c r="D16" i="15"/>
  <c r="C16" i="15"/>
  <c r="AV15" i="15"/>
  <c r="AX15" i="15" s="1"/>
  <c r="AU15" i="15"/>
  <c r="AW15" i="15" s="1"/>
  <c r="AR15" i="15"/>
  <c r="AT15" i="15" s="1"/>
  <c r="AQ15" i="15"/>
  <c r="AS15" i="15" s="1"/>
  <c r="AN15" i="15"/>
  <c r="AP15" i="15" s="1"/>
  <c r="AM15" i="15"/>
  <c r="AO15" i="15" s="1"/>
  <c r="AJ15" i="15"/>
  <c r="AL15" i="15" s="1"/>
  <c r="AI15" i="15"/>
  <c r="AK15" i="15" s="1"/>
  <c r="AF15" i="15"/>
  <c r="AH15" i="15" s="1"/>
  <c r="AE15" i="15"/>
  <c r="AG15" i="15" s="1"/>
  <c r="AB15" i="15"/>
  <c r="AD15" i="15" s="1"/>
  <c r="AA15" i="15"/>
  <c r="AC15" i="15" s="1"/>
  <c r="X15" i="15"/>
  <c r="Z15" i="15" s="1"/>
  <c r="W15" i="15"/>
  <c r="Y15" i="15" s="1"/>
  <c r="T15" i="15"/>
  <c r="V15" i="15" s="1"/>
  <c r="S15" i="15"/>
  <c r="U15" i="15" s="1"/>
  <c r="P15" i="15"/>
  <c r="R15" i="15" s="1"/>
  <c r="O15" i="15"/>
  <c r="Q15" i="15" s="1"/>
  <c r="L15" i="15"/>
  <c r="N15" i="15" s="1"/>
  <c r="K15" i="15"/>
  <c r="M15" i="15" s="1"/>
  <c r="H15" i="15"/>
  <c r="J15" i="15" s="1"/>
  <c r="G15" i="15"/>
  <c r="I15" i="15" s="1"/>
  <c r="E15" i="15"/>
  <c r="D15" i="15"/>
  <c r="C15" i="15"/>
  <c r="AV14" i="15"/>
  <c r="AX14" i="15" s="1"/>
  <c r="AU14" i="15"/>
  <c r="AW14" i="15" s="1"/>
  <c r="AR14" i="15"/>
  <c r="AT14" i="15" s="1"/>
  <c r="AQ14" i="15"/>
  <c r="AS14" i="15" s="1"/>
  <c r="AN14" i="15"/>
  <c r="AP14" i="15" s="1"/>
  <c r="AM14" i="15"/>
  <c r="AO14" i="15" s="1"/>
  <c r="AJ14" i="15"/>
  <c r="AL14" i="15" s="1"/>
  <c r="AI14" i="15"/>
  <c r="AK14" i="15" s="1"/>
  <c r="AF14" i="15"/>
  <c r="AH14" i="15" s="1"/>
  <c r="AE14" i="15"/>
  <c r="AG14" i="15" s="1"/>
  <c r="AB14" i="15"/>
  <c r="AD14" i="15" s="1"/>
  <c r="AA14" i="15"/>
  <c r="AC14" i="15" s="1"/>
  <c r="X14" i="15"/>
  <c r="Z14" i="15" s="1"/>
  <c r="W14" i="15"/>
  <c r="Y14" i="15" s="1"/>
  <c r="T14" i="15"/>
  <c r="V14" i="15" s="1"/>
  <c r="S14" i="15"/>
  <c r="U14" i="15" s="1"/>
  <c r="P14" i="15"/>
  <c r="R14" i="15" s="1"/>
  <c r="O14" i="15"/>
  <c r="Q14" i="15" s="1"/>
  <c r="L14" i="15"/>
  <c r="N14" i="15" s="1"/>
  <c r="K14" i="15"/>
  <c r="M14" i="15" s="1"/>
  <c r="H14" i="15"/>
  <c r="J14" i="15" s="1"/>
  <c r="G14" i="15"/>
  <c r="I14" i="15" s="1"/>
  <c r="E14" i="15"/>
  <c r="D14" i="15"/>
  <c r="C14" i="15"/>
  <c r="AV13" i="15"/>
  <c r="AX13" i="15" s="1"/>
  <c r="AU13" i="15"/>
  <c r="AW13" i="15" s="1"/>
  <c r="AR13" i="15"/>
  <c r="AT13" i="15" s="1"/>
  <c r="AQ13" i="15"/>
  <c r="AS13" i="15" s="1"/>
  <c r="AN13" i="15"/>
  <c r="AP13" i="15" s="1"/>
  <c r="AM13" i="15"/>
  <c r="AO13" i="15" s="1"/>
  <c r="AJ13" i="15"/>
  <c r="AL13" i="15" s="1"/>
  <c r="AI13" i="15"/>
  <c r="AK13" i="15" s="1"/>
  <c r="AF13" i="15"/>
  <c r="AH13" i="15" s="1"/>
  <c r="AE13" i="15"/>
  <c r="AG13" i="15" s="1"/>
  <c r="AB13" i="15"/>
  <c r="AD13" i="15" s="1"/>
  <c r="AA13" i="15"/>
  <c r="AC13" i="15" s="1"/>
  <c r="X13" i="15"/>
  <c r="Z13" i="15" s="1"/>
  <c r="W13" i="15"/>
  <c r="Y13" i="15" s="1"/>
  <c r="T13" i="15"/>
  <c r="V13" i="15" s="1"/>
  <c r="S13" i="15"/>
  <c r="U13" i="15" s="1"/>
  <c r="P13" i="15"/>
  <c r="R13" i="15" s="1"/>
  <c r="O13" i="15"/>
  <c r="Q13" i="15" s="1"/>
  <c r="L13" i="15"/>
  <c r="N13" i="15" s="1"/>
  <c r="K13" i="15"/>
  <c r="M13" i="15" s="1"/>
  <c r="H13" i="15"/>
  <c r="J13" i="15" s="1"/>
  <c r="G13" i="15"/>
  <c r="I13" i="15" s="1"/>
  <c r="E13" i="15"/>
  <c r="D13" i="15"/>
  <c r="C13" i="15"/>
  <c r="AV12" i="15"/>
  <c r="AX12" i="15" s="1"/>
  <c r="AU12" i="15"/>
  <c r="AW12" i="15" s="1"/>
  <c r="AR12" i="15"/>
  <c r="AT12" i="15" s="1"/>
  <c r="AQ12" i="15"/>
  <c r="AS12" i="15" s="1"/>
  <c r="AN12" i="15"/>
  <c r="AP12" i="15" s="1"/>
  <c r="AM12" i="15"/>
  <c r="AO12" i="15" s="1"/>
  <c r="AJ12" i="15"/>
  <c r="AL12" i="15" s="1"/>
  <c r="AI12" i="15"/>
  <c r="AK12" i="15" s="1"/>
  <c r="AF12" i="15"/>
  <c r="AH12" i="15" s="1"/>
  <c r="AE12" i="15"/>
  <c r="AG12" i="15" s="1"/>
  <c r="AB12" i="15"/>
  <c r="AD12" i="15" s="1"/>
  <c r="AA12" i="15"/>
  <c r="AC12" i="15" s="1"/>
  <c r="X12" i="15"/>
  <c r="Z12" i="15" s="1"/>
  <c r="W12" i="15"/>
  <c r="Y12" i="15" s="1"/>
  <c r="T12" i="15"/>
  <c r="V12" i="15" s="1"/>
  <c r="S12" i="15"/>
  <c r="U12" i="15" s="1"/>
  <c r="P12" i="15"/>
  <c r="R12" i="15" s="1"/>
  <c r="O12" i="15"/>
  <c r="Q12" i="15" s="1"/>
  <c r="L12" i="15"/>
  <c r="N12" i="15" s="1"/>
  <c r="K12" i="15"/>
  <c r="M12" i="15" s="1"/>
  <c r="H12" i="15"/>
  <c r="J12" i="15" s="1"/>
  <c r="G12" i="15"/>
  <c r="I12" i="15" s="1"/>
  <c r="E12" i="15"/>
  <c r="D12" i="15"/>
  <c r="C12" i="15"/>
  <c r="AV11" i="15"/>
  <c r="AX11" i="15" s="1"/>
  <c r="AU11" i="15"/>
  <c r="AW11" i="15" s="1"/>
  <c r="AR11" i="15"/>
  <c r="AT11" i="15" s="1"/>
  <c r="AQ11" i="15"/>
  <c r="AS11" i="15" s="1"/>
  <c r="AN11" i="15"/>
  <c r="AP11" i="15" s="1"/>
  <c r="AM11" i="15"/>
  <c r="AO11" i="15" s="1"/>
  <c r="AJ11" i="15"/>
  <c r="AL11" i="15" s="1"/>
  <c r="AI11" i="15"/>
  <c r="AK11" i="15" s="1"/>
  <c r="AF11" i="15"/>
  <c r="AH11" i="15" s="1"/>
  <c r="AE11" i="15"/>
  <c r="AG11" i="15" s="1"/>
  <c r="AB11" i="15"/>
  <c r="AD11" i="15" s="1"/>
  <c r="AA11" i="15"/>
  <c r="AC11" i="15" s="1"/>
  <c r="X11" i="15"/>
  <c r="Z11" i="15" s="1"/>
  <c r="W11" i="15"/>
  <c r="Y11" i="15" s="1"/>
  <c r="T11" i="15"/>
  <c r="V11" i="15" s="1"/>
  <c r="S11" i="15"/>
  <c r="U11" i="15" s="1"/>
  <c r="P11" i="15"/>
  <c r="R11" i="15" s="1"/>
  <c r="O11" i="15"/>
  <c r="Q11" i="15" s="1"/>
  <c r="L11" i="15"/>
  <c r="N11" i="15" s="1"/>
  <c r="K11" i="15"/>
  <c r="M11" i="15" s="1"/>
  <c r="H11" i="15"/>
  <c r="J11" i="15" s="1"/>
  <c r="G11" i="15"/>
  <c r="I11" i="15" s="1"/>
  <c r="E11" i="15"/>
  <c r="D11" i="15"/>
  <c r="C11" i="15"/>
  <c r="AV10" i="15"/>
  <c r="AX10" i="15" s="1"/>
  <c r="AU10" i="15"/>
  <c r="AW10" i="15" s="1"/>
  <c r="AR10" i="15"/>
  <c r="AT10" i="15" s="1"/>
  <c r="AQ10" i="15"/>
  <c r="AS10" i="15" s="1"/>
  <c r="AN10" i="15"/>
  <c r="AP10" i="15" s="1"/>
  <c r="AM10" i="15"/>
  <c r="AO10" i="15" s="1"/>
  <c r="AJ10" i="15"/>
  <c r="AL10" i="15" s="1"/>
  <c r="AI10" i="15"/>
  <c r="AK10" i="15" s="1"/>
  <c r="AF10" i="15"/>
  <c r="AH10" i="15" s="1"/>
  <c r="AE10" i="15"/>
  <c r="AG10" i="15" s="1"/>
  <c r="AB10" i="15"/>
  <c r="AD10" i="15" s="1"/>
  <c r="AA10" i="15"/>
  <c r="AC10" i="15" s="1"/>
  <c r="X10" i="15"/>
  <c r="Z10" i="15" s="1"/>
  <c r="W10" i="15"/>
  <c r="Y10" i="15" s="1"/>
  <c r="T10" i="15"/>
  <c r="V10" i="15" s="1"/>
  <c r="S10" i="15"/>
  <c r="U10" i="15" s="1"/>
  <c r="P10" i="15"/>
  <c r="R10" i="15" s="1"/>
  <c r="O10" i="15"/>
  <c r="Q10" i="15" s="1"/>
  <c r="L10" i="15"/>
  <c r="N10" i="15" s="1"/>
  <c r="K10" i="15"/>
  <c r="M10" i="15" s="1"/>
  <c r="H10" i="15"/>
  <c r="J10" i="15" s="1"/>
  <c r="G10" i="15"/>
  <c r="I10" i="15" s="1"/>
  <c r="E10" i="15"/>
  <c r="D10" i="15"/>
  <c r="C10" i="15"/>
  <c r="AV9" i="15"/>
  <c r="AX9" i="15" s="1"/>
  <c r="AU9" i="15"/>
  <c r="AW9" i="15" s="1"/>
  <c r="AR9" i="15"/>
  <c r="AT9" i="15" s="1"/>
  <c r="AQ9" i="15"/>
  <c r="AS9" i="15" s="1"/>
  <c r="AN9" i="15"/>
  <c r="AP9" i="15" s="1"/>
  <c r="AM9" i="15"/>
  <c r="AO9" i="15" s="1"/>
  <c r="AJ9" i="15"/>
  <c r="AL9" i="15" s="1"/>
  <c r="AI9" i="15"/>
  <c r="AK9" i="15" s="1"/>
  <c r="AF9" i="15"/>
  <c r="AH9" i="15" s="1"/>
  <c r="AE9" i="15"/>
  <c r="AG9" i="15" s="1"/>
  <c r="AB9" i="15"/>
  <c r="AD9" i="15" s="1"/>
  <c r="AA9" i="15"/>
  <c r="AC9" i="15" s="1"/>
  <c r="X9" i="15"/>
  <c r="Z9" i="15" s="1"/>
  <c r="W9" i="15"/>
  <c r="Y9" i="15" s="1"/>
  <c r="T9" i="15"/>
  <c r="V9" i="15" s="1"/>
  <c r="S9" i="15"/>
  <c r="U9" i="15" s="1"/>
  <c r="P9" i="15"/>
  <c r="R9" i="15" s="1"/>
  <c r="O9" i="15"/>
  <c r="Q9" i="15" s="1"/>
  <c r="L9" i="15"/>
  <c r="N9" i="15" s="1"/>
  <c r="K9" i="15"/>
  <c r="M9" i="15" s="1"/>
  <c r="H9" i="15"/>
  <c r="J9" i="15" s="1"/>
  <c r="G9" i="15"/>
  <c r="I9" i="15" s="1"/>
  <c r="E9" i="15"/>
  <c r="D9" i="15"/>
  <c r="C9" i="15"/>
  <c r="AV8" i="15"/>
  <c r="AX8" i="15" s="1"/>
  <c r="AU8" i="15"/>
  <c r="AW8" i="15" s="1"/>
  <c r="AR8" i="15"/>
  <c r="AT8" i="15" s="1"/>
  <c r="AQ8" i="15"/>
  <c r="AS8" i="15" s="1"/>
  <c r="AN8" i="15"/>
  <c r="AP8" i="15" s="1"/>
  <c r="AM8" i="15"/>
  <c r="AO8" i="15" s="1"/>
  <c r="AJ8" i="15"/>
  <c r="AL8" i="15" s="1"/>
  <c r="AI8" i="15"/>
  <c r="AK8" i="15" s="1"/>
  <c r="AF8" i="15"/>
  <c r="AH8" i="15" s="1"/>
  <c r="AE8" i="15"/>
  <c r="AG8" i="15" s="1"/>
  <c r="AB8" i="15"/>
  <c r="AD8" i="15" s="1"/>
  <c r="AA8" i="15"/>
  <c r="AC8" i="15" s="1"/>
  <c r="X8" i="15"/>
  <c r="Z8" i="15" s="1"/>
  <c r="W8" i="15"/>
  <c r="Y8" i="15" s="1"/>
  <c r="T8" i="15"/>
  <c r="V8" i="15" s="1"/>
  <c r="S8" i="15"/>
  <c r="U8" i="15" s="1"/>
  <c r="P8" i="15"/>
  <c r="R8" i="15" s="1"/>
  <c r="O8" i="15"/>
  <c r="Q8" i="15" s="1"/>
  <c r="L8" i="15"/>
  <c r="N8" i="15" s="1"/>
  <c r="K8" i="15"/>
  <c r="M8" i="15" s="1"/>
  <c r="H8" i="15"/>
  <c r="J8" i="15" s="1"/>
  <c r="G8" i="15"/>
  <c r="I8" i="15" s="1"/>
  <c r="E8" i="15"/>
  <c r="D8" i="15"/>
  <c r="C8" i="15"/>
  <c r="AV7" i="15"/>
  <c r="AX7" i="15" s="1"/>
  <c r="AU7" i="15"/>
  <c r="AW7" i="15" s="1"/>
  <c r="AR7" i="15"/>
  <c r="AT7" i="15" s="1"/>
  <c r="AQ7" i="15"/>
  <c r="AS7" i="15" s="1"/>
  <c r="AN7" i="15"/>
  <c r="AP7" i="15" s="1"/>
  <c r="AM7" i="15"/>
  <c r="AO7" i="15" s="1"/>
  <c r="AJ7" i="15"/>
  <c r="AL7" i="15" s="1"/>
  <c r="AI7" i="15"/>
  <c r="AK7" i="15" s="1"/>
  <c r="AF7" i="15"/>
  <c r="AH7" i="15" s="1"/>
  <c r="AE7" i="15"/>
  <c r="AG7" i="15" s="1"/>
  <c r="AB7" i="15"/>
  <c r="AD7" i="15" s="1"/>
  <c r="AA7" i="15"/>
  <c r="AC7" i="15" s="1"/>
  <c r="X7" i="15"/>
  <c r="Z7" i="15" s="1"/>
  <c r="W7" i="15"/>
  <c r="Y7" i="15" s="1"/>
  <c r="T7" i="15"/>
  <c r="V7" i="15" s="1"/>
  <c r="S7" i="15"/>
  <c r="U7" i="15" s="1"/>
  <c r="P7" i="15"/>
  <c r="R7" i="15" s="1"/>
  <c r="O7" i="15"/>
  <c r="Q7" i="15" s="1"/>
  <c r="L7" i="15"/>
  <c r="N7" i="15" s="1"/>
  <c r="K7" i="15"/>
  <c r="M7" i="15" s="1"/>
  <c r="H7" i="15"/>
  <c r="J7" i="15" s="1"/>
  <c r="G7" i="15"/>
  <c r="I7" i="15" s="1"/>
  <c r="E7" i="15"/>
  <c r="D7" i="15"/>
  <c r="C7" i="15"/>
  <c r="AV6" i="15"/>
  <c r="AX6" i="15" s="1"/>
  <c r="AU6" i="15"/>
  <c r="AW6" i="15" s="1"/>
  <c r="AR6" i="15"/>
  <c r="AT6" i="15" s="1"/>
  <c r="AQ6" i="15"/>
  <c r="AS6" i="15" s="1"/>
  <c r="AN6" i="15"/>
  <c r="AP6" i="15" s="1"/>
  <c r="AM6" i="15"/>
  <c r="AO6" i="15" s="1"/>
  <c r="AJ6" i="15"/>
  <c r="AL6" i="15" s="1"/>
  <c r="AI6" i="15"/>
  <c r="AK6" i="15" s="1"/>
  <c r="AF6" i="15"/>
  <c r="AH6" i="15" s="1"/>
  <c r="AE6" i="15"/>
  <c r="AG6" i="15" s="1"/>
  <c r="AB6" i="15"/>
  <c r="AD6" i="15" s="1"/>
  <c r="AA6" i="15"/>
  <c r="AC6" i="15" s="1"/>
  <c r="X6" i="15"/>
  <c r="Z6" i="15" s="1"/>
  <c r="W6" i="15"/>
  <c r="Y6" i="15" s="1"/>
  <c r="T6" i="15"/>
  <c r="V6" i="15" s="1"/>
  <c r="S6" i="15"/>
  <c r="U6" i="15" s="1"/>
  <c r="P6" i="15"/>
  <c r="R6" i="15" s="1"/>
  <c r="O6" i="15"/>
  <c r="Q6" i="15" s="1"/>
  <c r="L6" i="15"/>
  <c r="N6" i="15" s="1"/>
  <c r="K6" i="15"/>
  <c r="M6" i="15" s="1"/>
  <c r="H6" i="15"/>
  <c r="J6" i="15" s="1"/>
  <c r="G6" i="15"/>
  <c r="I6" i="15" s="1"/>
  <c r="E6" i="15"/>
  <c r="D6" i="15"/>
  <c r="C6" i="15"/>
  <c r="AV5" i="15"/>
  <c r="AX5" i="15" s="1"/>
  <c r="AU5" i="15"/>
  <c r="AW5" i="15" s="1"/>
  <c r="AR5" i="15"/>
  <c r="AT5" i="15" s="1"/>
  <c r="AQ5" i="15"/>
  <c r="AS5" i="15" s="1"/>
  <c r="AN5" i="15"/>
  <c r="AP5" i="15" s="1"/>
  <c r="AM5" i="15"/>
  <c r="AO5" i="15" s="1"/>
  <c r="AJ5" i="15"/>
  <c r="AL5" i="15" s="1"/>
  <c r="AI5" i="15"/>
  <c r="AK5" i="15" s="1"/>
  <c r="AF5" i="15"/>
  <c r="AH5" i="15" s="1"/>
  <c r="AE5" i="15"/>
  <c r="AG5" i="15" s="1"/>
  <c r="AB5" i="15"/>
  <c r="AD5" i="15" s="1"/>
  <c r="AA5" i="15"/>
  <c r="AC5" i="15" s="1"/>
  <c r="X5" i="15"/>
  <c r="Z5" i="15" s="1"/>
  <c r="W5" i="15"/>
  <c r="Y5" i="15" s="1"/>
  <c r="T5" i="15"/>
  <c r="V5" i="15" s="1"/>
  <c r="S5" i="15"/>
  <c r="U5" i="15" s="1"/>
  <c r="P5" i="15"/>
  <c r="R5" i="15" s="1"/>
  <c r="O5" i="15"/>
  <c r="Q5" i="15" s="1"/>
  <c r="L5" i="15"/>
  <c r="N5" i="15" s="1"/>
  <c r="K5" i="15"/>
  <c r="M5" i="15" s="1"/>
  <c r="H5" i="15"/>
  <c r="J5" i="15" s="1"/>
  <c r="G5" i="15"/>
  <c r="I5" i="15" s="1"/>
  <c r="E5" i="15"/>
  <c r="D5" i="15"/>
  <c r="C5" i="15"/>
  <c r="AV4" i="15"/>
  <c r="AX4" i="15" s="1"/>
  <c r="AU4" i="15"/>
  <c r="AW4" i="15" s="1"/>
  <c r="AR4" i="15"/>
  <c r="AT4" i="15" s="1"/>
  <c r="AQ4" i="15"/>
  <c r="AS4" i="15" s="1"/>
  <c r="AN4" i="15"/>
  <c r="AP4" i="15" s="1"/>
  <c r="AM4" i="15"/>
  <c r="AO4" i="15" s="1"/>
  <c r="AJ4" i="15"/>
  <c r="AL4" i="15" s="1"/>
  <c r="AI4" i="15"/>
  <c r="AK4" i="15" s="1"/>
  <c r="AF4" i="15"/>
  <c r="AH4" i="15" s="1"/>
  <c r="AE4" i="15"/>
  <c r="AG4" i="15" s="1"/>
  <c r="AB4" i="15"/>
  <c r="AD4" i="15" s="1"/>
  <c r="AA4" i="15"/>
  <c r="AC4" i="15" s="1"/>
  <c r="X4" i="15"/>
  <c r="Z4" i="15" s="1"/>
  <c r="W4" i="15"/>
  <c r="Y4" i="15" s="1"/>
  <c r="T4" i="15"/>
  <c r="V4" i="15" s="1"/>
  <c r="S4" i="15"/>
  <c r="U4" i="15" s="1"/>
  <c r="P4" i="15"/>
  <c r="R4" i="15" s="1"/>
  <c r="O4" i="15"/>
  <c r="Q4" i="15" s="1"/>
  <c r="L4" i="15"/>
  <c r="N4" i="15" s="1"/>
  <c r="K4" i="15"/>
  <c r="M4" i="15" s="1"/>
  <c r="H4" i="15"/>
  <c r="J4" i="15" s="1"/>
  <c r="G4" i="15"/>
  <c r="I4" i="15" s="1"/>
  <c r="E4" i="15"/>
  <c r="D4" i="15"/>
  <c r="C4" i="15"/>
  <c r="AV3" i="15"/>
  <c r="AX3" i="15" s="1"/>
  <c r="AU3" i="15"/>
  <c r="AW3" i="15" s="1"/>
  <c r="AR3" i="15"/>
  <c r="AT3" i="15" s="1"/>
  <c r="AQ3" i="15"/>
  <c r="AS3" i="15" s="1"/>
  <c r="AN3" i="15"/>
  <c r="AP3" i="15" s="1"/>
  <c r="AM3" i="15"/>
  <c r="AO3" i="15" s="1"/>
  <c r="AJ3" i="15"/>
  <c r="AL3" i="15" s="1"/>
  <c r="AI3" i="15"/>
  <c r="AK3" i="15" s="1"/>
  <c r="AF3" i="15"/>
  <c r="AH3" i="15" s="1"/>
  <c r="AE3" i="15"/>
  <c r="AG3" i="15" s="1"/>
  <c r="AB3" i="15"/>
  <c r="AD3" i="15" s="1"/>
  <c r="AA3" i="15"/>
  <c r="AC3" i="15" s="1"/>
  <c r="X3" i="15"/>
  <c r="Z3" i="15" s="1"/>
  <c r="W3" i="15"/>
  <c r="Y3" i="15" s="1"/>
  <c r="T3" i="15"/>
  <c r="V3" i="15" s="1"/>
  <c r="S3" i="15"/>
  <c r="U3" i="15" s="1"/>
  <c r="P3" i="15"/>
  <c r="R3" i="15" s="1"/>
  <c r="O3" i="15"/>
  <c r="Q3" i="15" s="1"/>
  <c r="L3" i="15"/>
  <c r="N3" i="15" s="1"/>
  <c r="K3" i="15"/>
  <c r="M3" i="15" s="1"/>
  <c r="H3" i="15"/>
  <c r="J3" i="15" s="1"/>
  <c r="G3" i="15"/>
  <c r="I3" i="15" s="1"/>
  <c r="E3" i="15"/>
  <c r="D3" i="15"/>
  <c r="C3" i="15"/>
  <c r="AV50" i="14"/>
  <c r="AX50" i="14" s="1"/>
  <c r="AU50" i="14"/>
  <c r="AW50" i="14" s="1"/>
  <c r="AR50" i="14"/>
  <c r="AT50" i="14" s="1"/>
  <c r="AQ50" i="14"/>
  <c r="AS50" i="14" s="1"/>
  <c r="AN50" i="14"/>
  <c r="AP50" i="14" s="1"/>
  <c r="AM50" i="14"/>
  <c r="AO50" i="14" s="1"/>
  <c r="AJ50" i="14"/>
  <c r="AL50" i="14" s="1"/>
  <c r="AI50" i="14"/>
  <c r="AK50" i="14" s="1"/>
  <c r="AF50" i="14"/>
  <c r="AH50" i="14" s="1"/>
  <c r="AE50" i="14"/>
  <c r="AG50" i="14" s="1"/>
  <c r="AB50" i="14"/>
  <c r="AD50" i="14" s="1"/>
  <c r="AA50" i="14"/>
  <c r="AC50" i="14" s="1"/>
  <c r="X50" i="14"/>
  <c r="Z50" i="14" s="1"/>
  <c r="W50" i="14"/>
  <c r="Y50" i="14" s="1"/>
  <c r="T50" i="14"/>
  <c r="V50" i="14" s="1"/>
  <c r="S50" i="14"/>
  <c r="U50" i="14" s="1"/>
  <c r="P50" i="14"/>
  <c r="R50" i="14" s="1"/>
  <c r="O50" i="14"/>
  <c r="Q50" i="14" s="1"/>
  <c r="L50" i="14"/>
  <c r="N50" i="14" s="1"/>
  <c r="K50" i="14"/>
  <c r="M50" i="14" s="1"/>
  <c r="H50" i="14"/>
  <c r="J50" i="14" s="1"/>
  <c r="G50" i="14"/>
  <c r="I50" i="14" s="1"/>
  <c r="E50" i="14"/>
  <c r="D50" i="14"/>
  <c r="C50" i="14"/>
  <c r="AV49" i="14"/>
  <c r="AX49" i="14" s="1"/>
  <c r="AU49" i="14"/>
  <c r="AW49" i="14" s="1"/>
  <c r="AR49" i="14"/>
  <c r="AT49" i="14" s="1"/>
  <c r="AQ49" i="14"/>
  <c r="AS49" i="14" s="1"/>
  <c r="AN49" i="14"/>
  <c r="AP49" i="14" s="1"/>
  <c r="AM49" i="14"/>
  <c r="AO49" i="14" s="1"/>
  <c r="AJ49" i="14"/>
  <c r="AL49" i="14" s="1"/>
  <c r="AI49" i="14"/>
  <c r="AK49" i="14" s="1"/>
  <c r="AF49" i="14"/>
  <c r="AH49" i="14" s="1"/>
  <c r="AE49" i="14"/>
  <c r="AG49" i="14" s="1"/>
  <c r="AB49" i="14"/>
  <c r="AD49" i="14" s="1"/>
  <c r="AA49" i="14"/>
  <c r="AC49" i="14" s="1"/>
  <c r="X49" i="14"/>
  <c r="Z49" i="14" s="1"/>
  <c r="W49" i="14"/>
  <c r="Y49" i="14" s="1"/>
  <c r="T49" i="14"/>
  <c r="V49" i="14" s="1"/>
  <c r="S49" i="14"/>
  <c r="U49" i="14" s="1"/>
  <c r="P49" i="14"/>
  <c r="R49" i="14" s="1"/>
  <c r="O49" i="14"/>
  <c r="Q49" i="14" s="1"/>
  <c r="L49" i="14"/>
  <c r="N49" i="14" s="1"/>
  <c r="K49" i="14"/>
  <c r="M49" i="14" s="1"/>
  <c r="H49" i="14"/>
  <c r="J49" i="14" s="1"/>
  <c r="G49" i="14"/>
  <c r="I49" i="14" s="1"/>
  <c r="E49" i="14"/>
  <c r="D49" i="14"/>
  <c r="C49" i="14"/>
  <c r="AV48" i="14"/>
  <c r="AX48" i="14" s="1"/>
  <c r="AU48" i="14"/>
  <c r="AW48" i="14" s="1"/>
  <c r="AR48" i="14"/>
  <c r="AT48" i="14" s="1"/>
  <c r="AQ48" i="14"/>
  <c r="AS48" i="14" s="1"/>
  <c r="AN48" i="14"/>
  <c r="AP48" i="14" s="1"/>
  <c r="AM48" i="14"/>
  <c r="AO48" i="14" s="1"/>
  <c r="AJ48" i="14"/>
  <c r="AL48" i="14" s="1"/>
  <c r="AI48" i="14"/>
  <c r="AK48" i="14" s="1"/>
  <c r="AF48" i="14"/>
  <c r="AH48" i="14" s="1"/>
  <c r="AE48" i="14"/>
  <c r="AG48" i="14" s="1"/>
  <c r="AB48" i="14"/>
  <c r="AD48" i="14" s="1"/>
  <c r="AA48" i="14"/>
  <c r="AC48" i="14" s="1"/>
  <c r="X48" i="14"/>
  <c r="Z48" i="14" s="1"/>
  <c r="W48" i="14"/>
  <c r="Y48" i="14" s="1"/>
  <c r="T48" i="14"/>
  <c r="V48" i="14" s="1"/>
  <c r="S48" i="14"/>
  <c r="U48" i="14" s="1"/>
  <c r="P48" i="14"/>
  <c r="R48" i="14" s="1"/>
  <c r="O48" i="14"/>
  <c r="Q48" i="14" s="1"/>
  <c r="L48" i="14"/>
  <c r="N48" i="14" s="1"/>
  <c r="K48" i="14"/>
  <c r="M48" i="14" s="1"/>
  <c r="H48" i="14"/>
  <c r="J48" i="14" s="1"/>
  <c r="G48" i="14"/>
  <c r="I48" i="14" s="1"/>
  <c r="E48" i="14"/>
  <c r="D48" i="14"/>
  <c r="C48" i="14"/>
  <c r="AV47" i="14"/>
  <c r="AX47" i="14" s="1"/>
  <c r="AU47" i="14"/>
  <c r="AW47" i="14" s="1"/>
  <c r="AR47" i="14"/>
  <c r="AT47" i="14" s="1"/>
  <c r="AQ47" i="14"/>
  <c r="AS47" i="14" s="1"/>
  <c r="AN47" i="14"/>
  <c r="AP47" i="14" s="1"/>
  <c r="AM47" i="14"/>
  <c r="AO47" i="14" s="1"/>
  <c r="AJ47" i="14"/>
  <c r="AL47" i="14" s="1"/>
  <c r="AI47" i="14"/>
  <c r="AK47" i="14" s="1"/>
  <c r="AF47" i="14"/>
  <c r="AH47" i="14" s="1"/>
  <c r="AE47" i="14"/>
  <c r="AG47" i="14" s="1"/>
  <c r="AB47" i="14"/>
  <c r="AD47" i="14" s="1"/>
  <c r="AA47" i="14"/>
  <c r="AC47" i="14" s="1"/>
  <c r="X47" i="14"/>
  <c r="Z47" i="14" s="1"/>
  <c r="W47" i="14"/>
  <c r="Y47" i="14" s="1"/>
  <c r="T47" i="14"/>
  <c r="V47" i="14" s="1"/>
  <c r="S47" i="14"/>
  <c r="U47" i="14" s="1"/>
  <c r="P47" i="14"/>
  <c r="R47" i="14" s="1"/>
  <c r="O47" i="14"/>
  <c r="Q47" i="14" s="1"/>
  <c r="L47" i="14"/>
  <c r="N47" i="14" s="1"/>
  <c r="K47" i="14"/>
  <c r="M47" i="14" s="1"/>
  <c r="H47" i="14"/>
  <c r="J47" i="14" s="1"/>
  <c r="G47" i="14"/>
  <c r="I47" i="14" s="1"/>
  <c r="E47" i="14"/>
  <c r="D47" i="14"/>
  <c r="C47" i="14"/>
  <c r="AV46" i="14"/>
  <c r="AX46" i="14" s="1"/>
  <c r="AU46" i="14"/>
  <c r="AW46" i="14" s="1"/>
  <c r="AR46" i="14"/>
  <c r="AT46" i="14" s="1"/>
  <c r="AQ46" i="14"/>
  <c r="AS46" i="14" s="1"/>
  <c r="AN46" i="14"/>
  <c r="AP46" i="14" s="1"/>
  <c r="AM46" i="14"/>
  <c r="AO46" i="14" s="1"/>
  <c r="AJ46" i="14"/>
  <c r="AL46" i="14" s="1"/>
  <c r="AI46" i="14"/>
  <c r="AK46" i="14" s="1"/>
  <c r="AF46" i="14"/>
  <c r="AH46" i="14" s="1"/>
  <c r="AE46" i="14"/>
  <c r="AG46" i="14" s="1"/>
  <c r="AB46" i="14"/>
  <c r="AD46" i="14" s="1"/>
  <c r="AA46" i="14"/>
  <c r="AC46" i="14" s="1"/>
  <c r="X46" i="14"/>
  <c r="Z46" i="14" s="1"/>
  <c r="W46" i="14"/>
  <c r="Y46" i="14" s="1"/>
  <c r="T46" i="14"/>
  <c r="V46" i="14" s="1"/>
  <c r="S46" i="14"/>
  <c r="U46" i="14" s="1"/>
  <c r="P46" i="14"/>
  <c r="R46" i="14" s="1"/>
  <c r="O46" i="14"/>
  <c r="Q46" i="14" s="1"/>
  <c r="L46" i="14"/>
  <c r="N46" i="14" s="1"/>
  <c r="K46" i="14"/>
  <c r="M46" i="14" s="1"/>
  <c r="H46" i="14"/>
  <c r="J46" i="14" s="1"/>
  <c r="G46" i="14"/>
  <c r="I46" i="14" s="1"/>
  <c r="E46" i="14"/>
  <c r="D46" i="14"/>
  <c r="C46" i="14"/>
  <c r="AV45" i="14"/>
  <c r="AX45" i="14" s="1"/>
  <c r="AU45" i="14"/>
  <c r="AW45" i="14" s="1"/>
  <c r="AR45" i="14"/>
  <c r="AT45" i="14" s="1"/>
  <c r="AQ45" i="14"/>
  <c r="AS45" i="14" s="1"/>
  <c r="AN45" i="14"/>
  <c r="AP45" i="14" s="1"/>
  <c r="AM45" i="14"/>
  <c r="AO45" i="14" s="1"/>
  <c r="AJ45" i="14"/>
  <c r="AL45" i="14" s="1"/>
  <c r="AI45" i="14"/>
  <c r="AK45" i="14" s="1"/>
  <c r="AF45" i="14"/>
  <c r="AH45" i="14" s="1"/>
  <c r="AE45" i="14"/>
  <c r="AG45" i="14" s="1"/>
  <c r="AB45" i="14"/>
  <c r="AD45" i="14" s="1"/>
  <c r="AA45" i="14"/>
  <c r="AC45" i="14" s="1"/>
  <c r="X45" i="14"/>
  <c r="Z45" i="14" s="1"/>
  <c r="W45" i="14"/>
  <c r="Y45" i="14" s="1"/>
  <c r="T45" i="14"/>
  <c r="V45" i="14" s="1"/>
  <c r="S45" i="14"/>
  <c r="U45" i="14" s="1"/>
  <c r="P45" i="14"/>
  <c r="R45" i="14" s="1"/>
  <c r="O45" i="14"/>
  <c r="Q45" i="14" s="1"/>
  <c r="L45" i="14"/>
  <c r="N45" i="14" s="1"/>
  <c r="K45" i="14"/>
  <c r="M45" i="14" s="1"/>
  <c r="H45" i="14"/>
  <c r="J45" i="14" s="1"/>
  <c r="G45" i="14"/>
  <c r="I45" i="14" s="1"/>
  <c r="E45" i="14"/>
  <c r="D45" i="14"/>
  <c r="C45" i="14"/>
  <c r="AV44" i="14"/>
  <c r="AX44" i="14" s="1"/>
  <c r="AU44" i="14"/>
  <c r="AW44" i="14" s="1"/>
  <c r="AR44" i="14"/>
  <c r="AT44" i="14" s="1"/>
  <c r="AQ44" i="14"/>
  <c r="AS44" i="14" s="1"/>
  <c r="AN44" i="14"/>
  <c r="AP44" i="14" s="1"/>
  <c r="AM44" i="14"/>
  <c r="AO44" i="14" s="1"/>
  <c r="AJ44" i="14"/>
  <c r="AL44" i="14" s="1"/>
  <c r="AI44" i="14"/>
  <c r="AK44" i="14" s="1"/>
  <c r="AF44" i="14"/>
  <c r="AH44" i="14" s="1"/>
  <c r="AE44" i="14"/>
  <c r="AG44" i="14" s="1"/>
  <c r="AB44" i="14"/>
  <c r="AD44" i="14" s="1"/>
  <c r="AA44" i="14"/>
  <c r="AC44" i="14" s="1"/>
  <c r="X44" i="14"/>
  <c r="Z44" i="14" s="1"/>
  <c r="W44" i="14"/>
  <c r="Y44" i="14" s="1"/>
  <c r="T44" i="14"/>
  <c r="V44" i="14" s="1"/>
  <c r="S44" i="14"/>
  <c r="U44" i="14" s="1"/>
  <c r="P44" i="14"/>
  <c r="R44" i="14" s="1"/>
  <c r="O44" i="14"/>
  <c r="Q44" i="14" s="1"/>
  <c r="L44" i="14"/>
  <c r="N44" i="14" s="1"/>
  <c r="K44" i="14"/>
  <c r="M44" i="14" s="1"/>
  <c r="H44" i="14"/>
  <c r="J44" i="14" s="1"/>
  <c r="G44" i="14"/>
  <c r="I44" i="14" s="1"/>
  <c r="E44" i="14"/>
  <c r="D44" i="14"/>
  <c r="C44" i="14"/>
  <c r="AV43" i="14"/>
  <c r="AX43" i="14" s="1"/>
  <c r="AU43" i="14"/>
  <c r="AW43" i="14" s="1"/>
  <c r="AR43" i="14"/>
  <c r="AT43" i="14" s="1"/>
  <c r="AQ43" i="14"/>
  <c r="AS43" i="14" s="1"/>
  <c r="AN43" i="14"/>
  <c r="AP43" i="14" s="1"/>
  <c r="AM43" i="14"/>
  <c r="AO43" i="14" s="1"/>
  <c r="AJ43" i="14"/>
  <c r="AL43" i="14" s="1"/>
  <c r="AI43" i="14"/>
  <c r="AK43" i="14" s="1"/>
  <c r="AF43" i="14"/>
  <c r="AH43" i="14" s="1"/>
  <c r="AE43" i="14"/>
  <c r="AG43" i="14" s="1"/>
  <c r="AB43" i="14"/>
  <c r="AD43" i="14" s="1"/>
  <c r="AA43" i="14"/>
  <c r="AC43" i="14" s="1"/>
  <c r="X43" i="14"/>
  <c r="Z43" i="14" s="1"/>
  <c r="W43" i="14"/>
  <c r="Y43" i="14" s="1"/>
  <c r="T43" i="14"/>
  <c r="V43" i="14" s="1"/>
  <c r="S43" i="14"/>
  <c r="U43" i="14" s="1"/>
  <c r="P43" i="14"/>
  <c r="R43" i="14" s="1"/>
  <c r="O43" i="14"/>
  <c r="Q43" i="14" s="1"/>
  <c r="L43" i="14"/>
  <c r="N43" i="14" s="1"/>
  <c r="K43" i="14"/>
  <c r="M43" i="14" s="1"/>
  <c r="H43" i="14"/>
  <c r="J43" i="14" s="1"/>
  <c r="G43" i="14"/>
  <c r="I43" i="14" s="1"/>
  <c r="E43" i="14"/>
  <c r="D43" i="14"/>
  <c r="C43" i="14"/>
  <c r="AV42" i="14"/>
  <c r="AX42" i="14" s="1"/>
  <c r="AU42" i="14"/>
  <c r="AW42" i="14" s="1"/>
  <c r="AR42" i="14"/>
  <c r="AT42" i="14" s="1"/>
  <c r="AQ42" i="14"/>
  <c r="AS42" i="14" s="1"/>
  <c r="AN42" i="14"/>
  <c r="AP42" i="14" s="1"/>
  <c r="AM42" i="14"/>
  <c r="AO42" i="14" s="1"/>
  <c r="AJ42" i="14"/>
  <c r="AL42" i="14" s="1"/>
  <c r="AI42" i="14"/>
  <c r="AK42" i="14" s="1"/>
  <c r="AF42" i="14"/>
  <c r="AH42" i="14" s="1"/>
  <c r="AE42" i="14"/>
  <c r="AG42" i="14" s="1"/>
  <c r="AB42" i="14"/>
  <c r="AD42" i="14" s="1"/>
  <c r="AA42" i="14"/>
  <c r="AC42" i="14" s="1"/>
  <c r="X42" i="14"/>
  <c r="Z42" i="14" s="1"/>
  <c r="W42" i="14"/>
  <c r="Y42" i="14" s="1"/>
  <c r="T42" i="14"/>
  <c r="V42" i="14" s="1"/>
  <c r="S42" i="14"/>
  <c r="U42" i="14" s="1"/>
  <c r="P42" i="14"/>
  <c r="R42" i="14" s="1"/>
  <c r="O42" i="14"/>
  <c r="Q42" i="14" s="1"/>
  <c r="L42" i="14"/>
  <c r="N42" i="14" s="1"/>
  <c r="K42" i="14"/>
  <c r="M42" i="14" s="1"/>
  <c r="H42" i="14"/>
  <c r="J42" i="14" s="1"/>
  <c r="G42" i="14"/>
  <c r="I42" i="14" s="1"/>
  <c r="E42" i="14"/>
  <c r="D42" i="14"/>
  <c r="C42" i="14"/>
  <c r="AV41" i="14"/>
  <c r="AX41" i="14" s="1"/>
  <c r="AU41" i="14"/>
  <c r="AW41" i="14" s="1"/>
  <c r="AR41" i="14"/>
  <c r="AT41" i="14" s="1"/>
  <c r="AQ41" i="14"/>
  <c r="AS41" i="14" s="1"/>
  <c r="AN41" i="14"/>
  <c r="AP41" i="14" s="1"/>
  <c r="AM41" i="14"/>
  <c r="AO41" i="14" s="1"/>
  <c r="AJ41" i="14"/>
  <c r="AL41" i="14" s="1"/>
  <c r="AI41" i="14"/>
  <c r="AK41" i="14" s="1"/>
  <c r="AF41" i="14"/>
  <c r="AH41" i="14" s="1"/>
  <c r="AE41" i="14"/>
  <c r="AG41" i="14" s="1"/>
  <c r="AB41" i="14"/>
  <c r="AD41" i="14" s="1"/>
  <c r="AA41" i="14"/>
  <c r="AC41" i="14" s="1"/>
  <c r="X41" i="14"/>
  <c r="Z41" i="14" s="1"/>
  <c r="W41" i="14"/>
  <c r="Y41" i="14" s="1"/>
  <c r="T41" i="14"/>
  <c r="V41" i="14" s="1"/>
  <c r="S41" i="14"/>
  <c r="U41" i="14" s="1"/>
  <c r="P41" i="14"/>
  <c r="R41" i="14" s="1"/>
  <c r="O41" i="14"/>
  <c r="Q41" i="14" s="1"/>
  <c r="L41" i="14"/>
  <c r="N41" i="14" s="1"/>
  <c r="K41" i="14"/>
  <c r="M41" i="14" s="1"/>
  <c r="H41" i="14"/>
  <c r="J41" i="14" s="1"/>
  <c r="G41" i="14"/>
  <c r="I41" i="14" s="1"/>
  <c r="E41" i="14"/>
  <c r="D41" i="14"/>
  <c r="C41" i="14"/>
  <c r="AV40" i="14"/>
  <c r="AX40" i="14" s="1"/>
  <c r="AU40" i="14"/>
  <c r="AW40" i="14" s="1"/>
  <c r="AR40" i="14"/>
  <c r="AT40" i="14" s="1"/>
  <c r="AQ40" i="14"/>
  <c r="AS40" i="14" s="1"/>
  <c r="AN40" i="14"/>
  <c r="AP40" i="14" s="1"/>
  <c r="AM40" i="14"/>
  <c r="AO40" i="14" s="1"/>
  <c r="AJ40" i="14"/>
  <c r="AL40" i="14" s="1"/>
  <c r="AI40" i="14"/>
  <c r="AK40" i="14" s="1"/>
  <c r="AF40" i="14"/>
  <c r="AH40" i="14" s="1"/>
  <c r="AE40" i="14"/>
  <c r="AG40" i="14" s="1"/>
  <c r="AB40" i="14"/>
  <c r="AD40" i="14" s="1"/>
  <c r="AA40" i="14"/>
  <c r="AC40" i="14" s="1"/>
  <c r="X40" i="14"/>
  <c r="Z40" i="14" s="1"/>
  <c r="W40" i="14"/>
  <c r="Y40" i="14" s="1"/>
  <c r="T40" i="14"/>
  <c r="V40" i="14" s="1"/>
  <c r="S40" i="14"/>
  <c r="U40" i="14" s="1"/>
  <c r="P40" i="14"/>
  <c r="R40" i="14" s="1"/>
  <c r="O40" i="14"/>
  <c r="Q40" i="14" s="1"/>
  <c r="L40" i="14"/>
  <c r="N40" i="14" s="1"/>
  <c r="K40" i="14"/>
  <c r="M40" i="14" s="1"/>
  <c r="H40" i="14"/>
  <c r="J40" i="14" s="1"/>
  <c r="G40" i="14"/>
  <c r="I40" i="14" s="1"/>
  <c r="E40" i="14"/>
  <c r="D40" i="14"/>
  <c r="C40" i="14"/>
  <c r="AV39" i="14"/>
  <c r="AX39" i="14" s="1"/>
  <c r="AU39" i="14"/>
  <c r="AW39" i="14" s="1"/>
  <c r="AR39" i="14"/>
  <c r="AT39" i="14" s="1"/>
  <c r="AQ39" i="14"/>
  <c r="AS39" i="14" s="1"/>
  <c r="AN39" i="14"/>
  <c r="AP39" i="14" s="1"/>
  <c r="AM39" i="14"/>
  <c r="AO39" i="14" s="1"/>
  <c r="AJ39" i="14"/>
  <c r="AL39" i="14" s="1"/>
  <c r="AI39" i="14"/>
  <c r="AK39" i="14" s="1"/>
  <c r="AF39" i="14"/>
  <c r="AH39" i="14" s="1"/>
  <c r="AE39" i="14"/>
  <c r="AG39" i="14" s="1"/>
  <c r="AB39" i="14"/>
  <c r="AD39" i="14" s="1"/>
  <c r="AA39" i="14"/>
  <c r="AC39" i="14" s="1"/>
  <c r="X39" i="14"/>
  <c r="Z39" i="14" s="1"/>
  <c r="W39" i="14"/>
  <c r="Y39" i="14" s="1"/>
  <c r="T39" i="14"/>
  <c r="V39" i="14" s="1"/>
  <c r="S39" i="14"/>
  <c r="U39" i="14" s="1"/>
  <c r="P39" i="14"/>
  <c r="R39" i="14" s="1"/>
  <c r="O39" i="14"/>
  <c r="Q39" i="14" s="1"/>
  <c r="L39" i="14"/>
  <c r="N39" i="14" s="1"/>
  <c r="K39" i="14"/>
  <c r="M39" i="14" s="1"/>
  <c r="H39" i="14"/>
  <c r="J39" i="14" s="1"/>
  <c r="G39" i="14"/>
  <c r="I39" i="14" s="1"/>
  <c r="E39" i="14"/>
  <c r="D39" i="14"/>
  <c r="C39" i="14"/>
  <c r="AV38" i="14"/>
  <c r="AX38" i="14" s="1"/>
  <c r="AU38" i="14"/>
  <c r="AW38" i="14" s="1"/>
  <c r="AR38" i="14"/>
  <c r="AT38" i="14" s="1"/>
  <c r="AQ38" i="14"/>
  <c r="AS38" i="14" s="1"/>
  <c r="AN38" i="14"/>
  <c r="AP38" i="14" s="1"/>
  <c r="AM38" i="14"/>
  <c r="AO38" i="14" s="1"/>
  <c r="AJ38" i="14"/>
  <c r="AL38" i="14" s="1"/>
  <c r="AI38" i="14"/>
  <c r="AK38" i="14" s="1"/>
  <c r="AF38" i="14"/>
  <c r="AH38" i="14" s="1"/>
  <c r="AE38" i="14"/>
  <c r="AG38" i="14" s="1"/>
  <c r="AB38" i="14"/>
  <c r="AD38" i="14" s="1"/>
  <c r="AA38" i="14"/>
  <c r="AC38" i="14" s="1"/>
  <c r="X38" i="14"/>
  <c r="Z38" i="14" s="1"/>
  <c r="W38" i="14"/>
  <c r="Y38" i="14" s="1"/>
  <c r="T38" i="14"/>
  <c r="V38" i="14" s="1"/>
  <c r="S38" i="14"/>
  <c r="U38" i="14" s="1"/>
  <c r="P38" i="14"/>
  <c r="R38" i="14" s="1"/>
  <c r="O38" i="14"/>
  <c r="Q38" i="14" s="1"/>
  <c r="L38" i="14"/>
  <c r="N38" i="14" s="1"/>
  <c r="K38" i="14"/>
  <c r="M38" i="14" s="1"/>
  <c r="H38" i="14"/>
  <c r="J38" i="14" s="1"/>
  <c r="G38" i="14"/>
  <c r="I38" i="14" s="1"/>
  <c r="E38" i="14"/>
  <c r="D38" i="14"/>
  <c r="C38" i="14"/>
  <c r="AV37" i="14"/>
  <c r="AX37" i="14" s="1"/>
  <c r="AU37" i="14"/>
  <c r="AW37" i="14" s="1"/>
  <c r="AR37" i="14"/>
  <c r="AT37" i="14" s="1"/>
  <c r="AQ37" i="14"/>
  <c r="AS37" i="14" s="1"/>
  <c r="AN37" i="14"/>
  <c r="AP37" i="14" s="1"/>
  <c r="AM37" i="14"/>
  <c r="AO37" i="14" s="1"/>
  <c r="AJ37" i="14"/>
  <c r="AL37" i="14" s="1"/>
  <c r="AI37" i="14"/>
  <c r="AK37" i="14" s="1"/>
  <c r="AF37" i="14"/>
  <c r="AH37" i="14" s="1"/>
  <c r="AE37" i="14"/>
  <c r="AG37" i="14" s="1"/>
  <c r="AB37" i="14"/>
  <c r="AD37" i="14" s="1"/>
  <c r="AA37" i="14"/>
  <c r="AC37" i="14" s="1"/>
  <c r="X37" i="14"/>
  <c r="Z37" i="14" s="1"/>
  <c r="W37" i="14"/>
  <c r="Y37" i="14" s="1"/>
  <c r="T37" i="14"/>
  <c r="V37" i="14" s="1"/>
  <c r="S37" i="14"/>
  <c r="U37" i="14" s="1"/>
  <c r="P37" i="14"/>
  <c r="R37" i="14" s="1"/>
  <c r="O37" i="14"/>
  <c r="Q37" i="14" s="1"/>
  <c r="L37" i="14"/>
  <c r="N37" i="14" s="1"/>
  <c r="K37" i="14"/>
  <c r="M37" i="14" s="1"/>
  <c r="H37" i="14"/>
  <c r="J37" i="14" s="1"/>
  <c r="G37" i="14"/>
  <c r="I37" i="14" s="1"/>
  <c r="E37" i="14"/>
  <c r="D37" i="14"/>
  <c r="C37" i="14"/>
  <c r="AV36" i="14"/>
  <c r="AX36" i="14" s="1"/>
  <c r="AU36" i="14"/>
  <c r="AW36" i="14" s="1"/>
  <c r="AR36" i="14"/>
  <c r="AT36" i="14" s="1"/>
  <c r="AQ36" i="14"/>
  <c r="AS36" i="14" s="1"/>
  <c r="AN36" i="14"/>
  <c r="AP36" i="14" s="1"/>
  <c r="AM36" i="14"/>
  <c r="AO36" i="14" s="1"/>
  <c r="AJ36" i="14"/>
  <c r="AL36" i="14" s="1"/>
  <c r="AI36" i="14"/>
  <c r="AK36" i="14" s="1"/>
  <c r="AF36" i="14"/>
  <c r="AH36" i="14" s="1"/>
  <c r="AE36" i="14"/>
  <c r="AG36" i="14" s="1"/>
  <c r="AB36" i="14"/>
  <c r="AD36" i="14" s="1"/>
  <c r="AA36" i="14"/>
  <c r="AC36" i="14" s="1"/>
  <c r="X36" i="14"/>
  <c r="Z36" i="14" s="1"/>
  <c r="W36" i="14"/>
  <c r="Y36" i="14" s="1"/>
  <c r="T36" i="14"/>
  <c r="V36" i="14" s="1"/>
  <c r="S36" i="14"/>
  <c r="U36" i="14" s="1"/>
  <c r="P36" i="14"/>
  <c r="R36" i="14" s="1"/>
  <c r="O36" i="14"/>
  <c r="Q36" i="14" s="1"/>
  <c r="L36" i="14"/>
  <c r="N36" i="14" s="1"/>
  <c r="K36" i="14"/>
  <c r="M36" i="14" s="1"/>
  <c r="H36" i="14"/>
  <c r="J36" i="14" s="1"/>
  <c r="G36" i="14"/>
  <c r="I36" i="14" s="1"/>
  <c r="E36" i="14"/>
  <c r="D36" i="14"/>
  <c r="C36" i="14"/>
  <c r="AV35" i="14"/>
  <c r="AX35" i="14" s="1"/>
  <c r="AU35" i="14"/>
  <c r="AW35" i="14" s="1"/>
  <c r="AR35" i="14"/>
  <c r="AT35" i="14" s="1"/>
  <c r="AQ35" i="14"/>
  <c r="AS35" i="14" s="1"/>
  <c r="AN35" i="14"/>
  <c r="AP35" i="14" s="1"/>
  <c r="AM35" i="14"/>
  <c r="AO35" i="14" s="1"/>
  <c r="AJ35" i="14"/>
  <c r="AL35" i="14" s="1"/>
  <c r="AI35" i="14"/>
  <c r="AK35" i="14" s="1"/>
  <c r="AF35" i="14"/>
  <c r="AH35" i="14" s="1"/>
  <c r="AE35" i="14"/>
  <c r="AG35" i="14" s="1"/>
  <c r="AB35" i="14"/>
  <c r="AD35" i="14" s="1"/>
  <c r="AA35" i="14"/>
  <c r="AC35" i="14" s="1"/>
  <c r="X35" i="14"/>
  <c r="Z35" i="14" s="1"/>
  <c r="W35" i="14"/>
  <c r="Y35" i="14" s="1"/>
  <c r="T35" i="14"/>
  <c r="V35" i="14" s="1"/>
  <c r="S35" i="14"/>
  <c r="U35" i="14" s="1"/>
  <c r="P35" i="14"/>
  <c r="R35" i="14" s="1"/>
  <c r="O35" i="14"/>
  <c r="Q35" i="14" s="1"/>
  <c r="L35" i="14"/>
  <c r="N35" i="14" s="1"/>
  <c r="K35" i="14"/>
  <c r="M35" i="14" s="1"/>
  <c r="H35" i="14"/>
  <c r="J35" i="14" s="1"/>
  <c r="G35" i="14"/>
  <c r="I35" i="14" s="1"/>
  <c r="E35" i="14"/>
  <c r="D35" i="14"/>
  <c r="C35" i="14"/>
  <c r="AV34" i="14"/>
  <c r="AX34" i="14" s="1"/>
  <c r="AU34" i="14"/>
  <c r="AW34" i="14" s="1"/>
  <c r="AR34" i="14"/>
  <c r="AT34" i="14" s="1"/>
  <c r="AQ34" i="14"/>
  <c r="AS34" i="14" s="1"/>
  <c r="AN34" i="14"/>
  <c r="AP34" i="14" s="1"/>
  <c r="AM34" i="14"/>
  <c r="AO34" i="14" s="1"/>
  <c r="AJ34" i="14"/>
  <c r="AL34" i="14" s="1"/>
  <c r="AI34" i="14"/>
  <c r="AK34" i="14" s="1"/>
  <c r="AF34" i="14"/>
  <c r="AH34" i="14" s="1"/>
  <c r="AE34" i="14"/>
  <c r="AG34" i="14" s="1"/>
  <c r="AB34" i="14"/>
  <c r="AD34" i="14" s="1"/>
  <c r="AA34" i="14"/>
  <c r="AC34" i="14" s="1"/>
  <c r="X34" i="14"/>
  <c r="Z34" i="14" s="1"/>
  <c r="W34" i="14"/>
  <c r="Y34" i="14" s="1"/>
  <c r="T34" i="14"/>
  <c r="V34" i="14" s="1"/>
  <c r="S34" i="14"/>
  <c r="U34" i="14" s="1"/>
  <c r="P34" i="14"/>
  <c r="R34" i="14" s="1"/>
  <c r="O34" i="14"/>
  <c r="Q34" i="14" s="1"/>
  <c r="L34" i="14"/>
  <c r="N34" i="14" s="1"/>
  <c r="K34" i="14"/>
  <c r="M34" i="14" s="1"/>
  <c r="H34" i="14"/>
  <c r="J34" i="14" s="1"/>
  <c r="G34" i="14"/>
  <c r="I34" i="14" s="1"/>
  <c r="E34" i="14"/>
  <c r="D34" i="14"/>
  <c r="C34" i="14"/>
  <c r="AV33" i="14"/>
  <c r="AX33" i="14" s="1"/>
  <c r="AU33" i="14"/>
  <c r="AW33" i="14" s="1"/>
  <c r="AR33" i="14"/>
  <c r="AT33" i="14" s="1"/>
  <c r="AQ33" i="14"/>
  <c r="AS33" i="14" s="1"/>
  <c r="AN33" i="14"/>
  <c r="AP33" i="14" s="1"/>
  <c r="AM33" i="14"/>
  <c r="AO33" i="14" s="1"/>
  <c r="AJ33" i="14"/>
  <c r="AL33" i="14" s="1"/>
  <c r="AI33" i="14"/>
  <c r="AK33" i="14" s="1"/>
  <c r="AF33" i="14"/>
  <c r="AH33" i="14" s="1"/>
  <c r="AE33" i="14"/>
  <c r="AG33" i="14" s="1"/>
  <c r="AB33" i="14"/>
  <c r="AD33" i="14" s="1"/>
  <c r="AA33" i="14"/>
  <c r="AC33" i="14" s="1"/>
  <c r="X33" i="14"/>
  <c r="Z33" i="14" s="1"/>
  <c r="W33" i="14"/>
  <c r="Y33" i="14" s="1"/>
  <c r="T33" i="14"/>
  <c r="V33" i="14" s="1"/>
  <c r="S33" i="14"/>
  <c r="U33" i="14" s="1"/>
  <c r="P33" i="14"/>
  <c r="R33" i="14" s="1"/>
  <c r="O33" i="14"/>
  <c r="Q33" i="14" s="1"/>
  <c r="L33" i="14"/>
  <c r="N33" i="14" s="1"/>
  <c r="K33" i="14"/>
  <c r="M33" i="14" s="1"/>
  <c r="H33" i="14"/>
  <c r="J33" i="14" s="1"/>
  <c r="G33" i="14"/>
  <c r="I33" i="14" s="1"/>
  <c r="E33" i="14"/>
  <c r="D33" i="14"/>
  <c r="C33" i="14"/>
  <c r="AV32" i="14"/>
  <c r="AX32" i="14" s="1"/>
  <c r="AU32" i="14"/>
  <c r="AW32" i="14" s="1"/>
  <c r="AR32" i="14"/>
  <c r="AT32" i="14" s="1"/>
  <c r="AQ32" i="14"/>
  <c r="AS32" i="14" s="1"/>
  <c r="AN32" i="14"/>
  <c r="AP32" i="14" s="1"/>
  <c r="AM32" i="14"/>
  <c r="AO32" i="14" s="1"/>
  <c r="AJ32" i="14"/>
  <c r="AL32" i="14" s="1"/>
  <c r="AI32" i="14"/>
  <c r="AK32" i="14" s="1"/>
  <c r="AF32" i="14"/>
  <c r="AH32" i="14" s="1"/>
  <c r="AE32" i="14"/>
  <c r="AG32" i="14" s="1"/>
  <c r="AB32" i="14"/>
  <c r="AD32" i="14" s="1"/>
  <c r="AA32" i="14"/>
  <c r="AC32" i="14" s="1"/>
  <c r="X32" i="14"/>
  <c r="Z32" i="14" s="1"/>
  <c r="W32" i="14"/>
  <c r="Y32" i="14" s="1"/>
  <c r="T32" i="14"/>
  <c r="V32" i="14" s="1"/>
  <c r="S32" i="14"/>
  <c r="U32" i="14" s="1"/>
  <c r="P32" i="14"/>
  <c r="R32" i="14" s="1"/>
  <c r="O32" i="14"/>
  <c r="Q32" i="14" s="1"/>
  <c r="L32" i="14"/>
  <c r="N32" i="14" s="1"/>
  <c r="K32" i="14"/>
  <c r="M32" i="14" s="1"/>
  <c r="H32" i="14"/>
  <c r="J32" i="14" s="1"/>
  <c r="G32" i="14"/>
  <c r="I32" i="14" s="1"/>
  <c r="E32" i="14"/>
  <c r="D32" i="14"/>
  <c r="C32" i="14"/>
  <c r="AV31" i="14"/>
  <c r="AX31" i="14" s="1"/>
  <c r="AU31" i="14"/>
  <c r="AW31" i="14" s="1"/>
  <c r="AR31" i="14"/>
  <c r="AT31" i="14" s="1"/>
  <c r="AQ31" i="14"/>
  <c r="AS31" i="14" s="1"/>
  <c r="AN31" i="14"/>
  <c r="AP31" i="14" s="1"/>
  <c r="AM31" i="14"/>
  <c r="AO31" i="14" s="1"/>
  <c r="AJ31" i="14"/>
  <c r="AL31" i="14" s="1"/>
  <c r="AI31" i="14"/>
  <c r="AK31" i="14" s="1"/>
  <c r="AF31" i="14"/>
  <c r="AH31" i="14" s="1"/>
  <c r="AE31" i="14"/>
  <c r="AG31" i="14" s="1"/>
  <c r="AB31" i="14"/>
  <c r="AD31" i="14" s="1"/>
  <c r="AA31" i="14"/>
  <c r="AC31" i="14" s="1"/>
  <c r="X31" i="14"/>
  <c r="Z31" i="14" s="1"/>
  <c r="W31" i="14"/>
  <c r="Y31" i="14" s="1"/>
  <c r="T31" i="14"/>
  <c r="V31" i="14" s="1"/>
  <c r="S31" i="14"/>
  <c r="U31" i="14" s="1"/>
  <c r="P31" i="14"/>
  <c r="R31" i="14" s="1"/>
  <c r="O31" i="14"/>
  <c r="Q31" i="14" s="1"/>
  <c r="L31" i="14"/>
  <c r="N31" i="14" s="1"/>
  <c r="K31" i="14"/>
  <c r="M31" i="14" s="1"/>
  <c r="H31" i="14"/>
  <c r="J31" i="14" s="1"/>
  <c r="G31" i="14"/>
  <c r="I31" i="14" s="1"/>
  <c r="E31" i="14"/>
  <c r="D31" i="14"/>
  <c r="C31" i="14"/>
  <c r="AV30" i="14"/>
  <c r="AX30" i="14" s="1"/>
  <c r="AU30" i="14"/>
  <c r="AW30" i="14" s="1"/>
  <c r="AR30" i="14"/>
  <c r="AT30" i="14" s="1"/>
  <c r="AQ30" i="14"/>
  <c r="AS30" i="14" s="1"/>
  <c r="AN30" i="14"/>
  <c r="AP30" i="14" s="1"/>
  <c r="AM30" i="14"/>
  <c r="AO30" i="14" s="1"/>
  <c r="AJ30" i="14"/>
  <c r="AL30" i="14" s="1"/>
  <c r="AI30" i="14"/>
  <c r="AK30" i="14" s="1"/>
  <c r="AF30" i="14"/>
  <c r="AH30" i="14" s="1"/>
  <c r="AE30" i="14"/>
  <c r="AG30" i="14" s="1"/>
  <c r="AB30" i="14"/>
  <c r="AD30" i="14" s="1"/>
  <c r="AA30" i="14"/>
  <c r="AC30" i="14" s="1"/>
  <c r="X30" i="14"/>
  <c r="Z30" i="14" s="1"/>
  <c r="W30" i="14"/>
  <c r="Y30" i="14" s="1"/>
  <c r="T30" i="14"/>
  <c r="V30" i="14" s="1"/>
  <c r="S30" i="14"/>
  <c r="U30" i="14" s="1"/>
  <c r="P30" i="14"/>
  <c r="R30" i="14" s="1"/>
  <c r="O30" i="14"/>
  <c r="Q30" i="14" s="1"/>
  <c r="L30" i="14"/>
  <c r="N30" i="14" s="1"/>
  <c r="K30" i="14"/>
  <c r="M30" i="14" s="1"/>
  <c r="H30" i="14"/>
  <c r="J30" i="14" s="1"/>
  <c r="G30" i="14"/>
  <c r="I30" i="14" s="1"/>
  <c r="E30" i="14"/>
  <c r="D30" i="14"/>
  <c r="C30" i="14"/>
  <c r="AV29" i="14"/>
  <c r="AX29" i="14" s="1"/>
  <c r="AU29" i="14"/>
  <c r="AW29" i="14" s="1"/>
  <c r="AR29" i="14"/>
  <c r="AT29" i="14" s="1"/>
  <c r="AQ29" i="14"/>
  <c r="AS29" i="14" s="1"/>
  <c r="AN29" i="14"/>
  <c r="AP29" i="14" s="1"/>
  <c r="AM29" i="14"/>
  <c r="AO29" i="14" s="1"/>
  <c r="AJ29" i="14"/>
  <c r="AL29" i="14" s="1"/>
  <c r="AI29" i="14"/>
  <c r="AK29" i="14" s="1"/>
  <c r="AF29" i="14"/>
  <c r="AH29" i="14" s="1"/>
  <c r="AE29" i="14"/>
  <c r="AG29" i="14" s="1"/>
  <c r="AB29" i="14"/>
  <c r="AD29" i="14" s="1"/>
  <c r="AA29" i="14"/>
  <c r="AC29" i="14" s="1"/>
  <c r="X29" i="14"/>
  <c r="Z29" i="14" s="1"/>
  <c r="W29" i="14"/>
  <c r="Y29" i="14" s="1"/>
  <c r="T29" i="14"/>
  <c r="V29" i="14" s="1"/>
  <c r="S29" i="14"/>
  <c r="U29" i="14" s="1"/>
  <c r="P29" i="14"/>
  <c r="R29" i="14" s="1"/>
  <c r="O29" i="14"/>
  <c r="Q29" i="14" s="1"/>
  <c r="L29" i="14"/>
  <c r="N29" i="14" s="1"/>
  <c r="K29" i="14"/>
  <c r="M29" i="14" s="1"/>
  <c r="H29" i="14"/>
  <c r="J29" i="14" s="1"/>
  <c r="G29" i="14"/>
  <c r="I29" i="14" s="1"/>
  <c r="E29" i="14"/>
  <c r="D29" i="14"/>
  <c r="C29" i="14"/>
  <c r="AV28" i="14"/>
  <c r="AX28" i="14" s="1"/>
  <c r="AU28" i="14"/>
  <c r="AW28" i="14" s="1"/>
  <c r="AR28" i="14"/>
  <c r="AT28" i="14" s="1"/>
  <c r="AQ28" i="14"/>
  <c r="AS28" i="14" s="1"/>
  <c r="AN28" i="14"/>
  <c r="AP28" i="14" s="1"/>
  <c r="AM28" i="14"/>
  <c r="AO28" i="14" s="1"/>
  <c r="AJ28" i="14"/>
  <c r="AL28" i="14" s="1"/>
  <c r="AI28" i="14"/>
  <c r="AK28" i="14" s="1"/>
  <c r="AF28" i="14"/>
  <c r="AH28" i="14" s="1"/>
  <c r="AE28" i="14"/>
  <c r="AG28" i="14" s="1"/>
  <c r="AB28" i="14"/>
  <c r="AD28" i="14" s="1"/>
  <c r="AA28" i="14"/>
  <c r="AC28" i="14" s="1"/>
  <c r="X28" i="14"/>
  <c r="Z28" i="14" s="1"/>
  <c r="W28" i="14"/>
  <c r="Y28" i="14" s="1"/>
  <c r="T28" i="14"/>
  <c r="V28" i="14" s="1"/>
  <c r="S28" i="14"/>
  <c r="U28" i="14" s="1"/>
  <c r="P28" i="14"/>
  <c r="R28" i="14" s="1"/>
  <c r="O28" i="14"/>
  <c r="Q28" i="14" s="1"/>
  <c r="L28" i="14"/>
  <c r="N28" i="14" s="1"/>
  <c r="K28" i="14"/>
  <c r="M28" i="14" s="1"/>
  <c r="H28" i="14"/>
  <c r="J28" i="14" s="1"/>
  <c r="G28" i="14"/>
  <c r="I28" i="14" s="1"/>
  <c r="E28" i="14"/>
  <c r="D28" i="14"/>
  <c r="C28" i="14"/>
  <c r="AV27" i="14"/>
  <c r="AX27" i="14" s="1"/>
  <c r="AU27" i="14"/>
  <c r="AW27" i="14" s="1"/>
  <c r="AR27" i="14"/>
  <c r="AT27" i="14" s="1"/>
  <c r="AQ27" i="14"/>
  <c r="AS27" i="14" s="1"/>
  <c r="AN27" i="14"/>
  <c r="AP27" i="14" s="1"/>
  <c r="AM27" i="14"/>
  <c r="AO27" i="14" s="1"/>
  <c r="AJ27" i="14"/>
  <c r="AL27" i="14" s="1"/>
  <c r="AI27" i="14"/>
  <c r="AK27" i="14" s="1"/>
  <c r="AF27" i="14"/>
  <c r="AH27" i="14" s="1"/>
  <c r="AE27" i="14"/>
  <c r="AG27" i="14" s="1"/>
  <c r="AB27" i="14"/>
  <c r="AD27" i="14" s="1"/>
  <c r="AA27" i="14"/>
  <c r="AC27" i="14" s="1"/>
  <c r="X27" i="14"/>
  <c r="Z27" i="14" s="1"/>
  <c r="W27" i="14"/>
  <c r="Y27" i="14" s="1"/>
  <c r="T27" i="14"/>
  <c r="V27" i="14" s="1"/>
  <c r="S27" i="14"/>
  <c r="U27" i="14" s="1"/>
  <c r="P27" i="14"/>
  <c r="R27" i="14" s="1"/>
  <c r="O27" i="14"/>
  <c r="Q27" i="14" s="1"/>
  <c r="L27" i="14"/>
  <c r="N27" i="14" s="1"/>
  <c r="K27" i="14"/>
  <c r="M27" i="14" s="1"/>
  <c r="H27" i="14"/>
  <c r="J27" i="14" s="1"/>
  <c r="G27" i="14"/>
  <c r="I27" i="14" s="1"/>
  <c r="E27" i="14"/>
  <c r="D27" i="14"/>
  <c r="C27" i="14"/>
  <c r="AV26" i="14"/>
  <c r="AX26" i="14" s="1"/>
  <c r="AU26" i="14"/>
  <c r="AW26" i="14" s="1"/>
  <c r="AR26" i="14"/>
  <c r="AT26" i="14" s="1"/>
  <c r="AQ26" i="14"/>
  <c r="AS26" i="14" s="1"/>
  <c r="AN26" i="14"/>
  <c r="AP26" i="14" s="1"/>
  <c r="AM26" i="14"/>
  <c r="AO26" i="14" s="1"/>
  <c r="AJ26" i="14"/>
  <c r="AL26" i="14" s="1"/>
  <c r="AI26" i="14"/>
  <c r="AK26" i="14" s="1"/>
  <c r="AF26" i="14"/>
  <c r="AH26" i="14" s="1"/>
  <c r="AE26" i="14"/>
  <c r="AG26" i="14" s="1"/>
  <c r="AB26" i="14"/>
  <c r="AD26" i="14" s="1"/>
  <c r="AA26" i="14"/>
  <c r="AC26" i="14" s="1"/>
  <c r="X26" i="14"/>
  <c r="Z26" i="14" s="1"/>
  <c r="W26" i="14"/>
  <c r="Y26" i="14" s="1"/>
  <c r="T26" i="14"/>
  <c r="V26" i="14" s="1"/>
  <c r="S26" i="14"/>
  <c r="U26" i="14" s="1"/>
  <c r="P26" i="14"/>
  <c r="R26" i="14" s="1"/>
  <c r="O26" i="14"/>
  <c r="Q26" i="14" s="1"/>
  <c r="L26" i="14"/>
  <c r="N26" i="14" s="1"/>
  <c r="K26" i="14"/>
  <c r="M26" i="14" s="1"/>
  <c r="H26" i="14"/>
  <c r="J26" i="14" s="1"/>
  <c r="G26" i="14"/>
  <c r="I26" i="14" s="1"/>
  <c r="E26" i="14"/>
  <c r="D26" i="14"/>
  <c r="C26" i="14"/>
  <c r="AV25" i="14"/>
  <c r="AX25" i="14" s="1"/>
  <c r="AU25" i="14"/>
  <c r="AW25" i="14" s="1"/>
  <c r="AR25" i="14"/>
  <c r="AT25" i="14" s="1"/>
  <c r="AQ25" i="14"/>
  <c r="AS25" i="14" s="1"/>
  <c r="AN25" i="14"/>
  <c r="AP25" i="14" s="1"/>
  <c r="AM25" i="14"/>
  <c r="AO25" i="14" s="1"/>
  <c r="AJ25" i="14"/>
  <c r="AL25" i="14" s="1"/>
  <c r="AI25" i="14"/>
  <c r="AK25" i="14" s="1"/>
  <c r="AF25" i="14"/>
  <c r="AH25" i="14" s="1"/>
  <c r="AE25" i="14"/>
  <c r="AG25" i="14" s="1"/>
  <c r="AB25" i="14"/>
  <c r="AD25" i="14" s="1"/>
  <c r="AA25" i="14"/>
  <c r="AC25" i="14" s="1"/>
  <c r="X25" i="14"/>
  <c r="Z25" i="14" s="1"/>
  <c r="W25" i="14"/>
  <c r="Y25" i="14" s="1"/>
  <c r="T25" i="14"/>
  <c r="V25" i="14" s="1"/>
  <c r="S25" i="14"/>
  <c r="U25" i="14" s="1"/>
  <c r="P25" i="14"/>
  <c r="R25" i="14" s="1"/>
  <c r="O25" i="14"/>
  <c r="Q25" i="14" s="1"/>
  <c r="L25" i="14"/>
  <c r="N25" i="14" s="1"/>
  <c r="K25" i="14"/>
  <c r="M25" i="14" s="1"/>
  <c r="H25" i="14"/>
  <c r="J25" i="14" s="1"/>
  <c r="G25" i="14"/>
  <c r="I25" i="14" s="1"/>
  <c r="E25" i="14"/>
  <c r="D25" i="14"/>
  <c r="C25" i="14"/>
  <c r="AV24" i="14"/>
  <c r="AX24" i="14" s="1"/>
  <c r="AU24" i="14"/>
  <c r="AW24" i="14" s="1"/>
  <c r="AR24" i="14"/>
  <c r="AT24" i="14" s="1"/>
  <c r="AQ24" i="14"/>
  <c r="AS24" i="14" s="1"/>
  <c r="AN24" i="14"/>
  <c r="AP24" i="14" s="1"/>
  <c r="AM24" i="14"/>
  <c r="AO24" i="14" s="1"/>
  <c r="AJ24" i="14"/>
  <c r="AL24" i="14" s="1"/>
  <c r="AI24" i="14"/>
  <c r="AK24" i="14" s="1"/>
  <c r="AF24" i="14"/>
  <c r="AH24" i="14" s="1"/>
  <c r="AE24" i="14"/>
  <c r="AG24" i="14" s="1"/>
  <c r="AB24" i="14"/>
  <c r="AD24" i="14" s="1"/>
  <c r="AA24" i="14"/>
  <c r="AC24" i="14" s="1"/>
  <c r="X24" i="14"/>
  <c r="Z24" i="14" s="1"/>
  <c r="W24" i="14"/>
  <c r="Y24" i="14" s="1"/>
  <c r="T24" i="14"/>
  <c r="V24" i="14" s="1"/>
  <c r="S24" i="14"/>
  <c r="U24" i="14" s="1"/>
  <c r="P24" i="14"/>
  <c r="R24" i="14" s="1"/>
  <c r="O24" i="14"/>
  <c r="Q24" i="14" s="1"/>
  <c r="L24" i="14"/>
  <c r="N24" i="14" s="1"/>
  <c r="K24" i="14"/>
  <c r="M24" i="14" s="1"/>
  <c r="H24" i="14"/>
  <c r="J24" i="14" s="1"/>
  <c r="G24" i="14"/>
  <c r="I24" i="14" s="1"/>
  <c r="E24" i="14"/>
  <c r="D24" i="14"/>
  <c r="C24" i="14"/>
  <c r="AV23" i="14"/>
  <c r="AX23" i="14" s="1"/>
  <c r="AU23" i="14"/>
  <c r="AW23" i="14" s="1"/>
  <c r="AR23" i="14"/>
  <c r="AT23" i="14" s="1"/>
  <c r="AQ23" i="14"/>
  <c r="AS23" i="14" s="1"/>
  <c r="AN23" i="14"/>
  <c r="AP23" i="14" s="1"/>
  <c r="AM23" i="14"/>
  <c r="AO23" i="14" s="1"/>
  <c r="AJ23" i="14"/>
  <c r="AL23" i="14" s="1"/>
  <c r="AI23" i="14"/>
  <c r="AK23" i="14" s="1"/>
  <c r="AF23" i="14"/>
  <c r="AH23" i="14" s="1"/>
  <c r="AE23" i="14"/>
  <c r="AG23" i="14" s="1"/>
  <c r="AB23" i="14"/>
  <c r="AD23" i="14" s="1"/>
  <c r="AA23" i="14"/>
  <c r="AC23" i="14" s="1"/>
  <c r="X23" i="14"/>
  <c r="Z23" i="14" s="1"/>
  <c r="W23" i="14"/>
  <c r="Y23" i="14" s="1"/>
  <c r="T23" i="14"/>
  <c r="V23" i="14" s="1"/>
  <c r="S23" i="14"/>
  <c r="U23" i="14" s="1"/>
  <c r="P23" i="14"/>
  <c r="R23" i="14" s="1"/>
  <c r="O23" i="14"/>
  <c r="Q23" i="14" s="1"/>
  <c r="L23" i="14"/>
  <c r="N23" i="14" s="1"/>
  <c r="K23" i="14"/>
  <c r="M23" i="14" s="1"/>
  <c r="H23" i="14"/>
  <c r="J23" i="14" s="1"/>
  <c r="G23" i="14"/>
  <c r="I23" i="14" s="1"/>
  <c r="E23" i="14"/>
  <c r="D23" i="14"/>
  <c r="C23" i="14"/>
  <c r="AV22" i="14"/>
  <c r="AX22" i="14" s="1"/>
  <c r="AU22" i="14"/>
  <c r="AW22" i="14" s="1"/>
  <c r="AR22" i="14"/>
  <c r="AT22" i="14" s="1"/>
  <c r="AQ22" i="14"/>
  <c r="AS22" i="14" s="1"/>
  <c r="AN22" i="14"/>
  <c r="AP22" i="14" s="1"/>
  <c r="AM22" i="14"/>
  <c r="AO22" i="14" s="1"/>
  <c r="AJ22" i="14"/>
  <c r="AL22" i="14" s="1"/>
  <c r="AI22" i="14"/>
  <c r="AK22" i="14" s="1"/>
  <c r="AF22" i="14"/>
  <c r="AH22" i="14" s="1"/>
  <c r="AE22" i="14"/>
  <c r="AG22" i="14" s="1"/>
  <c r="AB22" i="14"/>
  <c r="AD22" i="14" s="1"/>
  <c r="AA22" i="14"/>
  <c r="AC22" i="14" s="1"/>
  <c r="X22" i="14"/>
  <c r="Z22" i="14" s="1"/>
  <c r="W22" i="14"/>
  <c r="Y22" i="14" s="1"/>
  <c r="T22" i="14"/>
  <c r="V22" i="14" s="1"/>
  <c r="S22" i="14"/>
  <c r="U22" i="14" s="1"/>
  <c r="P22" i="14"/>
  <c r="R22" i="14" s="1"/>
  <c r="O22" i="14"/>
  <c r="Q22" i="14" s="1"/>
  <c r="L22" i="14"/>
  <c r="N22" i="14" s="1"/>
  <c r="K22" i="14"/>
  <c r="M22" i="14" s="1"/>
  <c r="H22" i="14"/>
  <c r="J22" i="14" s="1"/>
  <c r="G22" i="14"/>
  <c r="I22" i="14" s="1"/>
  <c r="E22" i="14"/>
  <c r="D22" i="14"/>
  <c r="C22" i="14"/>
  <c r="AV21" i="14"/>
  <c r="AX21" i="14" s="1"/>
  <c r="AU21" i="14"/>
  <c r="AW21" i="14" s="1"/>
  <c r="AR21" i="14"/>
  <c r="AT21" i="14" s="1"/>
  <c r="AQ21" i="14"/>
  <c r="AS21" i="14" s="1"/>
  <c r="AN21" i="14"/>
  <c r="AP21" i="14" s="1"/>
  <c r="AM21" i="14"/>
  <c r="AO21" i="14" s="1"/>
  <c r="AJ21" i="14"/>
  <c r="AL21" i="14" s="1"/>
  <c r="AI21" i="14"/>
  <c r="AK21" i="14" s="1"/>
  <c r="AF21" i="14"/>
  <c r="AH21" i="14" s="1"/>
  <c r="AE21" i="14"/>
  <c r="AG21" i="14" s="1"/>
  <c r="AB21" i="14"/>
  <c r="AD21" i="14" s="1"/>
  <c r="AA21" i="14"/>
  <c r="AC21" i="14" s="1"/>
  <c r="X21" i="14"/>
  <c r="Z21" i="14" s="1"/>
  <c r="W21" i="14"/>
  <c r="Y21" i="14" s="1"/>
  <c r="T21" i="14"/>
  <c r="V21" i="14" s="1"/>
  <c r="S21" i="14"/>
  <c r="U21" i="14" s="1"/>
  <c r="P21" i="14"/>
  <c r="R21" i="14" s="1"/>
  <c r="O21" i="14"/>
  <c r="Q21" i="14" s="1"/>
  <c r="L21" i="14"/>
  <c r="N21" i="14" s="1"/>
  <c r="K21" i="14"/>
  <c r="M21" i="14" s="1"/>
  <c r="H21" i="14"/>
  <c r="J21" i="14" s="1"/>
  <c r="G21" i="14"/>
  <c r="I21" i="14" s="1"/>
  <c r="E21" i="14"/>
  <c r="D21" i="14"/>
  <c r="C21" i="14"/>
  <c r="AV20" i="14"/>
  <c r="AX20" i="14" s="1"/>
  <c r="AU20" i="14"/>
  <c r="AW20" i="14" s="1"/>
  <c r="AR20" i="14"/>
  <c r="AT20" i="14" s="1"/>
  <c r="AQ20" i="14"/>
  <c r="AS20" i="14" s="1"/>
  <c r="AN20" i="14"/>
  <c r="AP20" i="14" s="1"/>
  <c r="AM20" i="14"/>
  <c r="AO20" i="14" s="1"/>
  <c r="AJ20" i="14"/>
  <c r="AL20" i="14" s="1"/>
  <c r="AI20" i="14"/>
  <c r="AK20" i="14" s="1"/>
  <c r="AF20" i="14"/>
  <c r="AH20" i="14" s="1"/>
  <c r="AE20" i="14"/>
  <c r="AG20" i="14" s="1"/>
  <c r="AB20" i="14"/>
  <c r="AD20" i="14" s="1"/>
  <c r="AA20" i="14"/>
  <c r="AC20" i="14" s="1"/>
  <c r="X20" i="14"/>
  <c r="Z20" i="14" s="1"/>
  <c r="W20" i="14"/>
  <c r="Y20" i="14" s="1"/>
  <c r="T20" i="14"/>
  <c r="V20" i="14" s="1"/>
  <c r="S20" i="14"/>
  <c r="U20" i="14" s="1"/>
  <c r="P20" i="14"/>
  <c r="R20" i="14" s="1"/>
  <c r="O20" i="14"/>
  <c r="Q20" i="14" s="1"/>
  <c r="L20" i="14"/>
  <c r="N20" i="14" s="1"/>
  <c r="K20" i="14"/>
  <c r="M20" i="14" s="1"/>
  <c r="H20" i="14"/>
  <c r="J20" i="14" s="1"/>
  <c r="G20" i="14"/>
  <c r="I20" i="14" s="1"/>
  <c r="E20" i="14"/>
  <c r="D20" i="14"/>
  <c r="C20" i="14"/>
  <c r="AV19" i="14"/>
  <c r="AX19" i="14" s="1"/>
  <c r="AU19" i="14"/>
  <c r="AW19" i="14" s="1"/>
  <c r="AR19" i="14"/>
  <c r="AT19" i="14" s="1"/>
  <c r="AQ19" i="14"/>
  <c r="AS19" i="14" s="1"/>
  <c r="AN19" i="14"/>
  <c r="AP19" i="14" s="1"/>
  <c r="AM19" i="14"/>
  <c r="AO19" i="14" s="1"/>
  <c r="AJ19" i="14"/>
  <c r="AL19" i="14" s="1"/>
  <c r="AI19" i="14"/>
  <c r="AK19" i="14" s="1"/>
  <c r="AF19" i="14"/>
  <c r="AH19" i="14" s="1"/>
  <c r="AE19" i="14"/>
  <c r="AG19" i="14" s="1"/>
  <c r="AB19" i="14"/>
  <c r="AD19" i="14" s="1"/>
  <c r="AA19" i="14"/>
  <c r="AC19" i="14" s="1"/>
  <c r="X19" i="14"/>
  <c r="Z19" i="14" s="1"/>
  <c r="W19" i="14"/>
  <c r="Y19" i="14" s="1"/>
  <c r="T19" i="14"/>
  <c r="V19" i="14" s="1"/>
  <c r="S19" i="14"/>
  <c r="U19" i="14" s="1"/>
  <c r="P19" i="14"/>
  <c r="R19" i="14" s="1"/>
  <c r="O19" i="14"/>
  <c r="Q19" i="14" s="1"/>
  <c r="L19" i="14"/>
  <c r="N19" i="14" s="1"/>
  <c r="K19" i="14"/>
  <c r="M19" i="14" s="1"/>
  <c r="H19" i="14"/>
  <c r="J19" i="14" s="1"/>
  <c r="G19" i="14"/>
  <c r="I19" i="14" s="1"/>
  <c r="E19" i="14"/>
  <c r="D19" i="14"/>
  <c r="C19" i="14"/>
  <c r="AV18" i="14"/>
  <c r="AX18" i="14" s="1"/>
  <c r="AU18" i="14"/>
  <c r="AW18" i="14" s="1"/>
  <c r="AR18" i="14"/>
  <c r="AT18" i="14" s="1"/>
  <c r="AQ18" i="14"/>
  <c r="AS18" i="14" s="1"/>
  <c r="AN18" i="14"/>
  <c r="AP18" i="14" s="1"/>
  <c r="AM18" i="14"/>
  <c r="AO18" i="14" s="1"/>
  <c r="AJ18" i="14"/>
  <c r="AL18" i="14" s="1"/>
  <c r="AI18" i="14"/>
  <c r="AK18" i="14" s="1"/>
  <c r="AF18" i="14"/>
  <c r="AH18" i="14" s="1"/>
  <c r="AE18" i="14"/>
  <c r="AG18" i="14" s="1"/>
  <c r="AB18" i="14"/>
  <c r="AD18" i="14" s="1"/>
  <c r="AA18" i="14"/>
  <c r="AC18" i="14" s="1"/>
  <c r="X18" i="14"/>
  <c r="Z18" i="14" s="1"/>
  <c r="W18" i="14"/>
  <c r="Y18" i="14" s="1"/>
  <c r="T18" i="14"/>
  <c r="V18" i="14" s="1"/>
  <c r="S18" i="14"/>
  <c r="U18" i="14" s="1"/>
  <c r="P18" i="14"/>
  <c r="R18" i="14" s="1"/>
  <c r="O18" i="14"/>
  <c r="Q18" i="14" s="1"/>
  <c r="L18" i="14"/>
  <c r="N18" i="14" s="1"/>
  <c r="K18" i="14"/>
  <c r="M18" i="14" s="1"/>
  <c r="H18" i="14"/>
  <c r="J18" i="14" s="1"/>
  <c r="G18" i="14"/>
  <c r="I18" i="14" s="1"/>
  <c r="E18" i="14"/>
  <c r="D18" i="14"/>
  <c r="C18" i="14"/>
  <c r="AV17" i="14"/>
  <c r="AX17" i="14" s="1"/>
  <c r="AU17" i="14"/>
  <c r="AW17" i="14" s="1"/>
  <c r="AR17" i="14"/>
  <c r="AT17" i="14" s="1"/>
  <c r="AQ17" i="14"/>
  <c r="AS17" i="14" s="1"/>
  <c r="AN17" i="14"/>
  <c r="AP17" i="14" s="1"/>
  <c r="AM17" i="14"/>
  <c r="AO17" i="14" s="1"/>
  <c r="AJ17" i="14"/>
  <c r="AL17" i="14" s="1"/>
  <c r="AI17" i="14"/>
  <c r="AK17" i="14" s="1"/>
  <c r="AF17" i="14"/>
  <c r="AH17" i="14" s="1"/>
  <c r="AE17" i="14"/>
  <c r="AG17" i="14" s="1"/>
  <c r="AB17" i="14"/>
  <c r="AD17" i="14" s="1"/>
  <c r="AA17" i="14"/>
  <c r="AC17" i="14" s="1"/>
  <c r="X17" i="14"/>
  <c r="Z17" i="14" s="1"/>
  <c r="W17" i="14"/>
  <c r="Y17" i="14" s="1"/>
  <c r="T17" i="14"/>
  <c r="V17" i="14" s="1"/>
  <c r="S17" i="14"/>
  <c r="U17" i="14" s="1"/>
  <c r="P17" i="14"/>
  <c r="R17" i="14" s="1"/>
  <c r="O17" i="14"/>
  <c r="Q17" i="14" s="1"/>
  <c r="L17" i="14"/>
  <c r="N17" i="14" s="1"/>
  <c r="K17" i="14"/>
  <c r="M17" i="14" s="1"/>
  <c r="H17" i="14"/>
  <c r="J17" i="14" s="1"/>
  <c r="G17" i="14"/>
  <c r="I17" i="14" s="1"/>
  <c r="E17" i="14"/>
  <c r="D17" i="14"/>
  <c r="C17" i="14"/>
  <c r="AV16" i="14"/>
  <c r="AX16" i="14" s="1"/>
  <c r="AU16" i="14"/>
  <c r="AW16" i="14" s="1"/>
  <c r="AR16" i="14"/>
  <c r="AT16" i="14" s="1"/>
  <c r="AQ16" i="14"/>
  <c r="AS16" i="14" s="1"/>
  <c r="AN16" i="14"/>
  <c r="AP16" i="14" s="1"/>
  <c r="AM16" i="14"/>
  <c r="AO16" i="14" s="1"/>
  <c r="AJ16" i="14"/>
  <c r="AL16" i="14" s="1"/>
  <c r="AI16" i="14"/>
  <c r="AK16" i="14" s="1"/>
  <c r="AF16" i="14"/>
  <c r="AH16" i="14" s="1"/>
  <c r="AE16" i="14"/>
  <c r="AG16" i="14" s="1"/>
  <c r="AB16" i="14"/>
  <c r="AD16" i="14" s="1"/>
  <c r="AA16" i="14"/>
  <c r="AC16" i="14" s="1"/>
  <c r="X16" i="14"/>
  <c r="Z16" i="14" s="1"/>
  <c r="W16" i="14"/>
  <c r="Y16" i="14" s="1"/>
  <c r="T16" i="14"/>
  <c r="V16" i="14" s="1"/>
  <c r="S16" i="14"/>
  <c r="U16" i="14" s="1"/>
  <c r="P16" i="14"/>
  <c r="R16" i="14" s="1"/>
  <c r="O16" i="14"/>
  <c r="Q16" i="14" s="1"/>
  <c r="L16" i="14"/>
  <c r="N16" i="14" s="1"/>
  <c r="K16" i="14"/>
  <c r="M16" i="14" s="1"/>
  <c r="H16" i="14"/>
  <c r="J16" i="14" s="1"/>
  <c r="G16" i="14"/>
  <c r="I16" i="14" s="1"/>
  <c r="E16" i="14"/>
  <c r="D16" i="14"/>
  <c r="C16" i="14"/>
  <c r="AV15" i="14"/>
  <c r="AX15" i="14" s="1"/>
  <c r="AU15" i="14"/>
  <c r="AW15" i="14" s="1"/>
  <c r="AR15" i="14"/>
  <c r="AT15" i="14" s="1"/>
  <c r="AQ15" i="14"/>
  <c r="AS15" i="14" s="1"/>
  <c r="AN15" i="14"/>
  <c r="AP15" i="14" s="1"/>
  <c r="AM15" i="14"/>
  <c r="AO15" i="14" s="1"/>
  <c r="AJ15" i="14"/>
  <c r="AL15" i="14" s="1"/>
  <c r="AI15" i="14"/>
  <c r="AK15" i="14" s="1"/>
  <c r="AF15" i="14"/>
  <c r="AH15" i="14" s="1"/>
  <c r="AE15" i="14"/>
  <c r="AG15" i="14" s="1"/>
  <c r="AB15" i="14"/>
  <c r="AD15" i="14" s="1"/>
  <c r="AA15" i="14"/>
  <c r="AC15" i="14" s="1"/>
  <c r="X15" i="14"/>
  <c r="Z15" i="14" s="1"/>
  <c r="W15" i="14"/>
  <c r="Y15" i="14" s="1"/>
  <c r="T15" i="14"/>
  <c r="V15" i="14" s="1"/>
  <c r="S15" i="14"/>
  <c r="U15" i="14" s="1"/>
  <c r="P15" i="14"/>
  <c r="R15" i="14" s="1"/>
  <c r="O15" i="14"/>
  <c r="Q15" i="14" s="1"/>
  <c r="L15" i="14"/>
  <c r="N15" i="14" s="1"/>
  <c r="K15" i="14"/>
  <c r="M15" i="14" s="1"/>
  <c r="H15" i="14"/>
  <c r="J15" i="14" s="1"/>
  <c r="G15" i="14"/>
  <c r="I15" i="14" s="1"/>
  <c r="E15" i="14"/>
  <c r="D15" i="14"/>
  <c r="C15" i="14"/>
  <c r="AV14" i="14"/>
  <c r="AX14" i="14" s="1"/>
  <c r="AU14" i="14"/>
  <c r="AW14" i="14" s="1"/>
  <c r="AR14" i="14"/>
  <c r="AT14" i="14" s="1"/>
  <c r="AQ14" i="14"/>
  <c r="AS14" i="14" s="1"/>
  <c r="AN14" i="14"/>
  <c r="AP14" i="14" s="1"/>
  <c r="AM14" i="14"/>
  <c r="AO14" i="14" s="1"/>
  <c r="AJ14" i="14"/>
  <c r="AL14" i="14" s="1"/>
  <c r="AI14" i="14"/>
  <c r="AK14" i="14" s="1"/>
  <c r="AF14" i="14"/>
  <c r="AH14" i="14" s="1"/>
  <c r="AE14" i="14"/>
  <c r="AG14" i="14" s="1"/>
  <c r="AB14" i="14"/>
  <c r="AD14" i="14" s="1"/>
  <c r="AA14" i="14"/>
  <c r="AC14" i="14" s="1"/>
  <c r="X14" i="14"/>
  <c r="Z14" i="14" s="1"/>
  <c r="W14" i="14"/>
  <c r="Y14" i="14" s="1"/>
  <c r="T14" i="14"/>
  <c r="V14" i="14" s="1"/>
  <c r="S14" i="14"/>
  <c r="U14" i="14" s="1"/>
  <c r="P14" i="14"/>
  <c r="R14" i="14" s="1"/>
  <c r="O14" i="14"/>
  <c r="Q14" i="14" s="1"/>
  <c r="L14" i="14"/>
  <c r="N14" i="14" s="1"/>
  <c r="K14" i="14"/>
  <c r="M14" i="14" s="1"/>
  <c r="H14" i="14"/>
  <c r="J14" i="14" s="1"/>
  <c r="G14" i="14"/>
  <c r="I14" i="14" s="1"/>
  <c r="E14" i="14"/>
  <c r="D14" i="14"/>
  <c r="C14" i="14"/>
  <c r="AV13" i="14"/>
  <c r="AX13" i="14" s="1"/>
  <c r="AU13" i="14"/>
  <c r="AW13" i="14" s="1"/>
  <c r="AR13" i="14"/>
  <c r="AT13" i="14" s="1"/>
  <c r="AQ13" i="14"/>
  <c r="AS13" i="14" s="1"/>
  <c r="AN13" i="14"/>
  <c r="AP13" i="14" s="1"/>
  <c r="AM13" i="14"/>
  <c r="AO13" i="14" s="1"/>
  <c r="AJ13" i="14"/>
  <c r="AL13" i="14" s="1"/>
  <c r="AI13" i="14"/>
  <c r="AK13" i="14" s="1"/>
  <c r="AF13" i="14"/>
  <c r="AH13" i="14" s="1"/>
  <c r="AE13" i="14"/>
  <c r="AG13" i="14" s="1"/>
  <c r="AB13" i="14"/>
  <c r="AD13" i="14" s="1"/>
  <c r="AA13" i="14"/>
  <c r="AC13" i="14" s="1"/>
  <c r="X13" i="14"/>
  <c r="Z13" i="14" s="1"/>
  <c r="W13" i="14"/>
  <c r="Y13" i="14" s="1"/>
  <c r="T13" i="14"/>
  <c r="V13" i="14" s="1"/>
  <c r="S13" i="14"/>
  <c r="U13" i="14" s="1"/>
  <c r="P13" i="14"/>
  <c r="R13" i="14" s="1"/>
  <c r="O13" i="14"/>
  <c r="Q13" i="14" s="1"/>
  <c r="L13" i="14"/>
  <c r="N13" i="14" s="1"/>
  <c r="K13" i="14"/>
  <c r="M13" i="14" s="1"/>
  <c r="H13" i="14"/>
  <c r="J13" i="14" s="1"/>
  <c r="G13" i="14"/>
  <c r="I13" i="14" s="1"/>
  <c r="E13" i="14"/>
  <c r="D13" i="14"/>
  <c r="C13" i="14"/>
  <c r="AV12" i="14"/>
  <c r="AX12" i="14" s="1"/>
  <c r="AU12" i="14"/>
  <c r="AW12" i="14" s="1"/>
  <c r="AR12" i="14"/>
  <c r="AT12" i="14" s="1"/>
  <c r="AQ12" i="14"/>
  <c r="AS12" i="14" s="1"/>
  <c r="AN12" i="14"/>
  <c r="AP12" i="14" s="1"/>
  <c r="AM12" i="14"/>
  <c r="AO12" i="14" s="1"/>
  <c r="AJ12" i="14"/>
  <c r="AL12" i="14" s="1"/>
  <c r="AI12" i="14"/>
  <c r="AK12" i="14" s="1"/>
  <c r="AF12" i="14"/>
  <c r="AH12" i="14" s="1"/>
  <c r="AE12" i="14"/>
  <c r="AG12" i="14" s="1"/>
  <c r="AB12" i="14"/>
  <c r="AD12" i="14" s="1"/>
  <c r="AA12" i="14"/>
  <c r="AC12" i="14" s="1"/>
  <c r="X12" i="14"/>
  <c r="Z12" i="14" s="1"/>
  <c r="W12" i="14"/>
  <c r="Y12" i="14" s="1"/>
  <c r="T12" i="14"/>
  <c r="V12" i="14" s="1"/>
  <c r="S12" i="14"/>
  <c r="U12" i="14" s="1"/>
  <c r="P12" i="14"/>
  <c r="R12" i="14" s="1"/>
  <c r="O12" i="14"/>
  <c r="Q12" i="14" s="1"/>
  <c r="L12" i="14"/>
  <c r="N12" i="14" s="1"/>
  <c r="K12" i="14"/>
  <c r="M12" i="14" s="1"/>
  <c r="H12" i="14"/>
  <c r="J12" i="14" s="1"/>
  <c r="G12" i="14"/>
  <c r="I12" i="14" s="1"/>
  <c r="E12" i="14"/>
  <c r="D12" i="14"/>
  <c r="C12" i="14"/>
  <c r="AV11" i="14"/>
  <c r="AX11" i="14" s="1"/>
  <c r="AU11" i="14"/>
  <c r="AW11" i="14" s="1"/>
  <c r="AR11" i="14"/>
  <c r="AT11" i="14" s="1"/>
  <c r="AQ11" i="14"/>
  <c r="AS11" i="14" s="1"/>
  <c r="AN11" i="14"/>
  <c r="AP11" i="14" s="1"/>
  <c r="AM11" i="14"/>
  <c r="AO11" i="14" s="1"/>
  <c r="AJ11" i="14"/>
  <c r="AL11" i="14" s="1"/>
  <c r="AI11" i="14"/>
  <c r="AK11" i="14" s="1"/>
  <c r="AF11" i="14"/>
  <c r="AH11" i="14" s="1"/>
  <c r="AE11" i="14"/>
  <c r="AG11" i="14" s="1"/>
  <c r="AB11" i="14"/>
  <c r="AD11" i="14" s="1"/>
  <c r="AA11" i="14"/>
  <c r="AC11" i="14" s="1"/>
  <c r="X11" i="14"/>
  <c r="Z11" i="14" s="1"/>
  <c r="W11" i="14"/>
  <c r="Y11" i="14" s="1"/>
  <c r="T11" i="14"/>
  <c r="V11" i="14" s="1"/>
  <c r="S11" i="14"/>
  <c r="U11" i="14" s="1"/>
  <c r="P11" i="14"/>
  <c r="R11" i="14" s="1"/>
  <c r="O11" i="14"/>
  <c r="Q11" i="14" s="1"/>
  <c r="L11" i="14"/>
  <c r="N11" i="14" s="1"/>
  <c r="K11" i="14"/>
  <c r="M11" i="14" s="1"/>
  <c r="H11" i="14"/>
  <c r="J11" i="14" s="1"/>
  <c r="G11" i="14"/>
  <c r="I11" i="14" s="1"/>
  <c r="E11" i="14"/>
  <c r="D11" i="14"/>
  <c r="C11" i="14"/>
  <c r="AV10" i="14"/>
  <c r="AX10" i="14" s="1"/>
  <c r="AU10" i="14"/>
  <c r="AW10" i="14" s="1"/>
  <c r="AR10" i="14"/>
  <c r="AT10" i="14" s="1"/>
  <c r="AQ10" i="14"/>
  <c r="AS10" i="14" s="1"/>
  <c r="AN10" i="14"/>
  <c r="AP10" i="14" s="1"/>
  <c r="AM10" i="14"/>
  <c r="AO10" i="14" s="1"/>
  <c r="AJ10" i="14"/>
  <c r="AL10" i="14" s="1"/>
  <c r="AI10" i="14"/>
  <c r="AK10" i="14" s="1"/>
  <c r="AF10" i="14"/>
  <c r="AH10" i="14" s="1"/>
  <c r="AE10" i="14"/>
  <c r="AG10" i="14" s="1"/>
  <c r="AB10" i="14"/>
  <c r="AD10" i="14" s="1"/>
  <c r="AA10" i="14"/>
  <c r="AC10" i="14" s="1"/>
  <c r="X10" i="14"/>
  <c r="Z10" i="14" s="1"/>
  <c r="W10" i="14"/>
  <c r="Y10" i="14" s="1"/>
  <c r="T10" i="14"/>
  <c r="V10" i="14" s="1"/>
  <c r="S10" i="14"/>
  <c r="U10" i="14" s="1"/>
  <c r="P10" i="14"/>
  <c r="R10" i="14" s="1"/>
  <c r="O10" i="14"/>
  <c r="Q10" i="14" s="1"/>
  <c r="L10" i="14"/>
  <c r="N10" i="14" s="1"/>
  <c r="K10" i="14"/>
  <c r="M10" i="14" s="1"/>
  <c r="H10" i="14"/>
  <c r="J10" i="14" s="1"/>
  <c r="G10" i="14"/>
  <c r="I10" i="14" s="1"/>
  <c r="E10" i="14"/>
  <c r="D10" i="14"/>
  <c r="C10" i="14"/>
  <c r="AV9" i="14"/>
  <c r="AX9" i="14" s="1"/>
  <c r="AU9" i="14"/>
  <c r="AW9" i="14" s="1"/>
  <c r="AR9" i="14"/>
  <c r="AT9" i="14" s="1"/>
  <c r="AQ9" i="14"/>
  <c r="AS9" i="14" s="1"/>
  <c r="AN9" i="14"/>
  <c r="AP9" i="14" s="1"/>
  <c r="AM9" i="14"/>
  <c r="AO9" i="14" s="1"/>
  <c r="AJ9" i="14"/>
  <c r="AL9" i="14" s="1"/>
  <c r="AI9" i="14"/>
  <c r="AK9" i="14" s="1"/>
  <c r="AF9" i="14"/>
  <c r="AH9" i="14" s="1"/>
  <c r="AE9" i="14"/>
  <c r="AG9" i="14" s="1"/>
  <c r="AB9" i="14"/>
  <c r="AD9" i="14" s="1"/>
  <c r="AA9" i="14"/>
  <c r="AC9" i="14" s="1"/>
  <c r="X9" i="14"/>
  <c r="Z9" i="14" s="1"/>
  <c r="W9" i="14"/>
  <c r="Y9" i="14" s="1"/>
  <c r="T9" i="14"/>
  <c r="V9" i="14" s="1"/>
  <c r="S9" i="14"/>
  <c r="U9" i="14" s="1"/>
  <c r="P9" i="14"/>
  <c r="R9" i="14" s="1"/>
  <c r="O9" i="14"/>
  <c r="Q9" i="14" s="1"/>
  <c r="L9" i="14"/>
  <c r="N9" i="14" s="1"/>
  <c r="K9" i="14"/>
  <c r="M9" i="14" s="1"/>
  <c r="H9" i="14"/>
  <c r="J9" i="14" s="1"/>
  <c r="G9" i="14"/>
  <c r="I9" i="14" s="1"/>
  <c r="E9" i="14"/>
  <c r="D9" i="14"/>
  <c r="C9" i="14"/>
  <c r="AV8" i="14"/>
  <c r="AX8" i="14" s="1"/>
  <c r="AU8" i="14"/>
  <c r="AW8" i="14" s="1"/>
  <c r="AR8" i="14"/>
  <c r="AT8" i="14" s="1"/>
  <c r="AQ8" i="14"/>
  <c r="AS8" i="14" s="1"/>
  <c r="AN8" i="14"/>
  <c r="AP8" i="14" s="1"/>
  <c r="AM8" i="14"/>
  <c r="AO8" i="14" s="1"/>
  <c r="AJ8" i="14"/>
  <c r="AL8" i="14" s="1"/>
  <c r="AI8" i="14"/>
  <c r="AK8" i="14" s="1"/>
  <c r="AF8" i="14"/>
  <c r="AH8" i="14" s="1"/>
  <c r="AE8" i="14"/>
  <c r="AG8" i="14" s="1"/>
  <c r="AB8" i="14"/>
  <c r="AD8" i="14" s="1"/>
  <c r="AA8" i="14"/>
  <c r="AC8" i="14" s="1"/>
  <c r="X8" i="14"/>
  <c r="Z8" i="14" s="1"/>
  <c r="W8" i="14"/>
  <c r="Y8" i="14" s="1"/>
  <c r="T8" i="14"/>
  <c r="V8" i="14" s="1"/>
  <c r="S8" i="14"/>
  <c r="U8" i="14" s="1"/>
  <c r="P8" i="14"/>
  <c r="R8" i="14" s="1"/>
  <c r="O8" i="14"/>
  <c r="Q8" i="14" s="1"/>
  <c r="L8" i="14"/>
  <c r="N8" i="14" s="1"/>
  <c r="K8" i="14"/>
  <c r="M8" i="14" s="1"/>
  <c r="H8" i="14"/>
  <c r="J8" i="14" s="1"/>
  <c r="G8" i="14"/>
  <c r="I8" i="14" s="1"/>
  <c r="E8" i="14"/>
  <c r="D8" i="14"/>
  <c r="C8" i="14"/>
  <c r="AV7" i="14"/>
  <c r="AX7" i="14" s="1"/>
  <c r="AU7" i="14"/>
  <c r="AW7" i="14" s="1"/>
  <c r="AR7" i="14"/>
  <c r="AT7" i="14" s="1"/>
  <c r="AQ7" i="14"/>
  <c r="AS7" i="14" s="1"/>
  <c r="AN7" i="14"/>
  <c r="AP7" i="14" s="1"/>
  <c r="AM7" i="14"/>
  <c r="AO7" i="14" s="1"/>
  <c r="AJ7" i="14"/>
  <c r="AL7" i="14" s="1"/>
  <c r="AI7" i="14"/>
  <c r="AK7" i="14" s="1"/>
  <c r="AF7" i="14"/>
  <c r="AH7" i="14" s="1"/>
  <c r="AE7" i="14"/>
  <c r="AG7" i="14" s="1"/>
  <c r="AB7" i="14"/>
  <c r="AD7" i="14" s="1"/>
  <c r="AA7" i="14"/>
  <c r="AC7" i="14" s="1"/>
  <c r="X7" i="14"/>
  <c r="Z7" i="14" s="1"/>
  <c r="W7" i="14"/>
  <c r="Y7" i="14" s="1"/>
  <c r="T7" i="14"/>
  <c r="V7" i="14" s="1"/>
  <c r="S7" i="14"/>
  <c r="U7" i="14" s="1"/>
  <c r="P7" i="14"/>
  <c r="R7" i="14" s="1"/>
  <c r="O7" i="14"/>
  <c r="Q7" i="14" s="1"/>
  <c r="L7" i="14"/>
  <c r="N7" i="14" s="1"/>
  <c r="K7" i="14"/>
  <c r="M7" i="14" s="1"/>
  <c r="H7" i="14"/>
  <c r="J7" i="14" s="1"/>
  <c r="G7" i="14"/>
  <c r="I7" i="14" s="1"/>
  <c r="E7" i="14"/>
  <c r="D7" i="14"/>
  <c r="C7" i="14"/>
  <c r="AV6" i="14"/>
  <c r="AX6" i="14" s="1"/>
  <c r="AU6" i="14"/>
  <c r="AW6" i="14" s="1"/>
  <c r="AR6" i="14"/>
  <c r="AT6" i="14" s="1"/>
  <c r="AQ6" i="14"/>
  <c r="AS6" i="14" s="1"/>
  <c r="AN6" i="14"/>
  <c r="AP6" i="14" s="1"/>
  <c r="AM6" i="14"/>
  <c r="AO6" i="14" s="1"/>
  <c r="AJ6" i="14"/>
  <c r="AL6" i="14" s="1"/>
  <c r="AI6" i="14"/>
  <c r="AK6" i="14" s="1"/>
  <c r="AF6" i="14"/>
  <c r="AH6" i="14" s="1"/>
  <c r="AE6" i="14"/>
  <c r="AG6" i="14" s="1"/>
  <c r="AB6" i="14"/>
  <c r="AD6" i="14" s="1"/>
  <c r="AA6" i="14"/>
  <c r="AC6" i="14" s="1"/>
  <c r="X6" i="14"/>
  <c r="Z6" i="14" s="1"/>
  <c r="W6" i="14"/>
  <c r="Y6" i="14" s="1"/>
  <c r="T6" i="14"/>
  <c r="V6" i="14" s="1"/>
  <c r="S6" i="14"/>
  <c r="U6" i="14" s="1"/>
  <c r="P6" i="14"/>
  <c r="R6" i="14" s="1"/>
  <c r="O6" i="14"/>
  <c r="Q6" i="14" s="1"/>
  <c r="L6" i="14"/>
  <c r="N6" i="14" s="1"/>
  <c r="K6" i="14"/>
  <c r="M6" i="14" s="1"/>
  <c r="H6" i="14"/>
  <c r="J6" i="14" s="1"/>
  <c r="G6" i="14"/>
  <c r="I6" i="14" s="1"/>
  <c r="E6" i="14"/>
  <c r="D6" i="14"/>
  <c r="C6" i="14"/>
  <c r="AV5" i="14"/>
  <c r="AX5" i="14" s="1"/>
  <c r="AU5" i="14"/>
  <c r="AW5" i="14" s="1"/>
  <c r="AR5" i="14"/>
  <c r="AT5" i="14" s="1"/>
  <c r="AQ5" i="14"/>
  <c r="AS5" i="14" s="1"/>
  <c r="AN5" i="14"/>
  <c r="AP5" i="14" s="1"/>
  <c r="AM5" i="14"/>
  <c r="AO5" i="14" s="1"/>
  <c r="AJ5" i="14"/>
  <c r="AL5" i="14" s="1"/>
  <c r="AI5" i="14"/>
  <c r="AK5" i="14" s="1"/>
  <c r="AF5" i="14"/>
  <c r="AH5" i="14" s="1"/>
  <c r="AE5" i="14"/>
  <c r="AG5" i="14" s="1"/>
  <c r="AB5" i="14"/>
  <c r="AD5" i="14" s="1"/>
  <c r="AA5" i="14"/>
  <c r="AC5" i="14" s="1"/>
  <c r="X5" i="14"/>
  <c r="Z5" i="14" s="1"/>
  <c r="W5" i="14"/>
  <c r="Y5" i="14" s="1"/>
  <c r="T5" i="14"/>
  <c r="V5" i="14" s="1"/>
  <c r="S5" i="14"/>
  <c r="U5" i="14" s="1"/>
  <c r="P5" i="14"/>
  <c r="R5" i="14" s="1"/>
  <c r="O5" i="14"/>
  <c r="Q5" i="14" s="1"/>
  <c r="L5" i="14"/>
  <c r="N5" i="14" s="1"/>
  <c r="K5" i="14"/>
  <c r="M5" i="14" s="1"/>
  <c r="H5" i="14"/>
  <c r="J5" i="14" s="1"/>
  <c r="G5" i="14"/>
  <c r="I5" i="14" s="1"/>
  <c r="E5" i="14"/>
  <c r="D5" i="14"/>
  <c r="C5" i="14"/>
  <c r="AV4" i="14"/>
  <c r="AX4" i="14" s="1"/>
  <c r="AU4" i="14"/>
  <c r="AW4" i="14" s="1"/>
  <c r="AR4" i="14"/>
  <c r="AT4" i="14" s="1"/>
  <c r="AQ4" i="14"/>
  <c r="AS4" i="14" s="1"/>
  <c r="AN4" i="14"/>
  <c r="AP4" i="14" s="1"/>
  <c r="AM4" i="14"/>
  <c r="AO4" i="14" s="1"/>
  <c r="AJ4" i="14"/>
  <c r="AL4" i="14" s="1"/>
  <c r="AI4" i="14"/>
  <c r="AK4" i="14" s="1"/>
  <c r="AF4" i="14"/>
  <c r="AH4" i="14" s="1"/>
  <c r="AE4" i="14"/>
  <c r="AG4" i="14" s="1"/>
  <c r="AB4" i="14"/>
  <c r="AD4" i="14" s="1"/>
  <c r="AA4" i="14"/>
  <c r="AC4" i="14" s="1"/>
  <c r="X4" i="14"/>
  <c r="Z4" i="14" s="1"/>
  <c r="W4" i="14"/>
  <c r="Y4" i="14" s="1"/>
  <c r="T4" i="14"/>
  <c r="V4" i="14" s="1"/>
  <c r="S4" i="14"/>
  <c r="U4" i="14" s="1"/>
  <c r="P4" i="14"/>
  <c r="R4" i="14" s="1"/>
  <c r="O4" i="14"/>
  <c r="Q4" i="14" s="1"/>
  <c r="L4" i="14"/>
  <c r="N4" i="14" s="1"/>
  <c r="K4" i="14"/>
  <c r="M4" i="14" s="1"/>
  <c r="H4" i="14"/>
  <c r="J4" i="14" s="1"/>
  <c r="G4" i="14"/>
  <c r="I4" i="14" s="1"/>
  <c r="E4" i="14"/>
  <c r="D4" i="14"/>
  <c r="C4" i="14"/>
  <c r="AV3" i="14"/>
  <c r="AX3" i="14" s="1"/>
  <c r="AU3" i="14"/>
  <c r="AW3" i="14" s="1"/>
  <c r="AR3" i="14"/>
  <c r="AT3" i="14" s="1"/>
  <c r="AQ3" i="14"/>
  <c r="AS3" i="14" s="1"/>
  <c r="AN3" i="14"/>
  <c r="AP3" i="14" s="1"/>
  <c r="AM3" i="14"/>
  <c r="AO3" i="14" s="1"/>
  <c r="AJ3" i="14"/>
  <c r="AL3" i="14" s="1"/>
  <c r="AI3" i="14"/>
  <c r="AK3" i="14" s="1"/>
  <c r="AF3" i="14"/>
  <c r="AH3" i="14" s="1"/>
  <c r="AE3" i="14"/>
  <c r="AG3" i="14" s="1"/>
  <c r="AB3" i="14"/>
  <c r="AD3" i="14" s="1"/>
  <c r="AA3" i="14"/>
  <c r="AC3" i="14" s="1"/>
  <c r="X3" i="14"/>
  <c r="Z3" i="14" s="1"/>
  <c r="W3" i="14"/>
  <c r="Y3" i="14" s="1"/>
  <c r="T3" i="14"/>
  <c r="V3" i="14" s="1"/>
  <c r="S3" i="14"/>
  <c r="U3" i="14" s="1"/>
  <c r="P3" i="14"/>
  <c r="R3" i="14" s="1"/>
  <c r="O3" i="14"/>
  <c r="Q3" i="14" s="1"/>
  <c r="L3" i="14"/>
  <c r="N3" i="14" s="1"/>
  <c r="K3" i="14"/>
  <c r="M3" i="14" s="1"/>
  <c r="H3" i="14"/>
  <c r="J3" i="14" s="1"/>
  <c r="G3" i="14"/>
  <c r="I3" i="14" s="1"/>
  <c r="E3" i="14"/>
  <c r="D3" i="14"/>
  <c r="C3" i="14"/>
  <c r="C10" i="13"/>
  <c r="AV50" i="13"/>
  <c r="AX50" i="13" s="1"/>
  <c r="AU50" i="13"/>
  <c r="AW50" i="13" s="1"/>
  <c r="AR50" i="13"/>
  <c r="AT50" i="13" s="1"/>
  <c r="AQ50" i="13"/>
  <c r="AS50" i="13" s="1"/>
  <c r="AN50" i="13"/>
  <c r="AP50" i="13" s="1"/>
  <c r="AM50" i="13"/>
  <c r="AO50" i="13" s="1"/>
  <c r="AJ50" i="13"/>
  <c r="AL50" i="13" s="1"/>
  <c r="AI50" i="13"/>
  <c r="AK50" i="13" s="1"/>
  <c r="AF50" i="13"/>
  <c r="AH50" i="13" s="1"/>
  <c r="AE50" i="13"/>
  <c r="AG50" i="13" s="1"/>
  <c r="AB50" i="13"/>
  <c r="AD50" i="13" s="1"/>
  <c r="AA50" i="13"/>
  <c r="AC50" i="13" s="1"/>
  <c r="X50" i="13"/>
  <c r="Z50" i="13" s="1"/>
  <c r="W50" i="13"/>
  <c r="Y50" i="13" s="1"/>
  <c r="T50" i="13"/>
  <c r="V50" i="13" s="1"/>
  <c r="S50" i="13"/>
  <c r="U50" i="13" s="1"/>
  <c r="P50" i="13"/>
  <c r="R50" i="13" s="1"/>
  <c r="O50" i="13"/>
  <c r="Q50" i="13" s="1"/>
  <c r="L50" i="13"/>
  <c r="N50" i="13" s="1"/>
  <c r="K50" i="13"/>
  <c r="M50" i="13" s="1"/>
  <c r="H50" i="13"/>
  <c r="J50" i="13" s="1"/>
  <c r="G50" i="13"/>
  <c r="I50" i="13" s="1"/>
  <c r="E50" i="13"/>
  <c r="D50" i="13"/>
  <c r="C50" i="13"/>
  <c r="AV49" i="13"/>
  <c r="AX49" i="13" s="1"/>
  <c r="AU49" i="13"/>
  <c r="AW49" i="13" s="1"/>
  <c r="AR49" i="13"/>
  <c r="AT49" i="13" s="1"/>
  <c r="AQ49" i="13"/>
  <c r="AS49" i="13" s="1"/>
  <c r="AN49" i="13"/>
  <c r="AP49" i="13" s="1"/>
  <c r="AM49" i="13"/>
  <c r="AO49" i="13" s="1"/>
  <c r="AJ49" i="13"/>
  <c r="AL49" i="13" s="1"/>
  <c r="AI49" i="13"/>
  <c r="AK49" i="13" s="1"/>
  <c r="AF49" i="13"/>
  <c r="AH49" i="13" s="1"/>
  <c r="AE49" i="13"/>
  <c r="AG49" i="13" s="1"/>
  <c r="AB49" i="13"/>
  <c r="AD49" i="13" s="1"/>
  <c r="AA49" i="13"/>
  <c r="AC49" i="13" s="1"/>
  <c r="X49" i="13"/>
  <c r="Z49" i="13" s="1"/>
  <c r="W49" i="13"/>
  <c r="Y49" i="13" s="1"/>
  <c r="T49" i="13"/>
  <c r="V49" i="13" s="1"/>
  <c r="S49" i="13"/>
  <c r="U49" i="13" s="1"/>
  <c r="P49" i="13"/>
  <c r="R49" i="13" s="1"/>
  <c r="O49" i="13"/>
  <c r="Q49" i="13" s="1"/>
  <c r="L49" i="13"/>
  <c r="N49" i="13" s="1"/>
  <c r="K49" i="13"/>
  <c r="M49" i="13" s="1"/>
  <c r="H49" i="13"/>
  <c r="J49" i="13" s="1"/>
  <c r="G49" i="13"/>
  <c r="I49" i="13" s="1"/>
  <c r="E49" i="13"/>
  <c r="D49" i="13"/>
  <c r="C49" i="13"/>
  <c r="AV48" i="13"/>
  <c r="AX48" i="13" s="1"/>
  <c r="AU48" i="13"/>
  <c r="AW48" i="13" s="1"/>
  <c r="AR48" i="13"/>
  <c r="AT48" i="13" s="1"/>
  <c r="AQ48" i="13"/>
  <c r="AS48" i="13" s="1"/>
  <c r="AN48" i="13"/>
  <c r="AP48" i="13" s="1"/>
  <c r="AM48" i="13"/>
  <c r="AO48" i="13" s="1"/>
  <c r="AJ48" i="13"/>
  <c r="AL48" i="13" s="1"/>
  <c r="AI48" i="13"/>
  <c r="AK48" i="13" s="1"/>
  <c r="AF48" i="13"/>
  <c r="AH48" i="13" s="1"/>
  <c r="AE48" i="13"/>
  <c r="AG48" i="13" s="1"/>
  <c r="AB48" i="13"/>
  <c r="AD48" i="13" s="1"/>
  <c r="AA48" i="13"/>
  <c r="AC48" i="13" s="1"/>
  <c r="X48" i="13"/>
  <c r="Z48" i="13" s="1"/>
  <c r="W48" i="13"/>
  <c r="Y48" i="13" s="1"/>
  <c r="T48" i="13"/>
  <c r="V48" i="13" s="1"/>
  <c r="S48" i="13"/>
  <c r="U48" i="13" s="1"/>
  <c r="P48" i="13"/>
  <c r="R48" i="13" s="1"/>
  <c r="O48" i="13"/>
  <c r="Q48" i="13" s="1"/>
  <c r="L48" i="13"/>
  <c r="N48" i="13" s="1"/>
  <c r="K48" i="13"/>
  <c r="M48" i="13" s="1"/>
  <c r="H48" i="13"/>
  <c r="J48" i="13" s="1"/>
  <c r="G48" i="13"/>
  <c r="I48" i="13" s="1"/>
  <c r="E48" i="13"/>
  <c r="D48" i="13"/>
  <c r="C48" i="13"/>
  <c r="AV47" i="13"/>
  <c r="AX47" i="13" s="1"/>
  <c r="AU47" i="13"/>
  <c r="AW47" i="13" s="1"/>
  <c r="AR47" i="13"/>
  <c r="AT47" i="13" s="1"/>
  <c r="AQ47" i="13"/>
  <c r="AS47" i="13" s="1"/>
  <c r="AN47" i="13"/>
  <c r="AP47" i="13" s="1"/>
  <c r="AM47" i="13"/>
  <c r="AO47" i="13" s="1"/>
  <c r="AJ47" i="13"/>
  <c r="AL47" i="13" s="1"/>
  <c r="AI47" i="13"/>
  <c r="AK47" i="13" s="1"/>
  <c r="AF47" i="13"/>
  <c r="AH47" i="13" s="1"/>
  <c r="AE47" i="13"/>
  <c r="AG47" i="13" s="1"/>
  <c r="AB47" i="13"/>
  <c r="AD47" i="13" s="1"/>
  <c r="AA47" i="13"/>
  <c r="AC47" i="13" s="1"/>
  <c r="X47" i="13"/>
  <c r="Z47" i="13" s="1"/>
  <c r="W47" i="13"/>
  <c r="Y47" i="13" s="1"/>
  <c r="T47" i="13"/>
  <c r="V47" i="13" s="1"/>
  <c r="S47" i="13"/>
  <c r="U47" i="13" s="1"/>
  <c r="P47" i="13"/>
  <c r="R47" i="13" s="1"/>
  <c r="O47" i="13"/>
  <c r="Q47" i="13" s="1"/>
  <c r="L47" i="13"/>
  <c r="N47" i="13" s="1"/>
  <c r="K47" i="13"/>
  <c r="M47" i="13" s="1"/>
  <c r="H47" i="13"/>
  <c r="J47" i="13" s="1"/>
  <c r="G47" i="13"/>
  <c r="I47" i="13" s="1"/>
  <c r="E47" i="13"/>
  <c r="D47" i="13"/>
  <c r="C47" i="13"/>
  <c r="AV46" i="13"/>
  <c r="AX46" i="13" s="1"/>
  <c r="AU46" i="13"/>
  <c r="AW46" i="13" s="1"/>
  <c r="AR46" i="13"/>
  <c r="AT46" i="13" s="1"/>
  <c r="AQ46" i="13"/>
  <c r="AS46" i="13" s="1"/>
  <c r="AN46" i="13"/>
  <c r="AP46" i="13" s="1"/>
  <c r="AM46" i="13"/>
  <c r="AO46" i="13" s="1"/>
  <c r="AJ46" i="13"/>
  <c r="AL46" i="13" s="1"/>
  <c r="AI46" i="13"/>
  <c r="AK46" i="13" s="1"/>
  <c r="AF46" i="13"/>
  <c r="AH46" i="13" s="1"/>
  <c r="AE46" i="13"/>
  <c r="AG46" i="13" s="1"/>
  <c r="AB46" i="13"/>
  <c r="AD46" i="13" s="1"/>
  <c r="AA46" i="13"/>
  <c r="AC46" i="13" s="1"/>
  <c r="X46" i="13"/>
  <c r="Z46" i="13" s="1"/>
  <c r="W46" i="13"/>
  <c r="Y46" i="13" s="1"/>
  <c r="T46" i="13"/>
  <c r="V46" i="13" s="1"/>
  <c r="S46" i="13"/>
  <c r="U46" i="13" s="1"/>
  <c r="P46" i="13"/>
  <c r="R46" i="13" s="1"/>
  <c r="O46" i="13"/>
  <c r="Q46" i="13" s="1"/>
  <c r="L46" i="13"/>
  <c r="N46" i="13" s="1"/>
  <c r="K46" i="13"/>
  <c r="M46" i="13" s="1"/>
  <c r="H46" i="13"/>
  <c r="J46" i="13" s="1"/>
  <c r="G46" i="13"/>
  <c r="I46" i="13" s="1"/>
  <c r="E46" i="13"/>
  <c r="D46" i="13"/>
  <c r="C46" i="13"/>
  <c r="AV45" i="13"/>
  <c r="AX45" i="13" s="1"/>
  <c r="AU45" i="13"/>
  <c r="AW45" i="13" s="1"/>
  <c r="AR45" i="13"/>
  <c r="AT45" i="13" s="1"/>
  <c r="AQ45" i="13"/>
  <c r="AS45" i="13" s="1"/>
  <c r="AN45" i="13"/>
  <c r="AP45" i="13" s="1"/>
  <c r="AM45" i="13"/>
  <c r="AO45" i="13" s="1"/>
  <c r="AJ45" i="13"/>
  <c r="AL45" i="13" s="1"/>
  <c r="AI45" i="13"/>
  <c r="AK45" i="13" s="1"/>
  <c r="AF45" i="13"/>
  <c r="AH45" i="13" s="1"/>
  <c r="AE45" i="13"/>
  <c r="AG45" i="13" s="1"/>
  <c r="AB45" i="13"/>
  <c r="AD45" i="13" s="1"/>
  <c r="AA45" i="13"/>
  <c r="AC45" i="13" s="1"/>
  <c r="X45" i="13"/>
  <c r="Z45" i="13" s="1"/>
  <c r="W45" i="13"/>
  <c r="Y45" i="13" s="1"/>
  <c r="T45" i="13"/>
  <c r="V45" i="13" s="1"/>
  <c r="S45" i="13"/>
  <c r="U45" i="13" s="1"/>
  <c r="P45" i="13"/>
  <c r="R45" i="13" s="1"/>
  <c r="O45" i="13"/>
  <c r="Q45" i="13" s="1"/>
  <c r="L45" i="13"/>
  <c r="N45" i="13" s="1"/>
  <c r="K45" i="13"/>
  <c r="M45" i="13" s="1"/>
  <c r="H45" i="13"/>
  <c r="J45" i="13" s="1"/>
  <c r="G45" i="13"/>
  <c r="I45" i="13" s="1"/>
  <c r="E45" i="13"/>
  <c r="D45" i="13"/>
  <c r="C45" i="13"/>
  <c r="AV44" i="13"/>
  <c r="AX44" i="13" s="1"/>
  <c r="AU44" i="13"/>
  <c r="AW44" i="13" s="1"/>
  <c r="AR44" i="13"/>
  <c r="AT44" i="13" s="1"/>
  <c r="AQ44" i="13"/>
  <c r="AS44" i="13" s="1"/>
  <c r="AN44" i="13"/>
  <c r="AP44" i="13" s="1"/>
  <c r="AM44" i="13"/>
  <c r="AO44" i="13" s="1"/>
  <c r="AJ44" i="13"/>
  <c r="AL44" i="13" s="1"/>
  <c r="AI44" i="13"/>
  <c r="AK44" i="13" s="1"/>
  <c r="AF44" i="13"/>
  <c r="AH44" i="13" s="1"/>
  <c r="AE44" i="13"/>
  <c r="AG44" i="13" s="1"/>
  <c r="AB44" i="13"/>
  <c r="AD44" i="13" s="1"/>
  <c r="AA44" i="13"/>
  <c r="AC44" i="13" s="1"/>
  <c r="X44" i="13"/>
  <c r="Z44" i="13" s="1"/>
  <c r="W44" i="13"/>
  <c r="Y44" i="13" s="1"/>
  <c r="T44" i="13"/>
  <c r="V44" i="13" s="1"/>
  <c r="S44" i="13"/>
  <c r="U44" i="13" s="1"/>
  <c r="P44" i="13"/>
  <c r="R44" i="13" s="1"/>
  <c r="O44" i="13"/>
  <c r="Q44" i="13" s="1"/>
  <c r="L44" i="13"/>
  <c r="N44" i="13" s="1"/>
  <c r="K44" i="13"/>
  <c r="M44" i="13" s="1"/>
  <c r="H44" i="13"/>
  <c r="J44" i="13" s="1"/>
  <c r="G44" i="13"/>
  <c r="I44" i="13" s="1"/>
  <c r="E44" i="13"/>
  <c r="D44" i="13"/>
  <c r="C44" i="13"/>
  <c r="AV43" i="13"/>
  <c r="AX43" i="13" s="1"/>
  <c r="AU43" i="13"/>
  <c r="AW43" i="13" s="1"/>
  <c r="AR43" i="13"/>
  <c r="AT43" i="13" s="1"/>
  <c r="AQ43" i="13"/>
  <c r="AS43" i="13" s="1"/>
  <c r="AN43" i="13"/>
  <c r="AP43" i="13" s="1"/>
  <c r="AM43" i="13"/>
  <c r="AO43" i="13" s="1"/>
  <c r="AJ43" i="13"/>
  <c r="AL43" i="13" s="1"/>
  <c r="AI43" i="13"/>
  <c r="AK43" i="13" s="1"/>
  <c r="AF43" i="13"/>
  <c r="AH43" i="13" s="1"/>
  <c r="AE43" i="13"/>
  <c r="AG43" i="13" s="1"/>
  <c r="AB43" i="13"/>
  <c r="AD43" i="13" s="1"/>
  <c r="AA43" i="13"/>
  <c r="AC43" i="13" s="1"/>
  <c r="X43" i="13"/>
  <c r="Z43" i="13" s="1"/>
  <c r="W43" i="13"/>
  <c r="Y43" i="13" s="1"/>
  <c r="T43" i="13"/>
  <c r="V43" i="13" s="1"/>
  <c r="S43" i="13"/>
  <c r="U43" i="13" s="1"/>
  <c r="P43" i="13"/>
  <c r="R43" i="13" s="1"/>
  <c r="O43" i="13"/>
  <c r="Q43" i="13" s="1"/>
  <c r="L43" i="13"/>
  <c r="N43" i="13" s="1"/>
  <c r="K43" i="13"/>
  <c r="M43" i="13" s="1"/>
  <c r="H43" i="13"/>
  <c r="J43" i="13" s="1"/>
  <c r="G43" i="13"/>
  <c r="I43" i="13" s="1"/>
  <c r="E43" i="13"/>
  <c r="D43" i="13"/>
  <c r="C43" i="13"/>
  <c r="AV42" i="13"/>
  <c r="AX42" i="13" s="1"/>
  <c r="AU42" i="13"/>
  <c r="AW42" i="13" s="1"/>
  <c r="AR42" i="13"/>
  <c r="AT42" i="13" s="1"/>
  <c r="AQ42" i="13"/>
  <c r="AS42" i="13" s="1"/>
  <c r="AN42" i="13"/>
  <c r="AP42" i="13" s="1"/>
  <c r="AM42" i="13"/>
  <c r="AO42" i="13" s="1"/>
  <c r="AJ42" i="13"/>
  <c r="AL42" i="13" s="1"/>
  <c r="AI42" i="13"/>
  <c r="AK42" i="13" s="1"/>
  <c r="AF42" i="13"/>
  <c r="AH42" i="13" s="1"/>
  <c r="AE42" i="13"/>
  <c r="AG42" i="13" s="1"/>
  <c r="AB42" i="13"/>
  <c r="AD42" i="13" s="1"/>
  <c r="AA42" i="13"/>
  <c r="AC42" i="13" s="1"/>
  <c r="X42" i="13"/>
  <c r="Z42" i="13" s="1"/>
  <c r="W42" i="13"/>
  <c r="Y42" i="13" s="1"/>
  <c r="T42" i="13"/>
  <c r="V42" i="13" s="1"/>
  <c r="S42" i="13"/>
  <c r="U42" i="13" s="1"/>
  <c r="P42" i="13"/>
  <c r="R42" i="13" s="1"/>
  <c r="O42" i="13"/>
  <c r="Q42" i="13" s="1"/>
  <c r="L42" i="13"/>
  <c r="N42" i="13" s="1"/>
  <c r="K42" i="13"/>
  <c r="M42" i="13" s="1"/>
  <c r="H42" i="13"/>
  <c r="J42" i="13" s="1"/>
  <c r="G42" i="13"/>
  <c r="I42" i="13" s="1"/>
  <c r="E42" i="13"/>
  <c r="D42" i="13"/>
  <c r="C42" i="13"/>
  <c r="AV41" i="13"/>
  <c r="AX41" i="13" s="1"/>
  <c r="AU41" i="13"/>
  <c r="AW41" i="13" s="1"/>
  <c r="AR41" i="13"/>
  <c r="AT41" i="13" s="1"/>
  <c r="AQ41" i="13"/>
  <c r="AS41" i="13" s="1"/>
  <c r="AN41" i="13"/>
  <c r="AP41" i="13" s="1"/>
  <c r="AM41" i="13"/>
  <c r="AO41" i="13" s="1"/>
  <c r="AJ41" i="13"/>
  <c r="AL41" i="13" s="1"/>
  <c r="AI41" i="13"/>
  <c r="AK41" i="13" s="1"/>
  <c r="AF41" i="13"/>
  <c r="AH41" i="13" s="1"/>
  <c r="AE41" i="13"/>
  <c r="AG41" i="13" s="1"/>
  <c r="AB41" i="13"/>
  <c r="AD41" i="13" s="1"/>
  <c r="AA41" i="13"/>
  <c r="AC41" i="13" s="1"/>
  <c r="X41" i="13"/>
  <c r="Z41" i="13" s="1"/>
  <c r="W41" i="13"/>
  <c r="Y41" i="13" s="1"/>
  <c r="T41" i="13"/>
  <c r="V41" i="13" s="1"/>
  <c r="S41" i="13"/>
  <c r="U41" i="13" s="1"/>
  <c r="P41" i="13"/>
  <c r="R41" i="13" s="1"/>
  <c r="O41" i="13"/>
  <c r="Q41" i="13" s="1"/>
  <c r="L41" i="13"/>
  <c r="N41" i="13" s="1"/>
  <c r="K41" i="13"/>
  <c r="M41" i="13" s="1"/>
  <c r="H41" i="13"/>
  <c r="J41" i="13" s="1"/>
  <c r="G41" i="13"/>
  <c r="I41" i="13" s="1"/>
  <c r="E41" i="13"/>
  <c r="D41" i="13"/>
  <c r="C41" i="13"/>
  <c r="AV40" i="13"/>
  <c r="AX40" i="13" s="1"/>
  <c r="AU40" i="13"/>
  <c r="AW40" i="13" s="1"/>
  <c r="AR40" i="13"/>
  <c r="AT40" i="13" s="1"/>
  <c r="AQ40" i="13"/>
  <c r="AS40" i="13" s="1"/>
  <c r="AN40" i="13"/>
  <c r="AP40" i="13" s="1"/>
  <c r="AM40" i="13"/>
  <c r="AO40" i="13" s="1"/>
  <c r="AJ40" i="13"/>
  <c r="AL40" i="13" s="1"/>
  <c r="AI40" i="13"/>
  <c r="AK40" i="13" s="1"/>
  <c r="AF40" i="13"/>
  <c r="AH40" i="13" s="1"/>
  <c r="AE40" i="13"/>
  <c r="AG40" i="13" s="1"/>
  <c r="AB40" i="13"/>
  <c r="AD40" i="13" s="1"/>
  <c r="AA40" i="13"/>
  <c r="AC40" i="13" s="1"/>
  <c r="X40" i="13"/>
  <c r="Z40" i="13" s="1"/>
  <c r="W40" i="13"/>
  <c r="Y40" i="13" s="1"/>
  <c r="T40" i="13"/>
  <c r="V40" i="13" s="1"/>
  <c r="S40" i="13"/>
  <c r="U40" i="13" s="1"/>
  <c r="P40" i="13"/>
  <c r="R40" i="13" s="1"/>
  <c r="O40" i="13"/>
  <c r="Q40" i="13" s="1"/>
  <c r="L40" i="13"/>
  <c r="N40" i="13" s="1"/>
  <c r="K40" i="13"/>
  <c r="M40" i="13" s="1"/>
  <c r="H40" i="13"/>
  <c r="J40" i="13" s="1"/>
  <c r="G40" i="13"/>
  <c r="I40" i="13" s="1"/>
  <c r="E40" i="13"/>
  <c r="D40" i="13"/>
  <c r="C40" i="13"/>
  <c r="AV39" i="13"/>
  <c r="AX39" i="13" s="1"/>
  <c r="AU39" i="13"/>
  <c r="AW39" i="13" s="1"/>
  <c r="AR39" i="13"/>
  <c r="AT39" i="13" s="1"/>
  <c r="AQ39" i="13"/>
  <c r="AS39" i="13" s="1"/>
  <c r="AN39" i="13"/>
  <c r="AP39" i="13" s="1"/>
  <c r="AM39" i="13"/>
  <c r="AO39" i="13" s="1"/>
  <c r="AJ39" i="13"/>
  <c r="AL39" i="13" s="1"/>
  <c r="AI39" i="13"/>
  <c r="AK39" i="13" s="1"/>
  <c r="AF39" i="13"/>
  <c r="AH39" i="13" s="1"/>
  <c r="AE39" i="13"/>
  <c r="AG39" i="13" s="1"/>
  <c r="AB39" i="13"/>
  <c r="AD39" i="13" s="1"/>
  <c r="AA39" i="13"/>
  <c r="AC39" i="13" s="1"/>
  <c r="X39" i="13"/>
  <c r="Z39" i="13" s="1"/>
  <c r="W39" i="13"/>
  <c r="Y39" i="13" s="1"/>
  <c r="T39" i="13"/>
  <c r="V39" i="13" s="1"/>
  <c r="S39" i="13"/>
  <c r="U39" i="13" s="1"/>
  <c r="P39" i="13"/>
  <c r="R39" i="13" s="1"/>
  <c r="O39" i="13"/>
  <c r="Q39" i="13" s="1"/>
  <c r="L39" i="13"/>
  <c r="N39" i="13" s="1"/>
  <c r="K39" i="13"/>
  <c r="M39" i="13" s="1"/>
  <c r="H39" i="13"/>
  <c r="J39" i="13" s="1"/>
  <c r="G39" i="13"/>
  <c r="I39" i="13" s="1"/>
  <c r="E39" i="13"/>
  <c r="D39" i="13"/>
  <c r="C39" i="13"/>
  <c r="AV38" i="13"/>
  <c r="AX38" i="13" s="1"/>
  <c r="AU38" i="13"/>
  <c r="AW38" i="13" s="1"/>
  <c r="AR38" i="13"/>
  <c r="AT38" i="13" s="1"/>
  <c r="AQ38" i="13"/>
  <c r="AS38" i="13" s="1"/>
  <c r="AN38" i="13"/>
  <c r="AP38" i="13" s="1"/>
  <c r="AM38" i="13"/>
  <c r="AO38" i="13" s="1"/>
  <c r="AJ38" i="13"/>
  <c r="AL38" i="13" s="1"/>
  <c r="AI38" i="13"/>
  <c r="AK38" i="13" s="1"/>
  <c r="AF38" i="13"/>
  <c r="AH38" i="13" s="1"/>
  <c r="AE38" i="13"/>
  <c r="AG38" i="13" s="1"/>
  <c r="AB38" i="13"/>
  <c r="AD38" i="13" s="1"/>
  <c r="AA38" i="13"/>
  <c r="AC38" i="13" s="1"/>
  <c r="X38" i="13"/>
  <c r="Z38" i="13" s="1"/>
  <c r="W38" i="13"/>
  <c r="Y38" i="13" s="1"/>
  <c r="T38" i="13"/>
  <c r="V38" i="13" s="1"/>
  <c r="S38" i="13"/>
  <c r="U38" i="13" s="1"/>
  <c r="P38" i="13"/>
  <c r="R38" i="13" s="1"/>
  <c r="O38" i="13"/>
  <c r="Q38" i="13" s="1"/>
  <c r="L38" i="13"/>
  <c r="N38" i="13" s="1"/>
  <c r="K38" i="13"/>
  <c r="M38" i="13" s="1"/>
  <c r="H38" i="13"/>
  <c r="J38" i="13" s="1"/>
  <c r="G38" i="13"/>
  <c r="I38" i="13" s="1"/>
  <c r="E38" i="13"/>
  <c r="D38" i="13"/>
  <c r="C38" i="13"/>
  <c r="AV37" i="13"/>
  <c r="AX37" i="13" s="1"/>
  <c r="AU37" i="13"/>
  <c r="AW37" i="13" s="1"/>
  <c r="AR37" i="13"/>
  <c r="AT37" i="13" s="1"/>
  <c r="AQ37" i="13"/>
  <c r="AS37" i="13" s="1"/>
  <c r="AN37" i="13"/>
  <c r="AP37" i="13" s="1"/>
  <c r="AM37" i="13"/>
  <c r="AO37" i="13" s="1"/>
  <c r="AJ37" i="13"/>
  <c r="AL37" i="13" s="1"/>
  <c r="AI37" i="13"/>
  <c r="AK37" i="13" s="1"/>
  <c r="AF37" i="13"/>
  <c r="AH37" i="13" s="1"/>
  <c r="AE37" i="13"/>
  <c r="AG37" i="13" s="1"/>
  <c r="AB37" i="13"/>
  <c r="AD37" i="13" s="1"/>
  <c r="AA37" i="13"/>
  <c r="AC37" i="13" s="1"/>
  <c r="X37" i="13"/>
  <c r="Z37" i="13" s="1"/>
  <c r="W37" i="13"/>
  <c r="Y37" i="13" s="1"/>
  <c r="T37" i="13"/>
  <c r="V37" i="13" s="1"/>
  <c r="S37" i="13"/>
  <c r="U37" i="13" s="1"/>
  <c r="P37" i="13"/>
  <c r="R37" i="13" s="1"/>
  <c r="O37" i="13"/>
  <c r="Q37" i="13" s="1"/>
  <c r="L37" i="13"/>
  <c r="N37" i="13" s="1"/>
  <c r="K37" i="13"/>
  <c r="M37" i="13" s="1"/>
  <c r="H37" i="13"/>
  <c r="J37" i="13" s="1"/>
  <c r="G37" i="13"/>
  <c r="I37" i="13" s="1"/>
  <c r="E37" i="13"/>
  <c r="D37" i="13"/>
  <c r="C37" i="13"/>
  <c r="AV36" i="13"/>
  <c r="AX36" i="13" s="1"/>
  <c r="AU36" i="13"/>
  <c r="AW36" i="13" s="1"/>
  <c r="AR36" i="13"/>
  <c r="AT36" i="13" s="1"/>
  <c r="AQ36" i="13"/>
  <c r="AS36" i="13" s="1"/>
  <c r="AN36" i="13"/>
  <c r="AP36" i="13" s="1"/>
  <c r="AM36" i="13"/>
  <c r="AO36" i="13" s="1"/>
  <c r="AJ36" i="13"/>
  <c r="AL36" i="13" s="1"/>
  <c r="AI36" i="13"/>
  <c r="AK36" i="13" s="1"/>
  <c r="AF36" i="13"/>
  <c r="AH36" i="13" s="1"/>
  <c r="AE36" i="13"/>
  <c r="AG36" i="13" s="1"/>
  <c r="AB36" i="13"/>
  <c r="AD36" i="13" s="1"/>
  <c r="AA36" i="13"/>
  <c r="AC36" i="13" s="1"/>
  <c r="X36" i="13"/>
  <c r="Z36" i="13" s="1"/>
  <c r="W36" i="13"/>
  <c r="Y36" i="13" s="1"/>
  <c r="T36" i="13"/>
  <c r="V36" i="13" s="1"/>
  <c r="S36" i="13"/>
  <c r="U36" i="13" s="1"/>
  <c r="P36" i="13"/>
  <c r="R36" i="13" s="1"/>
  <c r="O36" i="13"/>
  <c r="Q36" i="13" s="1"/>
  <c r="L36" i="13"/>
  <c r="N36" i="13" s="1"/>
  <c r="K36" i="13"/>
  <c r="M36" i="13" s="1"/>
  <c r="H36" i="13"/>
  <c r="J36" i="13" s="1"/>
  <c r="G36" i="13"/>
  <c r="I36" i="13" s="1"/>
  <c r="E36" i="13"/>
  <c r="D36" i="13"/>
  <c r="C36" i="13"/>
  <c r="AV35" i="13"/>
  <c r="AX35" i="13" s="1"/>
  <c r="AU35" i="13"/>
  <c r="AW35" i="13" s="1"/>
  <c r="AR35" i="13"/>
  <c r="AT35" i="13" s="1"/>
  <c r="AQ35" i="13"/>
  <c r="AS35" i="13" s="1"/>
  <c r="AN35" i="13"/>
  <c r="AP35" i="13" s="1"/>
  <c r="AM35" i="13"/>
  <c r="AO35" i="13" s="1"/>
  <c r="AJ35" i="13"/>
  <c r="AL35" i="13" s="1"/>
  <c r="AI35" i="13"/>
  <c r="AK35" i="13" s="1"/>
  <c r="AF35" i="13"/>
  <c r="AH35" i="13" s="1"/>
  <c r="AE35" i="13"/>
  <c r="AG35" i="13" s="1"/>
  <c r="AB35" i="13"/>
  <c r="AD35" i="13" s="1"/>
  <c r="AA35" i="13"/>
  <c r="AC35" i="13" s="1"/>
  <c r="X35" i="13"/>
  <c r="Z35" i="13" s="1"/>
  <c r="W35" i="13"/>
  <c r="Y35" i="13" s="1"/>
  <c r="T35" i="13"/>
  <c r="V35" i="13" s="1"/>
  <c r="S35" i="13"/>
  <c r="U35" i="13" s="1"/>
  <c r="P35" i="13"/>
  <c r="R35" i="13" s="1"/>
  <c r="O35" i="13"/>
  <c r="Q35" i="13" s="1"/>
  <c r="L35" i="13"/>
  <c r="N35" i="13" s="1"/>
  <c r="K35" i="13"/>
  <c r="M35" i="13" s="1"/>
  <c r="H35" i="13"/>
  <c r="J35" i="13" s="1"/>
  <c r="G35" i="13"/>
  <c r="I35" i="13" s="1"/>
  <c r="E35" i="13"/>
  <c r="D35" i="13"/>
  <c r="C35" i="13"/>
  <c r="AV34" i="13"/>
  <c r="AX34" i="13" s="1"/>
  <c r="AU34" i="13"/>
  <c r="AW34" i="13" s="1"/>
  <c r="AR34" i="13"/>
  <c r="AT34" i="13" s="1"/>
  <c r="AQ34" i="13"/>
  <c r="AS34" i="13" s="1"/>
  <c r="AN34" i="13"/>
  <c r="AP34" i="13" s="1"/>
  <c r="AM34" i="13"/>
  <c r="AO34" i="13" s="1"/>
  <c r="AJ34" i="13"/>
  <c r="AL34" i="13" s="1"/>
  <c r="AI34" i="13"/>
  <c r="AK34" i="13" s="1"/>
  <c r="AF34" i="13"/>
  <c r="AH34" i="13" s="1"/>
  <c r="AE34" i="13"/>
  <c r="AG34" i="13" s="1"/>
  <c r="AB34" i="13"/>
  <c r="AD34" i="13" s="1"/>
  <c r="AA34" i="13"/>
  <c r="AC34" i="13" s="1"/>
  <c r="X34" i="13"/>
  <c r="Z34" i="13" s="1"/>
  <c r="W34" i="13"/>
  <c r="Y34" i="13" s="1"/>
  <c r="T34" i="13"/>
  <c r="V34" i="13" s="1"/>
  <c r="S34" i="13"/>
  <c r="U34" i="13" s="1"/>
  <c r="P34" i="13"/>
  <c r="R34" i="13" s="1"/>
  <c r="O34" i="13"/>
  <c r="Q34" i="13" s="1"/>
  <c r="L34" i="13"/>
  <c r="N34" i="13" s="1"/>
  <c r="K34" i="13"/>
  <c r="M34" i="13" s="1"/>
  <c r="H34" i="13"/>
  <c r="J34" i="13" s="1"/>
  <c r="G34" i="13"/>
  <c r="I34" i="13" s="1"/>
  <c r="E34" i="13"/>
  <c r="D34" i="13"/>
  <c r="C34" i="13"/>
  <c r="AV33" i="13"/>
  <c r="AX33" i="13" s="1"/>
  <c r="AU33" i="13"/>
  <c r="AW33" i="13" s="1"/>
  <c r="AR33" i="13"/>
  <c r="AT33" i="13" s="1"/>
  <c r="AQ33" i="13"/>
  <c r="AS33" i="13" s="1"/>
  <c r="AN33" i="13"/>
  <c r="AP33" i="13" s="1"/>
  <c r="AM33" i="13"/>
  <c r="AO33" i="13" s="1"/>
  <c r="AJ33" i="13"/>
  <c r="AL33" i="13" s="1"/>
  <c r="AI33" i="13"/>
  <c r="AK33" i="13" s="1"/>
  <c r="AF33" i="13"/>
  <c r="AH33" i="13" s="1"/>
  <c r="AE33" i="13"/>
  <c r="AG33" i="13" s="1"/>
  <c r="AB33" i="13"/>
  <c r="AD33" i="13" s="1"/>
  <c r="AA33" i="13"/>
  <c r="AC33" i="13" s="1"/>
  <c r="X33" i="13"/>
  <c r="Z33" i="13" s="1"/>
  <c r="W33" i="13"/>
  <c r="Y33" i="13" s="1"/>
  <c r="T33" i="13"/>
  <c r="V33" i="13" s="1"/>
  <c r="S33" i="13"/>
  <c r="U33" i="13" s="1"/>
  <c r="P33" i="13"/>
  <c r="R33" i="13" s="1"/>
  <c r="O33" i="13"/>
  <c r="Q33" i="13" s="1"/>
  <c r="L33" i="13"/>
  <c r="N33" i="13" s="1"/>
  <c r="K33" i="13"/>
  <c r="M33" i="13" s="1"/>
  <c r="H33" i="13"/>
  <c r="J33" i="13" s="1"/>
  <c r="G33" i="13"/>
  <c r="I33" i="13" s="1"/>
  <c r="E33" i="13"/>
  <c r="D33" i="13"/>
  <c r="C33" i="13"/>
  <c r="AV32" i="13"/>
  <c r="AX32" i="13" s="1"/>
  <c r="AU32" i="13"/>
  <c r="AW32" i="13" s="1"/>
  <c r="AR32" i="13"/>
  <c r="AT32" i="13" s="1"/>
  <c r="AQ32" i="13"/>
  <c r="AS32" i="13" s="1"/>
  <c r="AN32" i="13"/>
  <c r="AP32" i="13" s="1"/>
  <c r="AM32" i="13"/>
  <c r="AO32" i="13" s="1"/>
  <c r="AJ32" i="13"/>
  <c r="AL32" i="13" s="1"/>
  <c r="AI32" i="13"/>
  <c r="AK32" i="13" s="1"/>
  <c r="AF32" i="13"/>
  <c r="AH32" i="13" s="1"/>
  <c r="AE32" i="13"/>
  <c r="AG32" i="13" s="1"/>
  <c r="AB32" i="13"/>
  <c r="AD32" i="13" s="1"/>
  <c r="AA32" i="13"/>
  <c r="AC32" i="13" s="1"/>
  <c r="X32" i="13"/>
  <c r="Z32" i="13" s="1"/>
  <c r="W32" i="13"/>
  <c r="Y32" i="13" s="1"/>
  <c r="T32" i="13"/>
  <c r="V32" i="13" s="1"/>
  <c r="S32" i="13"/>
  <c r="U32" i="13" s="1"/>
  <c r="P32" i="13"/>
  <c r="R32" i="13" s="1"/>
  <c r="O32" i="13"/>
  <c r="Q32" i="13" s="1"/>
  <c r="L32" i="13"/>
  <c r="N32" i="13" s="1"/>
  <c r="K32" i="13"/>
  <c r="M32" i="13" s="1"/>
  <c r="H32" i="13"/>
  <c r="J32" i="13" s="1"/>
  <c r="G32" i="13"/>
  <c r="I32" i="13" s="1"/>
  <c r="E32" i="13"/>
  <c r="D32" i="13"/>
  <c r="C32" i="13"/>
  <c r="AV31" i="13"/>
  <c r="AX31" i="13" s="1"/>
  <c r="AU31" i="13"/>
  <c r="AW31" i="13" s="1"/>
  <c r="AR31" i="13"/>
  <c r="AT31" i="13" s="1"/>
  <c r="AQ31" i="13"/>
  <c r="AS31" i="13" s="1"/>
  <c r="AN31" i="13"/>
  <c r="AP31" i="13" s="1"/>
  <c r="AM31" i="13"/>
  <c r="AO31" i="13" s="1"/>
  <c r="AJ31" i="13"/>
  <c r="AL31" i="13" s="1"/>
  <c r="AI31" i="13"/>
  <c r="AK31" i="13" s="1"/>
  <c r="AF31" i="13"/>
  <c r="AH31" i="13" s="1"/>
  <c r="AE31" i="13"/>
  <c r="AG31" i="13" s="1"/>
  <c r="AB31" i="13"/>
  <c r="AD31" i="13" s="1"/>
  <c r="AA31" i="13"/>
  <c r="AC31" i="13" s="1"/>
  <c r="X31" i="13"/>
  <c r="Z31" i="13" s="1"/>
  <c r="W31" i="13"/>
  <c r="Y31" i="13" s="1"/>
  <c r="T31" i="13"/>
  <c r="V31" i="13" s="1"/>
  <c r="S31" i="13"/>
  <c r="U31" i="13" s="1"/>
  <c r="P31" i="13"/>
  <c r="R31" i="13" s="1"/>
  <c r="O31" i="13"/>
  <c r="Q31" i="13" s="1"/>
  <c r="L31" i="13"/>
  <c r="N31" i="13" s="1"/>
  <c r="K31" i="13"/>
  <c r="M31" i="13" s="1"/>
  <c r="H31" i="13"/>
  <c r="J31" i="13" s="1"/>
  <c r="G31" i="13"/>
  <c r="I31" i="13" s="1"/>
  <c r="E31" i="13"/>
  <c r="D31" i="13"/>
  <c r="C31" i="13"/>
  <c r="AV30" i="13"/>
  <c r="AX30" i="13" s="1"/>
  <c r="AU30" i="13"/>
  <c r="AW30" i="13" s="1"/>
  <c r="AR30" i="13"/>
  <c r="AT30" i="13" s="1"/>
  <c r="AQ30" i="13"/>
  <c r="AS30" i="13" s="1"/>
  <c r="AN30" i="13"/>
  <c r="AP30" i="13" s="1"/>
  <c r="AM30" i="13"/>
  <c r="AO30" i="13" s="1"/>
  <c r="AJ30" i="13"/>
  <c r="AL30" i="13" s="1"/>
  <c r="AI30" i="13"/>
  <c r="AK30" i="13" s="1"/>
  <c r="AF30" i="13"/>
  <c r="AH30" i="13" s="1"/>
  <c r="AE30" i="13"/>
  <c r="AG30" i="13" s="1"/>
  <c r="AB30" i="13"/>
  <c r="AD30" i="13" s="1"/>
  <c r="AA30" i="13"/>
  <c r="AC30" i="13" s="1"/>
  <c r="X30" i="13"/>
  <c r="Z30" i="13" s="1"/>
  <c r="W30" i="13"/>
  <c r="Y30" i="13" s="1"/>
  <c r="T30" i="13"/>
  <c r="V30" i="13" s="1"/>
  <c r="S30" i="13"/>
  <c r="U30" i="13" s="1"/>
  <c r="P30" i="13"/>
  <c r="R30" i="13" s="1"/>
  <c r="O30" i="13"/>
  <c r="Q30" i="13" s="1"/>
  <c r="L30" i="13"/>
  <c r="N30" i="13" s="1"/>
  <c r="K30" i="13"/>
  <c r="M30" i="13" s="1"/>
  <c r="H30" i="13"/>
  <c r="J30" i="13" s="1"/>
  <c r="G30" i="13"/>
  <c r="I30" i="13" s="1"/>
  <c r="E30" i="13"/>
  <c r="D30" i="13"/>
  <c r="C30" i="13"/>
  <c r="AV29" i="13"/>
  <c r="AX29" i="13" s="1"/>
  <c r="AU29" i="13"/>
  <c r="AW29" i="13" s="1"/>
  <c r="AR29" i="13"/>
  <c r="AT29" i="13" s="1"/>
  <c r="AQ29" i="13"/>
  <c r="AS29" i="13" s="1"/>
  <c r="AN29" i="13"/>
  <c r="AP29" i="13" s="1"/>
  <c r="AM29" i="13"/>
  <c r="AO29" i="13" s="1"/>
  <c r="AJ29" i="13"/>
  <c r="AL29" i="13" s="1"/>
  <c r="AI29" i="13"/>
  <c r="AK29" i="13" s="1"/>
  <c r="AF29" i="13"/>
  <c r="AH29" i="13" s="1"/>
  <c r="AE29" i="13"/>
  <c r="AG29" i="13" s="1"/>
  <c r="AB29" i="13"/>
  <c r="AD29" i="13" s="1"/>
  <c r="AA29" i="13"/>
  <c r="AC29" i="13" s="1"/>
  <c r="X29" i="13"/>
  <c r="Z29" i="13" s="1"/>
  <c r="W29" i="13"/>
  <c r="Y29" i="13" s="1"/>
  <c r="T29" i="13"/>
  <c r="V29" i="13" s="1"/>
  <c r="S29" i="13"/>
  <c r="U29" i="13" s="1"/>
  <c r="P29" i="13"/>
  <c r="R29" i="13" s="1"/>
  <c r="O29" i="13"/>
  <c r="Q29" i="13" s="1"/>
  <c r="L29" i="13"/>
  <c r="N29" i="13" s="1"/>
  <c r="K29" i="13"/>
  <c r="M29" i="13" s="1"/>
  <c r="H29" i="13"/>
  <c r="J29" i="13" s="1"/>
  <c r="G29" i="13"/>
  <c r="I29" i="13" s="1"/>
  <c r="E29" i="13"/>
  <c r="D29" i="13"/>
  <c r="C29" i="13"/>
  <c r="AV28" i="13"/>
  <c r="AX28" i="13" s="1"/>
  <c r="AU28" i="13"/>
  <c r="AW28" i="13" s="1"/>
  <c r="AR28" i="13"/>
  <c r="AT28" i="13" s="1"/>
  <c r="AQ28" i="13"/>
  <c r="AS28" i="13" s="1"/>
  <c r="AN28" i="13"/>
  <c r="AP28" i="13" s="1"/>
  <c r="AM28" i="13"/>
  <c r="AO28" i="13" s="1"/>
  <c r="AJ28" i="13"/>
  <c r="AL28" i="13" s="1"/>
  <c r="AI28" i="13"/>
  <c r="AK28" i="13" s="1"/>
  <c r="AF28" i="13"/>
  <c r="AH28" i="13" s="1"/>
  <c r="AE28" i="13"/>
  <c r="AG28" i="13" s="1"/>
  <c r="AB28" i="13"/>
  <c r="AD28" i="13" s="1"/>
  <c r="AA28" i="13"/>
  <c r="AC28" i="13" s="1"/>
  <c r="X28" i="13"/>
  <c r="Z28" i="13" s="1"/>
  <c r="W28" i="13"/>
  <c r="Y28" i="13" s="1"/>
  <c r="T28" i="13"/>
  <c r="V28" i="13" s="1"/>
  <c r="S28" i="13"/>
  <c r="U28" i="13" s="1"/>
  <c r="P28" i="13"/>
  <c r="R28" i="13" s="1"/>
  <c r="O28" i="13"/>
  <c r="Q28" i="13" s="1"/>
  <c r="L28" i="13"/>
  <c r="N28" i="13" s="1"/>
  <c r="K28" i="13"/>
  <c r="M28" i="13" s="1"/>
  <c r="H28" i="13"/>
  <c r="J28" i="13" s="1"/>
  <c r="G28" i="13"/>
  <c r="I28" i="13" s="1"/>
  <c r="E28" i="13"/>
  <c r="D28" i="13"/>
  <c r="C28" i="13"/>
  <c r="AV27" i="13"/>
  <c r="AX27" i="13" s="1"/>
  <c r="AU27" i="13"/>
  <c r="AW27" i="13" s="1"/>
  <c r="AR27" i="13"/>
  <c r="AT27" i="13" s="1"/>
  <c r="AQ27" i="13"/>
  <c r="AS27" i="13" s="1"/>
  <c r="AN27" i="13"/>
  <c r="AP27" i="13" s="1"/>
  <c r="AM27" i="13"/>
  <c r="AO27" i="13" s="1"/>
  <c r="AJ27" i="13"/>
  <c r="AL27" i="13" s="1"/>
  <c r="AI27" i="13"/>
  <c r="AK27" i="13" s="1"/>
  <c r="AF27" i="13"/>
  <c r="AH27" i="13" s="1"/>
  <c r="AE27" i="13"/>
  <c r="AG27" i="13" s="1"/>
  <c r="AB27" i="13"/>
  <c r="AD27" i="13" s="1"/>
  <c r="AA27" i="13"/>
  <c r="AC27" i="13" s="1"/>
  <c r="X27" i="13"/>
  <c r="Z27" i="13" s="1"/>
  <c r="W27" i="13"/>
  <c r="Y27" i="13" s="1"/>
  <c r="T27" i="13"/>
  <c r="V27" i="13" s="1"/>
  <c r="S27" i="13"/>
  <c r="U27" i="13" s="1"/>
  <c r="P27" i="13"/>
  <c r="R27" i="13" s="1"/>
  <c r="O27" i="13"/>
  <c r="Q27" i="13" s="1"/>
  <c r="L27" i="13"/>
  <c r="N27" i="13" s="1"/>
  <c r="K27" i="13"/>
  <c r="M27" i="13" s="1"/>
  <c r="H27" i="13"/>
  <c r="J27" i="13" s="1"/>
  <c r="G27" i="13"/>
  <c r="I27" i="13" s="1"/>
  <c r="E27" i="13"/>
  <c r="D27" i="13"/>
  <c r="C27" i="13"/>
  <c r="AV26" i="13"/>
  <c r="AX26" i="13" s="1"/>
  <c r="AU26" i="13"/>
  <c r="AW26" i="13" s="1"/>
  <c r="AR26" i="13"/>
  <c r="AT26" i="13" s="1"/>
  <c r="AQ26" i="13"/>
  <c r="AS26" i="13" s="1"/>
  <c r="AN26" i="13"/>
  <c r="AP26" i="13" s="1"/>
  <c r="AM26" i="13"/>
  <c r="AO26" i="13" s="1"/>
  <c r="AJ26" i="13"/>
  <c r="AL26" i="13" s="1"/>
  <c r="AI26" i="13"/>
  <c r="AK26" i="13" s="1"/>
  <c r="AF26" i="13"/>
  <c r="AH26" i="13" s="1"/>
  <c r="AE26" i="13"/>
  <c r="AG26" i="13" s="1"/>
  <c r="AB26" i="13"/>
  <c r="AD26" i="13" s="1"/>
  <c r="AA26" i="13"/>
  <c r="AC26" i="13" s="1"/>
  <c r="X26" i="13"/>
  <c r="Z26" i="13" s="1"/>
  <c r="W26" i="13"/>
  <c r="Y26" i="13" s="1"/>
  <c r="T26" i="13"/>
  <c r="V26" i="13" s="1"/>
  <c r="S26" i="13"/>
  <c r="U26" i="13" s="1"/>
  <c r="P26" i="13"/>
  <c r="R26" i="13" s="1"/>
  <c r="O26" i="13"/>
  <c r="Q26" i="13" s="1"/>
  <c r="L26" i="13"/>
  <c r="N26" i="13" s="1"/>
  <c r="K26" i="13"/>
  <c r="M26" i="13" s="1"/>
  <c r="H26" i="13"/>
  <c r="J26" i="13" s="1"/>
  <c r="G26" i="13"/>
  <c r="I26" i="13" s="1"/>
  <c r="E26" i="13"/>
  <c r="D26" i="13"/>
  <c r="C26" i="13"/>
  <c r="AV25" i="13"/>
  <c r="AX25" i="13" s="1"/>
  <c r="AU25" i="13"/>
  <c r="AW25" i="13" s="1"/>
  <c r="AR25" i="13"/>
  <c r="AT25" i="13" s="1"/>
  <c r="AQ25" i="13"/>
  <c r="AS25" i="13" s="1"/>
  <c r="AN25" i="13"/>
  <c r="AP25" i="13" s="1"/>
  <c r="AM25" i="13"/>
  <c r="AO25" i="13" s="1"/>
  <c r="AJ25" i="13"/>
  <c r="AL25" i="13" s="1"/>
  <c r="AI25" i="13"/>
  <c r="AK25" i="13" s="1"/>
  <c r="AF25" i="13"/>
  <c r="AH25" i="13" s="1"/>
  <c r="AE25" i="13"/>
  <c r="AG25" i="13" s="1"/>
  <c r="AB25" i="13"/>
  <c r="AD25" i="13" s="1"/>
  <c r="AA25" i="13"/>
  <c r="AC25" i="13" s="1"/>
  <c r="X25" i="13"/>
  <c r="Z25" i="13" s="1"/>
  <c r="W25" i="13"/>
  <c r="Y25" i="13" s="1"/>
  <c r="T25" i="13"/>
  <c r="V25" i="13" s="1"/>
  <c r="S25" i="13"/>
  <c r="U25" i="13" s="1"/>
  <c r="P25" i="13"/>
  <c r="R25" i="13" s="1"/>
  <c r="O25" i="13"/>
  <c r="Q25" i="13" s="1"/>
  <c r="L25" i="13"/>
  <c r="N25" i="13" s="1"/>
  <c r="K25" i="13"/>
  <c r="M25" i="13" s="1"/>
  <c r="H25" i="13"/>
  <c r="J25" i="13" s="1"/>
  <c r="G25" i="13"/>
  <c r="I25" i="13" s="1"/>
  <c r="E25" i="13"/>
  <c r="D25" i="13"/>
  <c r="C25" i="13"/>
  <c r="AV24" i="13"/>
  <c r="AX24" i="13" s="1"/>
  <c r="AU24" i="13"/>
  <c r="AW24" i="13" s="1"/>
  <c r="AR24" i="13"/>
  <c r="AT24" i="13" s="1"/>
  <c r="AQ24" i="13"/>
  <c r="AS24" i="13" s="1"/>
  <c r="AN24" i="13"/>
  <c r="AP24" i="13" s="1"/>
  <c r="AM24" i="13"/>
  <c r="AO24" i="13" s="1"/>
  <c r="AJ24" i="13"/>
  <c r="AL24" i="13" s="1"/>
  <c r="AI24" i="13"/>
  <c r="AK24" i="13" s="1"/>
  <c r="AF24" i="13"/>
  <c r="AH24" i="13" s="1"/>
  <c r="AE24" i="13"/>
  <c r="AG24" i="13" s="1"/>
  <c r="AB24" i="13"/>
  <c r="AD24" i="13" s="1"/>
  <c r="AA24" i="13"/>
  <c r="AC24" i="13" s="1"/>
  <c r="X24" i="13"/>
  <c r="Z24" i="13" s="1"/>
  <c r="W24" i="13"/>
  <c r="Y24" i="13" s="1"/>
  <c r="T24" i="13"/>
  <c r="V24" i="13" s="1"/>
  <c r="S24" i="13"/>
  <c r="U24" i="13" s="1"/>
  <c r="P24" i="13"/>
  <c r="R24" i="13" s="1"/>
  <c r="O24" i="13"/>
  <c r="Q24" i="13" s="1"/>
  <c r="L24" i="13"/>
  <c r="N24" i="13" s="1"/>
  <c r="K24" i="13"/>
  <c r="M24" i="13" s="1"/>
  <c r="H24" i="13"/>
  <c r="J24" i="13" s="1"/>
  <c r="G24" i="13"/>
  <c r="I24" i="13" s="1"/>
  <c r="E24" i="13"/>
  <c r="D24" i="13"/>
  <c r="C24" i="13"/>
  <c r="AV23" i="13"/>
  <c r="AX23" i="13" s="1"/>
  <c r="AU23" i="13"/>
  <c r="AW23" i="13" s="1"/>
  <c r="AR23" i="13"/>
  <c r="AT23" i="13" s="1"/>
  <c r="AQ23" i="13"/>
  <c r="AS23" i="13" s="1"/>
  <c r="AN23" i="13"/>
  <c r="AP23" i="13" s="1"/>
  <c r="AM23" i="13"/>
  <c r="AO23" i="13" s="1"/>
  <c r="AJ23" i="13"/>
  <c r="AL23" i="13" s="1"/>
  <c r="AI23" i="13"/>
  <c r="AK23" i="13" s="1"/>
  <c r="AF23" i="13"/>
  <c r="AH23" i="13" s="1"/>
  <c r="AE23" i="13"/>
  <c r="AG23" i="13" s="1"/>
  <c r="AB23" i="13"/>
  <c r="AD23" i="13" s="1"/>
  <c r="AA23" i="13"/>
  <c r="AC23" i="13" s="1"/>
  <c r="X23" i="13"/>
  <c r="Z23" i="13" s="1"/>
  <c r="W23" i="13"/>
  <c r="Y23" i="13" s="1"/>
  <c r="T23" i="13"/>
  <c r="V23" i="13" s="1"/>
  <c r="S23" i="13"/>
  <c r="U23" i="13" s="1"/>
  <c r="P23" i="13"/>
  <c r="R23" i="13" s="1"/>
  <c r="O23" i="13"/>
  <c r="Q23" i="13" s="1"/>
  <c r="L23" i="13"/>
  <c r="N23" i="13" s="1"/>
  <c r="K23" i="13"/>
  <c r="M23" i="13" s="1"/>
  <c r="H23" i="13"/>
  <c r="J23" i="13" s="1"/>
  <c r="G23" i="13"/>
  <c r="I23" i="13" s="1"/>
  <c r="E23" i="13"/>
  <c r="D23" i="13"/>
  <c r="C23" i="13"/>
  <c r="AV22" i="13"/>
  <c r="AX22" i="13" s="1"/>
  <c r="AU22" i="13"/>
  <c r="AW22" i="13" s="1"/>
  <c r="AR22" i="13"/>
  <c r="AT22" i="13" s="1"/>
  <c r="AQ22" i="13"/>
  <c r="AS22" i="13" s="1"/>
  <c r="AN22" i="13"/>
  <c r="AP22" i="13" s="1"/>
  <c r="AM22" i="13"/>
  <c r="AO22" i="13" s="1"/>
  <c r="AJ22" i="13"/>
  <c r="AL22" i="13" s="1"/>
  <c r="AI22" i="13"/>
  <c r="AK22" i="13" s="1"/>
  <c r="AF22" i="13"/>
  <c r="AH22" i="13" s="1"/>
  <c r="AE22" i="13"/>
  <c r="AG22" i="13" s="1"/>
  <c r="AB22" i="13"/>
  <c r="AD22" i="13" s="1"/>
  <c r="AA22" i="13"/>
  <c r="AC22" i="13" s="1"/>
  <c r="X22" i="13"/>
  <c r="Z22" i="13" s="1"/>
  <c r="W22" i="13"/>
  <c r="Y22" i="13" s="1"/>
  <c r="T22" i="13"/>
  <c r="V22" i="13" s="1"/>
  <c r="S22" i="13"/>
  <c r="U22" i="13" s="1"/>
  <c r="P22" i="13"/>
  <c r="R22" i="13" s="1"/>
  <c r="O22" i="13"/>
  <c r="Q22" i="13" s="1"/>
  <c r="L22" i="13"/>
  <c r="N22" i="13" s="1"/>
  <c r="K22" i="13"/>
  <c r="M22" i="13" s="1"/>
  <c r="H22" i="13"/>
  <c r="J22" i="13" s="1"/>
  <c r="G22" i="13"/>
  <c r="I22" i="13" s="1"/>
  <c r="E22" i="13"/>
  <c r="D22" i="13"/>
  <c r="C22" i="13"/>
  <c r="AV21" i="13"/>
  <c r="AX21" i="13" s="1"/>
  <c r="AU21" i="13"/>
  <c r="AW21" i="13" s="1"/>
  <c r="AR21" i="13"/>
  <c r="AT21" i="13" s="1"/>
  <c r="AQ21" i="13"/>
  <c r="AS21" i="13" s="1"/>
  <c r="AN21" i="13"/>
  <c r="AP21" i="13" s="1"/>
  <c r="AM21" i="13"/>
  <c r="AO21" i="13" s="1"/>
  <c r="AJ21" i="13"/>
  <c r="AL21" i="13" s="1"/>
  <c r="AI21" i="13"/>
  <c r="AK21" i="13" s="1"/>
  <c r="AF21" i="13"/>
  <c r="AH21" i="13" s="1"/>
  <c r="AE21" i="13"/>
  <c r="AG21" i="13" s="1"/>
  <c r="AB21" i="13"/>
  <c r="AD21" i="13" s="1"/>
  <c r="AA21" i="13"/>
  <c r="AC21" i="13" s="1"/>
  <c r="X21" i="13"/>
  <c r="Z21" i="13" s="1"/>
  <c r="W21" i="13"/>
  <c r="Y21" i="13" s="1"/>
  <c r="T21" i="13"/>
  <c r="V21" i="13" s="1"/>
  <c r="S21" i="13"/>
  <c r="U21" i="13" s="1"/>
  <c r="P21" i="13"/>
  <c r="R21" i="13" s="1"/>
  <c r="O21" i="13"/>
  <c r="Q21" i="13" s="1"/>
  <c r="L21" i="13"/>
  <c r="N21" i="13" s="1"/>
  <c r="K21" i="13"/>
  <c r="M21" i="13" s="1"/>
  <c r="H21" i="13"/>
  <c r="J21" i="13" s="1"/>
  <c r="G21" i="13"/>
  <c r="I21" i="13" s="1"/>
  <c r="E21" i="13"/>
  <c r="D21" i="13"/>
  <c r="C21" i="13"/>
  <c r="AV20" i="13"/>
  <c r="AX20" i="13" s="1"/>
  <c r="AU20" i="13"/>
  <c r="AW20" i="13" s="1"/>
  <c r="AR20" i="13"/>
  <c r="AT20" i="13" s="1"/>
  <c r="AQ20" i="13"/>
  <c r="AS20" i="13" s="1"/>
  <c r="AN20" i="13"/>
  <c r="AP20" i="13" s="1"/>
  <c r="AM20" i="13"/>
  <c r="AO20" i="13" s="1"/>
  <c r="AJ20" i="13"/>
  <c r="AL20" i="13" s="1"/>
  <c r="AI20" i="13"/>
  <c r="AK20" i="13" s="1"/>
  <c r="AF20" i="13"/>
  <c r="AH20" i="13" s="1"/>
  <c r="AE20" i="13"/>
  <c r="AG20" i="13" s="1"/>
  <c r="AB20" i="13"/>
  <c r="AD20" i="13" s="1"/>
  <c r="AA20" i="13"/>
  <c r="AC20" i="13" s="1"/>
  <c r="X20" i="13"/>
  <c r="Z20" i="13" s="1"/>
  <c r="W20" i="13"/>
  <c r="Y20" i="13" s="1"/>
  <c r="T20" i="13"/>
  <c r="V20" i="13" s="1"/>
  <c r="S20" i="13"/>
  <c r="U20" i="13" s="1"/>
  <c r="P20" i="13"/>
  <c r="R20" i="13" s="1"/>
  <c r="O20" i="13"/>
  <c r="Q20" i="13" s="1"/>
  <c r="L20" i="13"/>
  <c r="N20" i="13" s="1"/>
  <c r="K20" i="13"/>
  <c r="M20" i="13" s="1"/>
  <c r="H20" i="13"/>
  <c r="J20" i="13" s="1"/>
  <c r="G20" i="13"/>
  <c r="I20" i="13" s="1"/>
  <c r="E20" i="13"/>
  <c r="D20" i="13"/>
  <c r="C20" i="13"/>
  <c r="AV19" i="13"/>
  <c r="AX19" i="13" s="1"/>
  <c r="AU19" i="13"/>
  <c r="AW19" i="13" s="1"/>
  <c r="AR19" i="13"/>
  <c r="AT19" i="13" s="1"/>
  <c r="AQ19" i="13"/>
  <c r="AS19" i="13" s="1"/>
  <c r="AN19" i="13"/>
  <c r="AP19" i="13" s="1"/>
  <c r="AM19" i="13"/>
  <c r="AO19" i="13" s="1"/>
  <c r="AJ19" i="13"/>
  <c r="AL19" i="13" s="1"/>
  <c r="AI19" i="13"/>
  <c r="AK19" i="13" s="1"/>
  <c r="AF19" i="13"/>
  <c r="AH19" i="13" s="1"/>
  <c r="AE19" i="13"/>
  <c r="AG19" i="13" s="1"/>
  <c r="AB19" i="13"/>
  <c r="AD19" i="13" s="1"/>
  <c r="AA19" i="13"/>
  <c r="AC19" i="13" s="1"/>
  <c r="X19" i="13"/>
  <c r="Z19" i="13" s="1"/>
  <c r="W19" i="13"/>
  <c r="Y19" i="13" s="1"/>
  <c r="T19" i="13"/>
  <c r="V19" i="13" s="1"/>
  <c r="S19" i="13"/>
  <c r="U19" i="13" s="1"/>
  <c r="P19" i="13"/>
  <c r="R19" i="13" s="1"/>
  <c r="O19" i="13"/>
  <c r="Q19" i="13" s="1"/>
  <c r="L19" i="13"/>
  <c r="N19" i="13" s="1"/>
  <c r="K19" i="13"/>
  <c r="M19" i="13" s="1"/>
  <c r="H19" i="13"/>
  <c r="J19" i="13" s="1"/>
  <c r="G19" i="13"/>
  <c r="I19" i="13" s="1"/>
  <c r="E19" i="13"/>
  <c r="D19" i="13"/>
  <c r="C19" i="13"/>
  <c r="AV18" i="13"/>
  <c r="AX18" i="13" s="1"/>
  <c r="AU18" i="13"/>
  <c r="AW18" i="13" s="1"/>
  <c r="AR18" i="13"/>
  <c r="AT18" i="13" s="1"/>
  <c r="AQ18" i="13"/>
  <c r="AS18" i="13" s="1"/>
  <c r="AN18" i="13"/>
  <c r="AP18" i="13" s="1"/>
  <c r="AM18" i="13"/>
  <c r="AO18" i="13" s="1"/>
  <c r="AJ18" i="13"/>
  <c r="AL18" i="13" s="1"/>
  <c r="AI18" i="13"/>
  <c r="AK18" i="13" s="1"/>
  <c r="AF18" i="13"/>
  <c r="AH18" i="13" s="1"/>
  <c r="AE18" i="13"/>
  <c r="AG18" i="13" s="1"/>
  <c r="AB18" i="13"/>
  <c r="AD18" i="13" s="1"/>
  <c r="AA18" i="13"/>
  <c r="AC18" i="13" s="1"/>
  <c r="X18" i="13"/>
  <c r="Z18" i="13" s="1"/>
  <c r="W18" i="13"/>
  <c r="Y18" i="13" s="1"/>
  <c r="T18" i="13"/>
  <c r="V18" i="13" s="1"/>
  <c r="S18" i="13"/>
  <c r="U18" i="13" s="1"/>
  <c r="P18" i="13"/>
  <c r="R18" i="13" s="1"/>
  <c r="O18" i="13"/>
  <c r="Q18" i="13" s="1"/>
  <c r="L18" i="13"/>
  <c r="N18" i="13" s="1"/>
  <c r="K18" i="13"/>
  <c r="M18" i="13" s="1"/>
  <c r="H18" i="13"/>
  <c r="J18" i="13" s="1"/>
  <c r="G18" i="13"/>
  <c r="I18" i="13" s="1"/>
  <c r="E18" i="13"/>
  <c r="D18" i="13"/>
  <c r="C18" i="13"/>
  <c r="AV17" i="13"/>
  <c r="AX17" i="13" s="1"/>
  <c r="AU17" i="13"/>
  <c r="AW17" i="13" s="1"/>
  <c r="AR17" i="13"/>
  <c r="AT17" i="13" s="1"/>
  <c r="AQ17" i="13"/>
  <c r="AS17" i="13" s="1"/>
  <c r="AN17" i="13"/>
  <c r="AP17" i="13" s="1"/>
  <c r="AM17" i="13"/>
  <c r="AO17" i="13" s="1"/>
  <c r="AJ17" i="13"/>
  <c r="AL17" i="13" s="1"/>
  <c r="AI17" i="13"/>
  <c r="AK17" i="13" s="1"/>
  <c r="AF17" i="13"/>
  <c r="AH17" i="13" s="1"/>
  <c r="AE17" i="13"/>
  <c r="AG17" i="13" s="1"/>
  <c r="AB17" i="13"/>
  <c r="AD17" i="13" s="1"/>
  <c r="AA17" i="13"/>
  <c r="AC17" i="13" s="1"/>
  <c r="X17" i="13"/>
  <c r="Z17" i="13" s="1"/>
  <c r="W17" i="13"/>
  <c r="Y17" i="13" s="1"/>
  <c r="T17" i="13"/>
  <c r="V17" i="13" s="1"/>
  <c r="S17" i="13"/>
  <c r="U17" i="13" s="1"/>
  <c r="P17" i="13"/>
  <c r="R17" i="13" s="1"/>
  <c r="O17" i="13"/>
  <c r="Q17" i="13" s="1"/>
  <c r="L17" i="13"/>
  <c r="N17" i="13" s="1"/>
  <c r="K17" i="13"/>
  <c r="M17" i="13" s="1"/>
  <c r="H17" i="13"/>
  <c r="J17" i="13" s="1"/>
  <c r="G17" i="13"/>
  <c r="I17" i="13" s="1"/>
  <c r="E17" i="13"/>
  <c r="D17" i="13"/>
  <c r="C17" i="13"/>
  <c r="AV16" i="13"/>
  <c r="AX16" i="13" s="1"/>
  <c r="AU16" i="13"/>
  <c r="AW16" i="13" s="1"/>
  <c r="AR16" i="13"/>
  <c r="AT16" i="13" s="1"/>
  <c r="AQ16" i="13"/>
  <c r="AS16" i="13" s="1"/>
  <c r="AN16" i="13"/>
  <c r="AP16" i="13" s="1"/>
  <c r="AM16" i="13"/>
  <c r="AO16" i="13" s="1"/>
  <c r="AJ16" i="13"/>
  <c r="AL16" i="13" s="1"/>
  <c r="AI16" i="13"/>
  <c r="AK16" i="13" s="1"/>
  <c r="AF16" i="13"/>
  <c r="AH16" i="13" s="1"/>
  <c r="AE16" i="13"/>
  <c r="AG16" i="13" s="1"/>
  <c r="AB16" i="13"/>
  <c r="AD16" i="13" s="1"/>
  <c r="AA16" i="13"/>
  <c r="AC16" i="13" s="1"/>
  <c r="X16" i="13"/>
  <c r="Z16" i="13" s="1"/>
  <c r="W16" i="13"/>
  <c r="Y16" i="13" s="1"/>
  <c r="T16" i="13"/>
  <c r="V16" i="13" s="1"/>
  <c r="S16" i="13"/>
  <c r="U16" i="13" s="1"/>
  <c r="P16" i="13"/>
  <c r="R16" i="13" s="1"/>
  <c r="O16" i="13"/>
  <c r="Q16" i="13" s="1"/>
  <c r="L16" i="13"/>
  <c r="N16" i="13" s="1"/>
  <c r="K16" i="13"/>
  <c r="M16" i="13" s="1"/>
  <c r="H16" i="13"/>
  <c r="J16" i="13" s="1"/>
  <c r="G16" i="13"/>
  <c r="I16" i="13" s="1"/>
  <c r="E16" i="13"/>
  <c r="D16" i="13"/>
  <c r="C16" i="13"/>
  <c r="AV15" i="13"/>
  <c r="AX15" i="13" s="1"/>
  <c r="AU15" i="13"/>
  <c r="AW15" i="13" s="1"/>
  <c r="AR15" i="13"/>
  <c r="AT15" i="13" s="1"/>
  <c r="AQ15" i="13"/>
  <c r="AS15" i="13" s="1"/>
  <c r="AN15" i="13"/>
  <c r="AP15" i="13" s="1"/>
  <c r="AM15" i="13"/>
  <c r="AO15" i="13" s="1"/>
  <c r="AJ15" i="13"/>
  <c r="AL15" i="13" s="1"/>
  <c r="AI15" i="13"/>
  <c r="AK15" i="13" s="1"/>
  <c r="AF15" i="13"/>
  <c r="AH15" i="13" s="1"/>
  <c r="AE15" i="13"/>
  <c r="AG15" i="13" s="1"/>
  <c r="AB15" i="13"/>
  <c r="AD15" i="13" s="1"/>
  <c r="AA15" i="13"/>
  <c r="AC15" i="13" s="1"/>
  <c r="X15" i="13"/>
  <c r="Z15" i="13" s="1"/>
  <c r="W15" i="13"/>
  <c r="Y15" i="13" s="1"/>
  <c r="T15" i="13"/>
  <c r="V15" i="13" s="1"/>
  <c r="S15" i="13"/>
  <c r="U15" i="13" s="1"/>
  <c r="P15" i="13"/>
  <c r="R15" i="13" s="1"/>
  <c r="O15" i="13"/>
  <c r="Q15" i="13" s="1"/>
  <c r="L15" i="13"/>
  <c r="N15" i="13" s="1"/>
  <c r="K15" i="13"/>
  <c r="M15" i="13" s="1"/>
  <c r="H15" i="13"/>
  <c r="J15" i="13" s="1"/>
  <c r="G15" i="13"/>
  <c r="I15" i="13" s="1"/>
  <c r="E15" i="13"/>
  <c r="D15" i="13"/>
  <c r="C15" i="13"/>
  <c r="AV14" i="13"/>
  <c r="AX14" i="13" s="1"/>
  <c r="AU14" i="13"/>
  <c r="AW14" i="13" s="1"/>
  <c r="AR14" i="13"/>
  <c r="AT14" i="13" s="1"/>
  <c r="AQ14" i="13"/>
  <c r="AS14" i="13" s="1"/>
  <c r="AN14" i="13"/>
  <c r="AP14" i="13" s="1"/>
  <c r="AM14" i="13"/>
  <c r="AO14" i="13" s="1"/>
  <c r="AJ14" i="13"/>
  <c r="AL14" i="13" s="1"/>
  <c r="AI14" i="13"/>
  <c r="AK14" i="13" s="1"/>
  <c r="AF14" i="13"/>
  <c r="AH14" i="13" s="1"/>
  <c r="AE14" i="13"/>
  <c r="AG14" i="13" s="1"/>
  <c r="AB14" i="13"/>
  <c r="AD14" i="13" s="1"/>
  <c r="AA14" i="13"/>
  <c r="AC14" i="13" s="1"/>
  <c r="X14" i="13"/>
  <c r="Z14" i="13" s="1"/>
  <c r="W14" i="13"/>
  <c r="Y14" i="13" s="1"/>
  <c r="T14" i="13"/>
  <c r="V14" i="13" s="1"/>
  <c r="S14" i="13"/>
  <c r="U14" i="13" s="1"/>
  <c r="P14" i="13"/>
  <c r="R14" i="13" s="1"/>
  <c r="O14" i="13"/>
  <c r="Q14" i="13" s="1"/>
  <c r="L14" i="13"/>
  <c r="N14" i="13" s="1"/>
  <c r="K14" i="13"/>
  <c r="M14" i="13" s="1"/>
  <c r="H14" i="13"/>
  <c r="J14" i="13" s="1"/>
  <c r="G14" i="13"/>
  <c r="I14" i="13" s="1"/>
  <c r="E14" i="13"/>
  <c r="D14" i="13"/>
  <c r="C14" i="13"/>
  <c r="AV13" i="13"/>
  <c r="AX13" i="13" s="1"/>
  <c r="AU13" i="13"/>
  <c r="AW13" i="13" s="1"/>
  <c r="AR13" i="13"/>
  <c r="AT13" i="13" s="1"/>
  <c r="AQ13" i="13"/>
  <c r="AS13" i="13" s="1"/>
  <c r="AN13" i="13"/>
  <c r="AP13" i="13" s="1"/>
  <c r="AM13" i="13"/>
  <c r="AO13" i="13" s="1"/>
  <c r="AJ13" i="13"/>
  <c r="AL13" i="13" s="1"/>
  <c r="AI13" i="13"/>
  <c r="AK13" i="13" s="1"/>
  <c r="AF13" i="13"/>
  <c r="AH13" i="13" s="1"/>
  <c r="AE13" i="13"/>
  <c r="AG13" i="13" s="1"/>
  <c r="AB13" i="13"/>
  <c r="AD13" i="13" s="1"/>
  <c r="AA13" i="13"/>
  <c r="AC13" i="13" s="1"/>
  <c r="X13" i="13"/>
  <c r="Z13" i="13" s="1"/>
  <c r="W13" i="13"/>
  <c r="Y13" i="13" s="1"/>
  <c r="T13" i="13"/>
  <c r="V13" i="13" s="1"/>
  <c r="S13" i="13"/>
  <c r="U13" i="13" s="1"/>
  <c r="P13" i="13"/>
  <c r="R13" i="13" s="1"/>
  <c r="O13" i="13"/>
  <c r="Q13" i="13" s="1"/>
  <c r="L13" i="13"/>
  <c r="N13" i="13" s="1"/>
  <c r="K13" i="13"/>
  <c r="M13" i="13" s="1"/>
  <c r="H13" i="13"/>
  <c r="J13" i="13" s="1"/>
  <c r="G13" i="13"/>
  <c r="I13" i="13" s="1"/>
  <c r="E13" i="13"/>
  <c r="D13" i="13"/>
  <c r="C13" i="13"/>
  <c r="AV12" i="13"/>
  <c r="AX12" i="13" s="1"/>
  <c r="AU12" i="13"/>
  <c r="AW12" i="13" s="1"/>
  <c r="AR12" i="13"/>
  <c r="AT12" i="13" s="1"/>
  <c r="AQ12" i="13"/>
  <c r="AS12" i="13" s="1"/>
  <c r="AN12" i="13"/>
  <c r="AP12" i="13" s="1"/>
  <c r="AM12" i="13"/>
  <c r="AO12" i="13" s="1"/>
  <c r="AJ12" i="13"/>
  <c r="AL12" i="13" s="1"/>
  <c r="AI12" i="13"/>
  <c r="AK12" i="13" s="1"/>
  <c r="AF12" i="13"/>
  <c r="AH12" i="13" s="1"/>
  <c r="AE12" i="13"/>
  <c r="AG12" i="13" s="1"/>
  <c r="AB12" i="13"/>
  <c r="AD12" i="13" s="1"/>
  <c r="AA12" i="13"/>
  <c r="AC12" i="13" s="1"/>
  <c r="X12" i="13"/>
  <c r="Z12" i="13" s="1"/>
  <c r="W12" i="13"/>
  <c r="Y12" i="13" s="1"/>
  <c r="T12" i="13"/>
  <c r="V12" i="13" s="1"/>
  <c r="S12" i="13"/>
  <c r="U12" i="13" s="1"/>
  <c r="P12" i="13"/>
  <c r="R12" i="13" s="1"/>
  <c r="O12" i="13"/>
  <c r="Q12" i="13" s="1"/>
  <c r="L12" i="13"/>
  <c r="N12" i="13" s="1"/>
  <c r="K12" i="13"/>
  <c r="M12" i="13" s="1"/>
  <c r="H12" i="13"/>
  <c r="J12" i="13" s="1"/>
  <c r="G12" i="13"/>
  <c r="I12" i="13" s="1"/>
  <c r="E12" i="13"/>
  <c r="D12" i="13"/>
  <c r="C12" i="13"/>
  <c r="AV11" i="13"/>
  <c r="AX11" i="13" s="1"/>
  <c r="AU11" i="13"/>
  <c r="AW11" i="13" s="1"/>
  <c r="AR11" i="13"/>
  <c r="AT11" i="13" s="1"/>
  <c r="AQ11" i="13"/>
  <c r="AS11" i="13" s="1"/>
  <c r="AN11" i="13"/>
  <c r="AP11" i="13" s="1"/>
  <c r="AM11" i="13"/>
  <c r="AO11" i="13" s="1"/>
  <c r="AJ11" i="13"/>
  <c r="AL11" i="13" s="1"/>
  <c r="AI11" i="13"/>
  <c r="AK11" i="13" s="1"/>
  <c r="AF11" i="13"/>
  <c r="AH11" i="13" s="1"/>
  <c r="AE11" i="13"/>
  <c r="AG11" i="13" s="1"/>
  <c r="AB11" i="13"/>
  <c r="AD11" i="13" s="1"/>
  <c r="AA11" i="13"/>
  <c r="AC11" i="13" s="1"/>
  <c r="X11" i="13"/>
  <c r="Z11" i="13" s="1"/>
  <c r="W11" i="13"/>
  <c r="Y11" i="13" s="1"/>
  <c r="T11" i="13"/>
  <c r="V11" i="13" s="1"/>
  <c r="S11" i="13"/>
  <c r="U11" i="13" s="1"/>
  <c r="P11" i="13"/>
  <c r="R11" i="13" s="1"/>
  <c r="O11" i="13"/>
  <c r="Q11" i="13" s="1"/>
  <c r="L11" i="13"/>
  <c r="N11" i="13" s="1"/>
  <c r="K11" i="13"/>
  <c r="M11" i="13" s="1"/>
  <c r="H11" i="13"/>
  <c r="J11" i="13" s="1"/>
  <c r="G11" i="13"/>
  <c r="I11" i="13" s="1"/>
  <c r="E11" i="13"/>
  <c r="D11" i="13"/>
  <c r="C11" i="13"/>
  <c r="AV10" i="13"/>
  <c r="AX10" i="13" s="1"/>
  <c r="AU10" i="13"/>
  <c r="AW10" i="13" s="1"/>
  <c r="AR10" i="13"/>
  <c r="AT10" i="13" s="1"/>
  <c r="AQ10" i="13"/>
  <c r="AS10" i="13" s="1"/>
  <c r="AN10" i="13"/>
  <c r="AP10" i="13" s="1"/>
  <c r="AM10" i="13"/>
  <c r="AO10" i="13" s="1"/>
  <c r="AJ10" i="13"/>
  <c r="AL10" i="13" s="1"/>
  <c r="AI10" i="13"/>
  <c r="AK10" i="13" s="1"/>
  <c r="AF10" i="13"/>
  <c r="AH10" i="13" s="1"/>
  <c r="AE10" i="13"/>
  <c r="AG10" i="13" s="1"/>
  <c r="AB10" i="13"/>
  <c r="AD10" i="13" s="1"/>
  <c r="AA10" i="13"/>
  <c r="AC10" i="13" s="1"/>
  <c r="X10" i="13"/>
  <c r="Z10" i="13" s="1"/>
  <c r="W10" i="13"/>
  <c r="Y10" i="13" s="1"/>
  <c r="T10" i="13"/>
  <c r="V10" i="13" s="1"/>
  <c r="S10" i="13"/>
  <c r="U10" i="13" s="1"/>
  <c r="P10" i="13"/>
  <c r="R10" i="13" s="1"/>
  <c r="O10" i="13"/>
  <c r="Q10" i="13" s="1"/>
  <c r="L10" i="13"/>
  <c r="N10" i="13" s="1"/>
  <c r="K10" i="13"/>
  <c r="M10" i="13" s="1"/>
  <c r="H10" i="13"/>
  <c r="J10" i="13" s="1"/>
  <c r="G10" i="13"/>
  <c r="I10" i="13" s="1"/>
  <c r="E10" i="13"/>
  <c r="D10" i="13"/>
  <c r="AV9" i="13"/>
  <c r="AX9" i="13" s="1"/>
  <c r="AU9" i="13"/>
  <c r="AW9" i="13" s="1"/>
  <c r="AR9" i="13"/>
  <c r="AT9" i="13" s="1"/>
  <c r="AQ9" i="13"/>
  <c r="AS9" i="13" s="1"/>
  <c r="AN9" i="13"/>
  <c r="AP9" i="13" s="1"/>
  <c r="AM9" i="13"/>
  <c r="AO9" i="13" s="1"/>
  <c r="AJ9" i="13"/>
  <c r="AL9" i="13" s="1"/>
  <c r="AI9" i="13"/>
  <c r="AK9" i="13" s="1"/>
  <c r="AF9" i="13"/>
  <c r="AH9" i="13" s="1"/>
  <c r="AE9" i="13"/>
  <c r="AG9" i="13" s="1"/>
  <c r="AB9" i="13"/>
  <c r="AD9" i="13" s="1"/>
  <c r="AA9" i="13"/>
  <c r="AC9" i="13" s="1"/>
  <c r="X9" i="13"/>
  <c r="Z9" i="13" s="1"/>
  <c r="W9" i="13"/>
  <c r="Y9" i="13" s="1"/>
  <c r="T9" i="13"/>
  <c r="V9" i="13" s="1"/>
  <c r="S9" i="13"/>
  <c r="U9" i="13" s="1"/>
  <c r="P9" i="13"/>
  <c r="R9" i="13" s="1"/>
  <c r="O9" i="13"/>
  <c r="Q9" i="13" s="1"/>
  <c r="L9" i="13"/>
  <c r="N9" i="13" s="1"/>
  <c r="K9" i="13"/>
  <c r="M9" i="13" s="1"/>
  <c r="H9" i="13"/>
  <c r="J9" i="13" s="1"/>
  <c r="G9" i="13"/>
  <c r="I9" i="13" s="1"/>
  <c r="E9" i="13"/>
  <c r="D9" i="13"/>
  <c r="C9" i="13"/>
  <c r="AV8" i="13"/>
  <c r="AX8" i="13" s="1"/>
  <c r="AU8" i="13"/>
  <c r="AW8" i="13" s="1"/>
  <c r="AR8" i="13"/>
  <c r="AT8" i="13" s="1"/>
  <c r="AQ8" i="13"/>
  <c r="AS8" i="13" s="1"/>
  <c r="AN8" i="13"/>
  <c r="AP8" i="13" s="1"/>
  <c r="AM8" i="13"/>
  <c r="AO8" i="13" s="1"/>
  <c r="AJ8" i="13"/>
  <c r="AL8" i="13" s="1"/>
  <c r="AI8" i="13"/>
  <c r="AK8" i="13" s="1"/>
  <c r="AF8" i="13"/>
  <c r="AH8" i="13" s="1"/>
  <c r="AE8" i="13"/>
  <c r="AG8" i="13" s="1"/>
  <c r="AB8" i="13"/>
  <c r="AD8" i="13" s="1"/>
  <c r="AA8" i="13"/>
  <c r="AC8" i="13" s="1"/>
  <c r="X8" i="13"/>
  <c r="Z8" i="13" s="1"/>
  <c r="W8" i="13"/>
  <c r="Y8" i="13" s="1"/>
  <c r="T8" i="13"/>
  <c r="V8" i="13" s="1"/>
  <c r="S8" i="13"/>
  <c r="U8" i="13" s="1"/>
  <c r="P8" i="13"/>
  <c r="R8" i="13" s="1"/>
  <c r="O8" i="13"/>
  <c r="Q8" i="13" s="1"/>
  <c r="L8" i="13"/>
  <c r="N8" i="13" s="1"/>
  <c r="K8" i="13"/>
  <c r="M8" i="13" s="1"/>
  <c r="H8" i="13"/>
  <c r="J8" i="13" s="1"/>
  <c r="G8" i="13"/>
  <c r="I8" i="13" s="1"/>
  <c r="E8" i="13"/>
  <c r="D8" i="13"/>
  <c r="C8" i="13"/>
  <c r="AV7" i="13"/>
  <c r="AX7" i="13" s="1"/>
  <c r="AU7" i="13"/>
  <c r="AW7" i="13" s="1"/>
  <c r="AR7" i="13"/>
  <c r="AT7" i="13" s="1"/>
  <c r="AQ7" i="13"/>
  <c r="AS7" i="13" s="1"/>
  <c r="AN7" i="13"/>
  <c r="AP7" i="13" s="1"/>
  <c r="AM7" i="13"/>
  <c r="AO7" i="13" s="1"/>
  <c r="AJ7" i="13"/>
  <c r="AL7" i="13" s="1"/>
  <c r="AI7" i="13"/>
  <c r="AK7" i="13" s="1"/>
  <c r="AF7" i="13"/>
  <c r="AH7" i="13" s="1"/>
  <c r="AE7" i="13"/>
  <c r="AG7" i="13" s="1"/>
  <c r="AB7" i="13"/>
  <c r="AD7" i="13" s="1"/>
  <c r="AA7" i="13"/>
  <c r="AC7" i="13" s="1"/>
  <c r="X7" i="13"/>
  <c r="Z7" i="13" s="1"/>
  <c r="W7" i="13"/>
  <c r="Y7" i="13" s="1"/>
  <c r="T7" i="13"/>
  <c r="V7" i="13" s="1"/>
  <c r="S7" i="13"/>
  <c r="U7" i="13" s="1"/>
  <c r="P7" i="13"/>
  <c r="R7" i="13" s="1"/>
  <c r="O7" i="13"/>
  <c r="Q7" i="13" s="1"/>
  <c r="L7" i="13"/>
  <c r="N7" i="13" s="1"/>
  <c r="K7" i="13"/>
  <c r="M7" i="13" s="1"/>
  <c r="H7" i="13"/>
  <c r="J7" i="13" s="1"/>
  <c r="G7" i="13"/>
  <c r="I7" i="13" s="1"/>
  <c r="E7" i="13"/>
  <c r="D7" i="13"/>
  <c r="C7" i="13"/>
  <c r="AV6" i="13"/>
  <c r="AX6" i="13" s="1"/>
  <c r="AU6" i="13"/>
  <c r="AW6" i="13" s="1"/>
  <c r="AR6" i="13"/>
  <c r="AT6" i="13" s="1"/>
  <c r="AQ6" i="13"/>
  <c r="AS6" i="13" s="1"/>
  <c r="AN6" i="13"/>
  <c r="AP6" i="13" s="1"/>
  <c r="AM6" i="13"/>
  <c r="AO6" i="13" s="1"/>
  <c r="AJ6" i="13"/>
  <c r="AL6" i="13" s="1"/>
  <c r="AI6" i="13"/>
  <c r="AK6" i="13" s="1"/>
  <c r="AF6" i="13"/>
  <c r="AH6" i="13" s="1"/>
  <c r="AE6" i="13"/>
  <c r="AG6" i="13" s="1"/>
  <c r="AB6" i="13"/>
  <c r="AD6" i="13" s="1"/>
  <c r="AA6" i="13"/>
  <c r="AC6" i="13" s="1"/>
  <c r="X6" i="13"/>
  <c r="Z6" i="13" s="1"/>
  <c r="W6" i="13"/>
  <c r="Y6" i="13" s="1"/>
  <c r="T6" i="13"/>
  <c r="V6" i="13" s="1"/>
  <c r="S6" i="13"/>
  <c r="U6" i="13" s="1"/>
  <c r="P6" i="13"/>
  <c r="R6" i="13" s="1"/>
  <c r="O6" i="13"/>
  <c r="Q6" i="13" s="1"/>
  <c r="L6" i="13"/>
  <c r="N6" i="13" s="1"/>
  <c r="K6" i="13"/>
  <c r="M6" i="13" s="1"/>
  <c r="H6" i="13"/>
  <c r="J6" i="13" s="1"/>
  <c r="G6" i="13"/>
  <c r="I6" i="13" s="1"/>
  <c r="E6" i="13"/>
  <c r="D6" i="13"/>
  <c r="C6" i="13"/>
  <c r="AV5" i="13"/>
  <c r="AX5" i="13" s="1"/>
  <c r="AU5" i="13"/>
  <c r="AW5" i="13" s="1"/>
  <c r="AR5" i="13"/>
  <c r="AT5" i="13" s="1"/>
  <c r="AQ5" i="13"/>
  <c r="AS5" i="13" s="1"/>
  <c r="AN5" i="13"/>
  <c r="AP5" i="13" s="1"/>
  <c r="AM5" i="13"/>
  <c r="AO5" i="13" s="1"/>
  <c r="AJ5" i="13"/>
  <c r="AL5" i="13" s="1"/>
  <c r="AI5" i="13"/>
  <c r="AK5" i="13" s="1"/>
  <c r="AF5" i="13"/>
  <c r="AH5" i="13" s="1"/>
  <c r="AE5" i="13"/>
  <c r="AG5" i="13" s="1"/>
  <c r="AB5" i="13"/>
  <c r="AD5" i="13" s="1"/>
  <c r="AA5" i="13"/>
  <c r="AC5" i="13" s="1"/>
  <c r="X5" i="13"/>
  <c r="Z5" i="13" s="1"/>
  <c r="W5" i="13"/>
  <c r="Y5" i="13" s="1"/>
  <c r="T5" i="13"/>
  <c r="V5" i="13" s="1"/>
  <c r="S5" i="13"/>
  <c r="U5" i="13" s="1"/>
  <c r="P5" i="13"/>
  <c r="R5" i="13" s="1"/>
  <c r="O5" i="13"/>
  <c r="Q5" i="13" s="1"/>
  <c r="L5" i="13"/>
  <c r="N5" i="13" s="1"/>
  <c r="K5" i="13"/>
  <c r="M5" i="13" s="1"/>
  <c r="H5" i="13"/>
  <c r="J5" i="13" s="1"/>
  <c r="G5" i="13"/>
  <c r="I5" i="13" s="1"/>
  <c r="E5" i="13"/>
  <c r="D5" i="13"/>
  <c r="C5" i="13"/>
  <c r="AV4" i="13"/>
  <c r="AX4" i="13" s="1"/>
  <c r="AU4" i="13"/>
  <c r="AW4" i="13" s="1"/>
  <c r="AR4" i="13"/>
  <c r="AT4" i="13" s="1"/>
  <c r="AQ4" i="13"/>
  <c r="AS4" i="13" s="1"/>
  <c r="AN4" i="13"/>
  <c r="AP4" i="13" s="1"/>
  <c r="AM4" i="13"/>
  <c r="AO4" i="13" s="1"/>
  <c r="AJ4" i="13"/>
  <c r="AL4" i="13" s="1"/>
  <c r="AI4" i="13"/>
  <c r="AK4" i="13" s="1"/>
  <c r="AF4" i="13"/>
  <c r="AH4" i="13" s="1"/>
  <c r="AE4" i="13"/>
  <c r="AG4" i="13" s="1"/>
  <c r="AB4" i="13"/>
  <c r="AD4" i="13" s="1"/>
  <c r="AA4" i="13"/>
  <c r="AC4" i="13" s="1"/>
  <c r="X4" i="13"/>
  <c r="Z4" i="13" s="1"/>
  <c r="W4" i="13"/>
  <c r="Y4" i="13" s="1"/>
  <c r="T4" i="13"/>
  <c r="V4" i="13" s="1"/>
  <c r="S4" i="13"/>
  <c r="U4" i="13" s="1"/>
  <c r="P4" i="13"/>
  <c r="R4" i="13" s="1"/>
  <c r="O4" i="13"/>
  <c r="Q4" i="13" s="1"/>
  <c r="L4" i="13"/>
  <c r="N4" i="13" s="1"/>
  <c r="K4" i="13"/>
  <c r="M4" i="13" s="1"/>
  <c r="H4" i="13"/>
  <c r="J4" i="13" s="1"/>
  <c r="G4" i="13"/>
  <c r="I4" i="13" s="1"/>
  <c r="E4" i="13"/>
  <c r="D4" i="13"/>
  <c r="C4" i="13"/>
  <c r="AV3" i="13"/>
  <c r="AX3" i="13" s="1"/>
  <c r="AU3" i="13"/>
  <c r="AW3" i="13" s="1"/>
  <c r="AR3" i="13"/>
  <c r="AT3" i="13" s="1"/>
  <c r="AQ3" i="13"/>
  <c r="AS3" i="13" s="1"/>
  <c r="AN3" i="13"/>
  <c r="AP3" i="13" s="1"/>
  <c r="AM3" i="13"/>
  <c r="AO3" i="13" s="1"/>
  <c r="AJ3" i="13"/>
  <c r="AL3" i="13" s="1"/>
  <c r="AI3" i="13"/>
  <c r="AK3" i="13" s="1"/>
  <c r="AF3" i="13"/>
  <c r="AH3" i="13" s="1"/>
  <c r="AE3" i="13"/>
  <c r="AG3" i="13" s="1"/>
  <c r="AB3" i="13"/>
  <c r="AD3" i="13" s="1"/>
  <c r="AA3" i="13"/>
  <c r="AC3" i="13" s="1"/>
  <c r="X3" i="13"/>
  <c r="Z3" i="13" s="1"/>
  <c r="W3" i="13"/>
  <c r="Y3" i="13" s="1"/>
  <c r="T3" i="13"/>
  <c r="V3" i="13" s="1"/>
  <c r="S3" i="13"/>
  <c r="U3" i="13" s="1"/>
  <c r="P3" i="13"/>
  <c r="R3" i="13" s="1"/>
  <c r="O3" i="13"/>
  <c r="Q3" i="13" s="1"/>
  <c r="L3" i="13"/>
  <c r="N3" i="13" s="1"/>
  <c r="K3" i="13"/>
  <c r="M3" i="13" s="1"/>
  <c r="H3" i="13"/>
  <c r="J3" i="13" s="1"/>
  <c r="G3" i="13"/>
  <c r="I3" i="13" s="1"/>
  <c r="E3" i="13"/>
  <c r="D3" i="13"/>
  <c r="C3" i="13"/>
  <c r="AV50" i="12"/>
  <c r="AX50" i="12" s="1"/>
  <c r="AU50" i="12"/>
  <c r="AW50" i="12" s="1"/>
  <c r="AR50" i="12"/>
  <c r="AT50" i="12" s="1"/>
  <c r="AQ50" i="12"/>
  <c r="AS50" i="12" s="1"/>
  <c r="AN50" i="12"/>
  <c r="AP50" i="12" s="1"/>
  <c r="AM50" i="12"/>
  <c r="AO50" i="12" s="1"/>
  <c r="AJ50" i="12"/>
  <c r="AL50" i="12" s="1"/>
  <c r="AI50" i="12"/>
  <c r="AK50" i="12" s="1"/>
  <c r="AF50" i="12"/>
  <c r="AH50" i="12" s="1"/>
  <c r="AE50" i="12"/>
  <c r="AG50" i="12" s="1"/>
  <c r="AB50" i="12"/>
  <c r="AD50" i="12" s="1"/>
  <c r="AA50" i="12"/>
  <c r="AC50" i="12" s="1"/>
  <c r="X50" i="12"/>
  <c r="Z50" i="12" s="1"/>
  <c r="W50" i="12"/>
  <c r="Y50" i="12" s="1"/>
  <c r="T50" i="12"/>
  <c r="V50" i="12" s="1"/>
  <c r="S50" i="12"/>
  <c r="U50" i="12" s="1"/>
  <c r="P50" i="12"/>
  <c r="R50" i="12" s="1"/>
  <c r="O50" i="12"/>
  <c r="Q50" i="12" s="1"/>
  <c r="L50" i="12"/>
  <c r="N50" i="12" s="1"/>
  <c r="K50" i="12"/>
  <c r="M50" i="12" s="1"/>
  <c r="H50" i="12"/>
  <c r="J50" i="12" s="1"/>
  <c r="G50" i="12"/>
  <c r="I50" i="12" s="1"/>
  <c r="E50" i="12"/>
  <c r="D50" i="12"/>
  <c r="C50" i="12"/>
  <c r="AV49" i="12"/>
  <c r="AX49" i="12" s="1"/>
  <c r="AU49" i="12"/>
  <c r="AW49" i="12" s="1"/>
  <c r="AR49" i="12"/>
  <c r="AT49" i="12" s="1"/>
  <c r="AQ49" i="12"/>
  <c r="AS49" i="12" s="1"/>
  <c r="AN49" i="12"/>
  <c r="AP49" i="12" s="1"/>
  <c r="AM49" i="12"/>
  <c r="AO49" i="12" s="1"/>
  <c r="AJ49" i="12"/>
  <c r="AL49" i="12" s="1"/>
  <c r="AI49" i="12"/>
  <c r="AK49" i="12" s="1"/>
  <c r="AF49" i="12"/>
  <c r="AH49" i="12" s="1"/>
  <c r="AE49" i="12"/>
  <c r="AG49" i="12" s="1"/>
  <c r="AB49" i="12"/>
  <c r="AD49" i="12" s="1"/>
  <c r="AA49" i="12"/>
  <c r="AC49" i="12" s="1"/>
  <c r="X49" i="12"/>
  <c r="Z49" i="12" s="1"/>
  <c r="W49" i="12"/>
  <c r="Y49" i="12" s="1"/>
  <c r="T49" i="12"/>
  <c r="V49" i="12" s="1"/>
  <c r="S49" i="12"/>
  <c r="U49" i="12" s="1"/>
  <c r="P49" i="12"/>
  <c r="R49" i="12" s="1"/>
  <c r="O49" i="12"/>
  <c r="Q49" i="12" s="1"/>
  <c r="L49" i="12"/>
  <c r="N49" i="12" s="1"/>
  <c r="K49" i="12"/>
  <c r="M49" i="12" s="1"/>
  <c r="H49" i="12"/>
  <c r="J49" i="12" s="1"/>
  <c r="G49" i="12"/>
  <c r="I49" i="12" s="1"/>
  <c r="E49" i="12"/>
  <c r="D49" i="12"/>
  <c r="C49" i="12"/>
  <c r="AV48" i="12"/>
  <c r="AX48" i="12" s="1"/>
  <c r="AU48" i="12"/>
  <c r="AW48" i="12" s="1"/>
  <c r="AR48" i="12"/>
  <c r="AT48" i="12" s="1"/>
  <c r="AQ48" i="12"/>
  <c r="AS48" i="12" s="1"/>
  <c r="AN48" i="12"/>
  <c r="AP48" i="12" s="1"/>
  <c r="AM48" i="12"/>
  <c r="AO48" i="12" s="1"/>
  <c r="AJ48" i="12"/>
  <c r="AL48" i="12" s="1"/>
  <c r="AI48" i="12"/>
  <c r="AK48" i="12" s="1"/>
  <c r="AF48" i="12"/>
  <c r="AH48" i="12" s="1"/>
  <c r="AE48" i="12"/>
  <c r="AG48" i="12" s="1"/>
  <c r="AB48" i="12"/>
  <c r="AD48" i="12" s="1"/>
  <c r="AA48" i="12"/>
  <c r="AC48" i="12" s="1"/>
  <c r="X48" i="12"/>
  <c r="Z48" i="12" s="1"/>
  <c r="W48" i="12"/>
  <c r="Y48" i="12" s="1"/>
  <c r="T48" i="12"/>
  <c r="V48" i="12" s="1"/>
  <c r="S48" i="12"/>
  <c r="U48" i="12" s="1"/>
  <c r="P48" i="12"/>
  <c r="R48" i="12" s="1"/>
  <c r="O48" i="12"/>
  <c r="Q48" i="12" s="1"/>
  <c r="L48" i="12"/>
  <c r="N48" i="12" s="1"/>
  <c r="K48" i="12"/>
  <c r="M48" i="12" s="1"/>
  <c r="H48" i="12"/>
  <c r="J48" i="12" s="1"/>
  <c r="G48" i="12"/>
  <c r="I48" i="12" s="1"/>
  <c r="E48" i="12"/>
  <c r="D48" i="12"/>
  <c r="C48" i="12"/>
  <c r="AV47" i="12"/>
  <c r="AX47" i="12" s="1"/>
  <c r="AU47" i="12"/>
  <c r="AW47" i="12" s="1"/>
  <c r="AR47" i="12"/>
  <c r="AT47" i="12" s="1"/>
  <c r="AQ47" i="12"/>
  <c r="AS47" i="12" s="1"/>
  <c r="AN47" i="12"/>
  <c r="AP47" i="12" s="1"/>
  <c r="AM47" i="12"/>
  <c r="AO47" i="12" s="1"/>
  <c r="AJ47" i="12"/>
  <c r="AL47" i="12" s="1"/>
  <c r="AI47" i="12"/>
  <c r="AK47" i="12" s="1"/>
  <c r="AF47" i="12"/>
  <c r="AH47" i="12" s="1"/>
  <c r="AE47" i="12"/>
  <c r="AG47" i="12" s="1"/>
  <c r="AB47" i="12"/>
  <c r="AD47" i="12" s="1"/>
  <c r="AA47" i="12"/>
  <c r="AC47" i="12" s="1"/>
  <c r="X47" i="12"/>
  <c r="Z47" i="12" s="1"/>
  <c r="W47" i="12"/>
  <c r="Y47" i="12" s="1"/>
  <c r="T47" i="12"/>
  <c r="V47" i="12" s="1"/>
  <c r="S47" i="12"/>
  <c r="U47" i="12" s="1"/>
  <c r="P47" i="12"/>
  <c r="R47" i="12" s="1"/>
  <c r="O47" i="12"/>
  <c r="Q47" i="12" s="1"/>
  <c r="L47" i="12"/>
  <c r="N47" i="12" s="1"/>
  <c r="K47" i="12"/>
  <c r="M47" i="12" s="1"/>
  <c r="H47" i="12"/>
  <c r="J47" i="12" s="1"/>
  <c r="G47" i="12"/>
  <c r="I47" i="12" s="1"/>
  <c r="E47" i="12"/>
  <c r="D47" i="12"/>
  <c r="C47" i="12"/>
  <c r="AV46" i="12"/>
  <c r="AX46" i="12" s="1"/>
  <c r="AU46" i="12"/>
  <c r="AW46" i="12" s="1"/>
  <c r="AR46" i="12"/>
  <c r="AT46" i="12" s="1"/>
  <c r="AQ46" i="12"/>
  <c r="AS46" i="12" s="1"/>
  <c r="AN46" i="12"/>
  <c r="AP46" i="12" s="1"/>
  <c r="AM46" i="12"/>
  <c r="AO46" i="12" s="1"/>
  <c r="AJ46" i="12"/>
  <c r="AL46" i="12" s="1"/>
  <c r="AI46" i="12"/>
  <c r="AK46" i="12" s="1"/>
  <c r="AF46" i="12"/>
  <c r="AH46" i="12" s="1"/>
  <c r="AE46" i="12"/>
  <c r="AG46" i="12" s="1"/>
  <c r="AB46" i="12"/>
  <c r="AD46" i="12" s="1"/>
  <c r="AA46" i="12"/>
  <c r="AC46" i="12" s="1"/>
  <c r="X46" i="12"/>
  <c r="Z46" i="12" s="1"/>
  <c r="W46" i="12"/>
  <c r="Y46" i="12" s="1"/>
  <c r="T46" i="12"/>
  <c r="V46" i="12" s="1"/>
  <c r="S46" i="12"/>
  <c r="U46" i="12" s="1"/>
  <c r="P46" i="12"/>
  <c r="R46" i="12" s="1"/>
  <c r="O46" i="12"/>
  <c r="Q46" i="12" s="1"/>
  <c r="L46" i="12"/>
  <c r="N46" i="12" s="1"/>
  <c r="K46" i="12"/>
  <c r="M46" i="12" s="1"/>
  <c r="H46" i="12"/>
  <c r="J46" i="12" s="1"/>
  <c r="G46" i="12"/>
  <c r="I46" i="12" s="1"/>
  <c r="E46" i="12"/>
  <c r="D46" i="12"/>
  <c r="C46" i="12"/>
  <c r="AV45" i="12"/>
  <c r="AX45" i="12" s="1"/>
  <c r="AU45" i="12"/>
  <c r="AW45" i="12" s="1"/>
  <c r="AR45" i="12"/>
  <c r="AT45" i="12" s="1"/>
  <c r="AQ45" i="12"/>
  <c r="AS45" i="12" s="1"/>
  <c r="AN45" i="12"/>
  <c r="AP45" i="12" s="1"/>
  <c r="AM45" i="12"/>
  <c r="AO45" i="12" s="1"/>
  <c r="AJ45" i="12"/>
  <c r="AL45" i="12" s="1"/>
  <c r="AI45" i="12"/>
  <c r="AK45" i="12" s="1"/>
  <c r="AF45" i="12"/>
  <c r="AH45" i="12" s="1"/>
  <c r="AE45" i="12"/>
  <c r="AG45" i="12" s="1"/>
  <c r="AB45" i="12"/>
  <c r="AD45" i="12" s="1"/>
  <c r="AA45" i="12"/>
  <c r="AC45" i="12" s="1"/>
  <c r="X45" i="12"/>
  <c r="Z45" i="12" s="1"/>
  <c r="W45" i="12"/>
  <c r="Y45" i="12" s="1"/>
  <c r="T45" i="12"/>
  <c r="V45" i="12" s="1"/>
  <c r="S45" i="12"/>
  <c r="U45" i="12" s="1"/>
  <c r="P45" i="12"/>
  <c r="R45" i="12" s="1"/>
  <c r="O45" i="12"/>
  <c r="Q45" i="12" s="1"/>
  <c r="L45" i="12"/>
  <c r="N45" i="12" s="1"/>
  <c r="K45" i="12"/>
  <c r="M45" i="12" s="1"/>
  <c r="H45" i="12"/>
  <c r="J45" i="12" s="1"/>
  <c r="G45" i="12"/>
  <c r="I45" i="12" s="1"/>
  <c r="E45" i="12"/>
  <c r="D45" i="12"/>
  <c r="C45" i="12"/>
  <c r="AV44" i="12"/>
  <c r="AX44" i="12" s="1"/>
  <c r="AU44" i="12"/>
  <c r="AW44" i="12" s="1"/>
  <c r="AR44" i="12"/>
  <c r="AT44" i="12" s="1"/>
  <c r="AQ44" i="12"/>
  <c r="AS44" i="12" s="1"/>
  <c r="AN44" i="12"/>
  <c r="AP44" i="12" s="1"/>
  <c r="AM44" i="12"/>
  <c r="AO44" i="12" s="1"/>
  <c r="AJ44" i="12"/>
  <c r="AL44" i="12" s="1"/>
  <c r="AI44" i="12"/>
  <c r="AK44" i="12" s="1"/>
  <c r="AF44" i="12"/>
  <c r="AH44" i="12" s="1"/>
  <c r="AE44" i="12"/>
  <c r="AG44" i="12" s="1"/>
  <c r="AB44" i="12"/>
  <c r="AD44" i="12" s="1"/>
  <c r="AA44" i="12"/>
  <c r="AC44" i="12" s="1"/>
  <c r="X44" i="12"/>
  <c r="Z44" i="12" s="1"/>
  <c r="W44" i="12"/>
  <c r="Y44" i="12" s="1"/>
  <c r="T44" i="12"/>
  <c r="V44" i="12" s="1"/>
  <c r="S44" i="12"/>
  <c r="U44" i="12" s="1"/>
  <c r="P44" i="12"/>
  <c r="R44" i="12" s="1"/>
  <c r="O44" i="12"/>
  <c r="Q44" i="12" s="1"/>
  <c r="L44" i="12"/>
  <c r="N44" i="12" s="1"/>
  <c r="K44" i="12"/>
  <c r="M44" i="12" s="1"/>
  <c r="H44" i="12"/>
  <c r="J44" i="12" s="1"/>
  <c r="G44" i="12"/>
  <c r="I44" i="12" s="1"/>
  <c r="E44" i="12"/>
  <c r="D44" i="12"/>
  <c r="C44" i="12"/>
  <c r="AV43" i="12"/>
  <c r="AX43" i="12" s="1"/>
  <c r="AU43" i="12"/>
  <c r="AW43" i="12" s="1"/>
  <c r="AR43" i="12"/>
  <c r="AT43" i="12" s="1"/>
  <c r="AQ43" i="12"/>
  <c r="AS43" i="12" s="1"/>
  <c r="AN43" i="12"/>
  <c r="AP43" i="12" s="1"/>
  <c r="AM43" i="12"/>
  <c r="AO43" i="12" s="1"/>
  <c r="AJ43" i="12"/>
  <c r="AL43" i="12" s="1"/>
  <c r="AI43" i="12"/>
  <c r="AK43" i="12" s="1"/>
  <c r="AF43" i="12"/>
  <c r="AH43" i="12" s="1"/>
  <c r="AE43" i="12"/>
  <c r="AG43" i="12" s="1"/>
  <c r="AB43" i="12"/>
  <c r="AD43" i="12" s="1"/>
  <c r="AA43" i="12"/>
  <c r="AC43" i="12" s="1"/>
  <c r="X43" i="12"/>
  <c r="Z43" i="12" s="1"/>
  <c r="W43" i="12"/>
  <c r="Y43" i="12" s="1"/>
  <c r="T43" i="12"/>
  <c r="V43" i="12" s="1"/>
  <c r="S43" i="12"/>
  <c r="U43" i="12" s="1"/>
  <c r="P43" i="12"/>
  <c r="R43" i="12" s="1"/>
  <c r="O43" i="12"/>
  <c r="Q43" i="12" s="1"/>
  <c r="L43" i="12"/>
  <c r="N43" i="12" s="1"/>
  <c r="K43" i="12"/>
  <c r="M43" i="12" s="1"/>
  <c r="H43" i="12"/>
  <c r="J43" i="12" s="1"/>
  <c r="G43" i="12"/>
  <c r="I43" i="12" s="1"/>
  <c r="E43" i="12"/>
  <c r="D43" i="12"/>
  <c r="C43" i="12"/>
  <c r="AV42" i="12"/>
  <c r="AX42" i="12" s="1"/>
  <c r="AU42" i="12"/>
  <c r="AW42" i="12" s="1"/>
  <c r="AR42" i="12"/>
  <c r="AT42" i="12" s="1"/>
  <c r="AQ42" i="12"/>
  <c r="AS42" i="12" s="1"/>
  <c r="AN42" i="12"/>
  <c r="AP42" i="12" s="1"/>
  <c r="AM42" i="12"/>
  <c r="AO42" i="12" s="1"/>
  <c r="AJ42" i="12"/>
  <c r="AL42" i="12" s="1"/>
  <c r="AI42" i="12"/>
  <c r="AK42" i="12" s="1"/>
  <c r="AF42" i="12"/>
  <c r="AH42" i="12" s="1"/>
  <c r="AE42" i="12"/>
  <c r="AG42" i="12" s="1"/>
  <c r="AB42" i="12"/>
  <c r="AD42" i="12" s="1"/>
  <c r="AA42" i="12"/>
  <c r="AC42" i="12" s="1"/>
  <c r="X42" i="12"/>
  <c r="Z42" i="12" s="1"/>
  <c r="W42" i="12"/>
  <c r="Y42" i="12" s="1"/>
  <c r="T42" i="12"/>
  <c r="V42" i="12" s="1"/>
  <c r="S42" i="12"/>
  <c r="U42" i="12" s="1"/>
  <c r="P42" i="12"/>
  <c r="R42" i="12" s="1"/>
  <c r="O42" i="12"/>
  <c r="Q42" i="12" s="1"/>
  <c r="L42" i="12"/>
  <c r="N42" i="12" s="1"/>
  <c r="K42" i="12"/>
  <c r="M42" i="12" s="1"/>
  <c r="H42" i="12"/>
  <c r="J42" i="12" s="1"/>
  <c r="G42" i="12"/>
  <c r="I42" i="12" s="1"/>
  <c r="E42" i="12"/>
  <c r="D42" i="12"/>
  <c r="C42" i="12"/>
  <c r="AV41" i="12"/>
  <c r="AX41" i="12" s="1"/>
  <c r="AU41" i="12"/>
  <c r="AW41" i="12" s="1"/>
  <c r="AR41" i="12"/>
  <c r="AT41" i="12" s="1"/>
  <c r="AQ41" i="12"/>
  <c r="AS41" i="12" s="1"/>
  <c r="AN41" i="12"/>
  <c r="AP41" i="12" s="1"/>
  <c r="AM41" i="12"/>
  <c r="AO41" i="12" s="1"/>
  <c r="AJ41" i="12"/>
  <c r="AL41" i="12" s="1"/>
  <c r="AI41" i="12"/>
  <c r="AK41" i="12" s="1"/>
  <c r="AF41" i="12"/>
  <c r="AH41" i="12" s="1"/>
  <c r="AE41" i="12"/>
  <c r="AG41" i="12" s="1"/>
  <c r="AB41" i="12"/>
  <c r="AD41" i="12" s="1"/>
  <c r="AA41" i="12"/>
  <c r="AC41" i="12" s="1"/>
  <c r="X41" i="12"/>
  <c r="Z41" i="12" s="1"/>
  <c r="W41" i="12"/>
  <c r="Y41" i="12" s="1"/>
  <c r="T41" i="12"/>
  <c r="V41" i="12" s="1"/>
  <c r="S41" i="12"/>
  <c r="U41" i="12" s="1"/>
  <c r="P41" i="12"/>
  <c r="R41" i="12" s="1"/>
  <c r="O41" i="12"/>
  <c r="Q41" i="12" s="1"/>
  <c r="L41" i="12"/>
  <c r="N41" i="12" s="1"/>
  <c r="K41" i="12"/>
  <c r="M41" i="12" s="1"/>
  <c r="H41" i="12"/>
  <c r="J41" i="12" s="1"/>
  <c r="G41" i="12"/>
  <c r="I41" i="12" s="1"/>
  <c r="E41" i="12"/>
  <c r="D41" i="12"/>
  <c r="C41" i="12"/>
  <c r="AV40" i="12"/>
  <c r="AX40" i="12" s="1"/>
  <c r="AU40" i="12"/>
  <c r="AW40" i="12" s="1"/>
  <c r="AR40" i="12"/>
  <c r="AT40" i="12" s="1"/>
  <c r="AQ40" i="12"/>
  <c r="AS40" i="12" s="1"/>
  <c r="AN40" i="12"/>
  <c r="AP40" i="12" s="1"/>
  <c r="AM40" i="12"/>
  <c r="AO40" i="12" s="1"/>
  <c r="AJ40" i="12"/>
  <c r="AL40" i="12" s="1"/>
  <c r="AI40" i="12"/>
  <c r="AK40" i="12" s="1"/>
  <c r="AF40" i="12"/>
  <c r="AH40" i="12" s="1"/>
  <c r="AE40" i="12"/>
  <c r="AG40" i="12" s="1"/>
  <c r="AB40" i="12"/>
  <c r="AD40" i="12" s="1"/>
  <c r="AA40" i="12"/>
  <c r="AC40" i="12" s="1"/>
  <c r="X40" i="12"/>
  <c r="Z40" i="12" s="1"/>
  <c r="W40" i="12"/>
  <c r="Y40" i="12" s="1"/>
  <c r="T40" i="12"/>
  <c r="V40" i="12" s="1"/>
  <c r="S40" i="12"/>
  <c r="U40" i="12" s="1"/>
  <c r="P40" i="12"/>
  <c r="R40" i="12" s="1"/>
  <c r="O40" i="12"/>
  <c r="Q40" i="12" s="1"/>
  <c r="L40" i="12"/>
  <c r="N40" i="12" s="1"/>
  <c r="K40" i="12"/>
  <c r="M40" i="12" s="1"/>
  <c r="H40" i="12"/>
  <c r="J40" i="12" s="1"/>
  <c r="G40" i="12"/>
  <c r="I40" i="12" s="1"/>
  <c r="E40" i="12"/>
  <c r="D40" i="12"/>
  <c r="C40" i="12"/>
  <c r="AV39" i="12"/>
  <c r="AX39" i="12" s="1"/>
  <c r="AU39" i="12"/>
  <c r="AW39" i="12" s="1"/>
  <c r="AR39" i="12"/>
  <c r="AT39" i="12" s="1"/>
  <c r="AQ39" i="12"/>
  <c r="AS39" i="12" s="1"/>
  <c r="AN39" i="12"/>
  <c r="AP39" i="12" s="1"/>
  <c r="AM39" i="12"/>
  <c r="AO39" i="12" s="1"/>
  <c r="AJ39" i="12"/>
  <c r="AL39" i="12" s="1"/>
  <c r="AI39" i="12"/>
  <c r="AK39" i="12" s="1"/>
  <c r="AF39" i="12"/>
  <c r="AH39" i="12" s="1"/>
  <c r="AE39" i="12"/>
  <c r="AG39" i="12" s="1"/>
  <c r="AB39" i="12"/>
  <c r="AD39" i="12" s="1"/>
  <c r="AA39" i="12"/>
  <c r="AC39" i="12" s="1"/>
  <c r="X39" i="12"/>
  <c r="Z39" i="12" s="1"/>
  <c r="W39" i="12"/>
  <c r="Y39" i="12" s="1"/>
  <c r="T39" i="12"/>
  <c r="V39" i="12" s="1"/>
  <c r="S39" i="12"/>
  <c r="U39" i="12" s="1"/>
  <c r="P39" i="12"/>
  <c r="R39" i="12" s="1"/>
  <c r="O39" i="12"/>
  <c r="Q39" i="12" s="1"/>
  <c r="L39" i="12"/>
  <c r="N39" i="12" s="1"/>
  <c r="K39" i="12"/>
  <c r="M39" i="12" s="1"/>
  <c r="H39" i="12"/>
  <c r="J39" i="12" s="1"/>
  <c r="G39" i="12"/>
  <c r="I39" i="12" s="1"/>
  <c r="E39" i="12"/>
  <c r="D39" i="12"/>
  <c r="C39" i="12"/>
  <c r="AV38" i="12"/>
  <c r="AX38" i="12" s="1"/>
  <c r="AU38" i="12"/>
  <c r="AW38" i="12" s="1"/>
  <c r="AR38" i="12"/>
  <c r="AT38" i="12" s="1"/>
  <c r="AQ38" i="12"/>
  <c r="AS38" i="12" s="1"/>
  <c r="AN38" i="12"/>
  <c r="AP38" i="12" s="1"/>
  <c r="AM38" i="12"/>
  <c r="AO38" i="12" s="1"/>
  <c r="AJ38" i="12"/>
  <c r="AL38" i="12" s="1"/>
  <c r="AI38" i="12"/>
  <c r="AK38" i="12" s="1"/>
  <c r="AF38" i="12"/>
  <c r="AH38" i="12" s="1"/>
  <c r="AE38" i="12"/>
  <c r="AG38" i="12" s="1"/>
  <c r="AB38" i="12"/>
  <c r="AD38" i="12" s="1"/>
  <c r="AA38" i="12"/>
  <c r="AC38" i="12" s="1"/>
  <c r="X38" i="12"/>
  <c r="Z38" i="12" s="1"/>
  <c r="W38" i="12"/>
  <c r="Y38" i="12" s="1"/>
  <c r="T38" i="12"/>
  <c r="V38" i="12" s="1"/>
  <c r="S38" i="12"/>
  <c r="U38" i="12" s="1"/>
  <c r="P38" i="12"/>
  <c r="R38" i="12" s="1"/>
  <c r="O38" i="12"/>
  <c r="Q38" i="12" s="1"/>
  <c r="L38" i="12"/>
  <c r="N38" i="12" s="1"/>
  <c r="K38" i="12"/>
  <c r="M38" i="12" s="1"/>
  <c r="H38" i="12"/>
  <c r="J38" i="12" s="1"/>
  <c r="G38" i="12"/>
  <c r="I38" i="12" s="1"/>
  <c r="E38" i="12"/>
  <c r="D38" i="12"/>
  <c r="C38" i="12"/>
  <c r="AV37" i="12"/>
  <c r="AX37" i="12" s="1"/>
  <c r="AU37" i="12"/>
  <c r="AW37" i="12" s="1"/>
  <c r="AR37" i="12"/>
  <c r="AT37" i="12" s="1"/>
  <c r="AQ37" i="12"/>
  <c r="AS37" i="12" s="1"/>
  <c r="AN37" i="12"/>
  <c r="AP37" i="12" s="1"/>
  <c r="AM37" i="12"/>
  <c r="AO37" i="12" s="1"/>
  <c r="AJ37" i="12"/>
  <c r="AL37" i="12" s="1"/>
  <c r="AI37" i="12"/>
  <c r="AK37" i="12" s="1"/>
  <c r="AF37" i="12"/>
  <c r="AH37" i="12" s="1"/>
  <c r="AE37" i="12"/>
  <c r="AG37" i="12" s="1"/>
  <c r="AB37" i="12"/>
  <c r="AD37" i="12" s="1"/>
  <c r="AA37" i="12"/>
  <c r="AC37" i="12" s="1"/>
  <c r="X37" i="12"/>
  <c r="Z37" i="12" s="1"/>
  <c r="W37" i="12"/>
  <c r="Y37" i="12" s="1"/>
  <c r="T37" i="12"/>
  <c r="V37" i="12" s="1"/>
  <c r="S37" i="12"/>
  <c r="U37" i="12" s="1"/>
  <c r="P37" i="12"/>
  <c r="R37" i="12" s="1"/>
  <c r="O37" i="12"/>
  <c r="Q37" i="12" s="1"/>
  <c r="L37" i="12"/>
  <c r="N37" i="12" s="1"/>
  <c r="K37" i="12"/>
  <c r="M37" i="12" s="1"/>
  <c r="H37" i="12"/>
  <c r="J37" i="12" s="1"/>
  <c r="G37" i="12"/>
  <c r="I37" i="12" s="1"/>
  <c r="E37" i="12"/>
  <c r="D37" i="12"/>
  <c r="C37" i="12"/>
  <c r="AV36" i="12"/>
  <c r="AX36" i="12" s="1"/>
  <c r="AU36" i="12"/>
  <c r="AW36" i="12" s="1"/>
  <c r="AR36" i="12"/>
  <c r="AT36" i="12" s="1"/>
  <c r="AQ36" i="12"/>
  <c r="AS36" i="12" s="1"/>
  <c r="AN36" i="12"/>
  <c r="AP36" i="12" s="1"/>
  <c r="AM36" i="12"/>
  <c r="AO36" i="12" s="1"/>
  <c r="AJ36" i="12"/>
  <c r="AL36" i="12" s="1"/>
  <c r="AI36" i="12"/>
  <c r="AK36" i="12" s="1"/>
  <c r="AF36" i="12"/>
  <c r="AH36" i="12" s="1"/>
  <c r="AE36" i="12"/>
  <c r="AG36" i="12" s="1"/>
  <c r="AB36" i="12"/>
  <c r="AD36" i="12" s="1"/>
  <c r="AA36" i="12"/>
  <c r="AC36" i="12" s="1"/>
  <c r="X36" i="12"/>
  <c r="Z36" i="12" s="1"/>
  <c r="W36" i="12"/>
  <c r="Y36" i="12" s="1"/>
  <c r="T36" i="12"/>
  <c r="V36" i="12" s="1"/>
  <c r="S36" i="12"/>
  <c r="U36" i="12" s="1"/>
  <c r="P36" i="12"/>
  <c r="R36" i="12" s="1"/>
  <c r="O36" i="12"/>
  <c r="Q36" i="12" s="1"/>
  <c r="L36" i="12"/>
  <c r="N36" i="12" s="1"/>
  <c r="K36" i="12"/>
  <c r="M36" i="12" s="1"/>
  <c r="H36" i="12"/>
  <c r="J36" i="12" s="1"/>
  <c r="G36" i="12"/>
  <c r="I36" i="12" s="1"/>
  <c r="E36" i="12"/>
  <c r="D36" i="12"/>
  <c r="C36" i="12"/>
  <c r="AV35" i="12"/>
  <c r="AX35" i="12" s="1"/>
  <c r="AU35" i="12"/>
  <c r="AW35" i="12" s="1"/>
  <c r="AR35" i="12"/>
  <c r="AT35" i="12" s="1"/>
  <c r="AQ35" i="12"/>
  <c r="AS35" i="12" s="1"/>
  <c r="AN35" i="12"/>
  <c r="AP35" i="12" s="1"/>
  <c r="AM35" i="12"/>
  <c r="AO35" i="12" s="1"/>
  <c r="AJ35" i="12"/>
  <c r="AL35" i="12" s="1"/>
  <c r="AI35" i="12"/>
  <c r="AK35" i="12" s="1"/>
  <c r="AF35" i="12"/>
  <c r="AH35" i="12" s="1"/>
  <c r="AE35" i="12"/>
  <c r="AG35" i="12" s="1"/>
  <c r="AB35" i="12"/>
  <c r="AD35" i="12" s="1"/>
  <c r="AA35" i="12"/>
  <c r="AC35" i="12" s="1"/>
  <c r="X35" i="12"/>
  <c r="Z35" i="12" s="1"/>
  <c r="W35" i="12"/>
  <c r="Y35" i="12" s="1"/>
  <c r="T35" i="12"/>
  <c r="V35" i="12" s="1"/>
  <c r="S35" i="12"/>
  <c r="U35" i="12" s="1"/>
  <c r="P35" i="12"/>
  <c r="R35" i="12" s="1"/>
  <c r="O35" i="12"/>
  <c r="Q35" i="12" s="1"/>
  <c r="L35" i="12"/>
  <c r="N35" i="12" s="1"/>
  <c r="K35" i="12"/>
  <c r="M35" i="12" s="1"/>
  <c r="H35" i="12"/>
  <c r="J35" i="12" s="1"/>
  <c r="G35" i="12"/>
  <c r="I35" i="12" s="1"/>
  <c r="E35" i="12"/>
  <c r="D35" i="12"/>
  <c r="C35" i="12"/>
  <c r="AV34" i="12"/>
  <c r="AX34" i="12" s="1"/>
  <c r="AU34" i="12"/>
  <c r="AW34" i="12" s="1"/>
  <c r="AR34" i="12"/>
  <c r="AT34" i="12" s="1"/>
  <c r="AQ34" i="12"/>
  <c r="AS34" i="12" s="1"/>
  <c r="AN34" i="12"/>
  <c r="AP34" i="12" s="1"/>
  <c r="AM34" i="12"/>
  <c r="AO34" i="12" s="1"/>
  <c r="AJ34" i="12"/>
  <c r="AL34" i="12" s="1"/>
  <c r="AI34" i="12"/>
  <c r="AK34" i="12" s="1"/>
  <c r="AF34" i="12"/>
  <c r="AH34" i="12" s="1"/>
  <c r="AE34" i="12"/>
  <c r="AG34" i="12" s="1"/>
  <c r="AB34" i="12"/>
  <c r="AD34" i="12" s="1"/>
  <c r="AA34" i="12"/>
  <c r="AC34" i="12" s="1"/>
  <c r="X34" i="12"/>
  <c r="Z34" i="12" s="1"/>
  <c r="W34" i="12"/>
  <c r="Y34" i="12" s="1"/>
  <c r="T34" i="12"/>
  <c r="V34" i="12" s="1"/>
  <c r="S34" i="12"/>
  <c r="U34" i="12" s="1"/>
  <c r="P34" i="12"/>
  <c r="R34" i="12" s="1"/>
  <c r="O34" i="12"/>
  <c r="Q34" i="12" s="1"/>
  <c r="L34" i="12"/>
  <c r="N34" i="12" s="1"/>
  <c r="K34" i="12"/>
  <c r="M34" i="12" s="1"/>
  <c r="H34" i="12"/>
  <c r="J34" i="12" s="1"/>
  <c r="G34" i="12"/>
  <c r="I34" i="12" s="1"/>
  <c r="E34" i="12"/>
  <c r="D34" i="12"/>
  <c r="C34" i="12"/>
  <c r="AV33" i="12"/>
  <c r="AX33" i="12" s="1"/>
  <c r="AU33" i="12"/>
  <c r="AW33" i="12" s="1"/>
  <c r="AR33" i="12"/>
  <c r="AT33" i="12" s="1"/>
  <c r="AQ33" i="12"/>
  <c r="AS33" i="12" s="1"/>
  <c r="AN33" i="12"/>
  <c r="AP33" i="12" s="1"/>
  <c r="AM33" i="12"/>
  <c r="AO33" i="12" s="1"/>
  <c r="AJ33" i="12"/>
  <c r="AL33" i="12" s="1"/>
  <c r="AI33" i="12"/>
  <c r="AK33" i="12" s="1"/>
  <c r="AF33" i="12"/>
  <c r="AH33" i="12" s="1"/>
  <c r="AE33" i="12"/>
  <c r="AG33" i="12" s="1"/>
  <c r="AB33" i="12"/>
  <c r="AD33" i="12" s="1"/>
  <c r="AA33" i="12"/>
  <c r="AC33" i="12" s="1"/>
  <c r="X33" i="12"/>
  <c r="Z33" i="12" s="1"/>
  <c r="W33" i="12"/>
  <c r="Y33" i="12" s="1"/>
  <c r="T33" i="12"/>
  <c r="V33" i="12" s="1"/>
  <c r="S33" i="12"/>
  <c r="U33" i="12" s="1"/>
  <c r="P33" i="12"/>
  <c r="R33" i="12" s="1"/>
  <c r="O33" i="12"/>
  <c r="Q33" i="12" s="1"/>
  <c r="L33" i="12"/>
  <c r="N33" i="12" s="1"/>
  <c r="K33" i="12"/>
  <c r="M33" i="12" s="1"/>
  <c r="H33" i="12"/>
  <c r="J33" i="12" s="1"/>
  <c r="G33" i="12"/>
  <c r="I33" i="12" s="1"/>
  <c r="E33" i="12"/>
  <c r="D33" i="12"/>
  <c r="C33" i="12"/>
  <c r="AV32" i="12"/>
  <c r="AX32" i="12" s="1"/>
  <c r="AU32" i="12"/>
  <c r="AW32" i="12" s="1"/>
  <c r="AR32" i="12"/>
  <c r="AT32" i="12" s="1"/>
  <c r="AQ32" i="12"/>
  <c r="AS32" i="12" s="1"/>
  <c r="AN32" i="12"/>
  <c r="AP32" i="12" s="1"/>
  <c r="AM32" i="12"/>
  <c r="AO32" i="12" s="1"/>
  <c r="AJ32" i="12"/>
  <c r="AL32" i="12" s="1"/>
  <c r="AI32" i="12"/>
  <c r="AK32" i="12" s="1"/>
  <c r="AF32" i="12"/>
  <c r="AH32" i="12" s="1"/>
  <c r="AE32" i="12"/>
  <c r="AG32" i="12" s="1"/>
  <c r="AB32" i="12"/>
  <c r="AD32" i="12" s="1"/>
  <c r="AA32" i="12"/>
  <c r="AC32" i="12" s="1"/>
  <c r="X32" i="12"/>
  <c r="Z32" i="12" s="1"/>
  <c r="W32" i="12"/>
  <c r="Y32" i="12" s="1"/>
  <c r="T32" i="12"/>
  <c r="V32" i="12" s="1"/>
  <c r="S32" i="12"/>
  <c r="U32" i="12" s="1"/>
  <c r="P32" i="12"/>
  <c r="R32" i="12" s="1"/>
  <c r="O32" i="12"/>
  <c r="Q32" i="12" s="1"/>
  <c r="L32" i="12"/>
  <c r="N32" i="12" s="1"/>
  <c r="K32" i="12"/>
  <c r="M32" i="12" s="1"/>
  <c r="H32" i="12"/>
  <c r="J32" i="12" s="1"/>
  <c r="G32" i="12"/>
  <c r="I32" i="12" s="1"/>
  <c r="E32" i="12"/>
  <c r="D32" i="12"/>
  <c r="C32" i="12"/>
  <c r="AV31" i="12"/>
  <c r="AX31" i="12" s="1"/>
  <c r="AU31" i="12"/>
  <c r="AW31" i="12" s="1"/>
  <c r="AR31" i="12"/>
  <c r="AT31" i="12" s="1"/>
  <c r="AQ31" i="12"/>
  <c r="AS31" i="12" s="1"/>
  <c r="AN31" i="12"/>
  <c r="AP31" i="12" s="1"/>
  <c r="AM31" i="12"/>
  <c r="AO31" i="12" s="1"/>
  <c r="AJ31" i="12"/>
  <c r="AL31" i="12" s="1"/>
  <c r="AI31" i="12"/>
  <c r="AK31" i="12" s="1"/>
  <c r="AF31" i="12"/>
  <c r="AH31" i="12" s="1"/>
  <c r="AE31" i="12"/>
  <c r="AG31" i="12" s="1"/>
  <c r="AB31" i="12"/>
  <c r="AD31" i="12" s="1"/>
  <c r="AA31" i="12"/>
  <c r="AC31" i="12" s="1"/>
  <c r="X31" i="12"/>
  <c r="Z31" i="12" s="1"/>
  <c r="W31" i="12"/>
  <c r="Y31" i="12" s="1"/>
  <c r="T31" i="12"/>
  <c r="V31" i="12" s="1"/>
  <c r="S31" i="12"/>
  <c r="U31" i="12" s="1"/>
  <c r="P31" i="12"/>
  <c r="R31" i="12" s="1"/>
  <c r="O31" i="12"/>
  <c r="Q31" i="12" s="1"/>
  <c r="L31" i="12"/>
  <c r="N31" i="12" s="1"/>
  <c r="K31" i="12"/>
  <c r="M31" i="12" s="1"/>
  <c r="H31" i="12"/>
  <c r="J31" i="12" s="1"/>
  <c r="G31" i="12"/>
  <c r="I31" i="12" s="1"/>
  <c r="E31" i="12"/>
  <c r="D31" i="12"/>
  <c r="C31" i="12"/>
  <c r="AV30" i="12"/>
  <c r="AX30" i="12" s="1"/>
  <c r="AU30" i="12"/>
  <c r="AW30" i="12" s="1"/>
  <c r="AR30" i="12"/>
  <c r="AT30" i="12" s="1"/>
  <c r="AQ30" i="12"/>
  <c r="AS30" i="12" s="1"/>
  <c r="AN30" i="12"/>
  <c r="AP30" i="12" s="1"/>
  <c r="AM30" i="12"/>
  <c r="AO30" i="12" s="1"/>
  <c r="AJ30" i="12"/>
  <c r="AL30" i="12" s="1"/>
  <c r="AI30" i="12"/>
  <c r="AK30" i="12" s="1"/>
  <c r="AF30" i="12"/>
  <c r="AH30" i="12" s="1"/>
  <c r="AE30" i="12"/>
  <c r="AG30" i="12" s="1"/>
  <c r="AB30" i="12"/>
  <c r="AD30" i="12" s="1"/>
  <c r="AA30" i="12"/>
  <c r="AC30" i="12" s="1"/>
  <c r="X30" i="12"/>
  <c r="Z30" i="12" s="1"/>
  <c r="W30" i="12"/>
  <c r="Y30" i="12" s="1"/>
  <c r="T30" i="12"/>
  <c r="V30" i="12" s="1"/>
  <c r="S30" i="12"/>
  <c r="U30" i="12" s="1"/>
  <c r="P30" i="12"/>
  <c r="R30" i="12" s="1"/>
  <c r="O30" i="12"/>
  <c r="Q30" i="12" s="1"/>
  <c r="L30" i="12"/>
  <c r="N30" i="12" s="1"/>
  <c r="K30" i="12"/>
  <c r="M30" i="12" s="1"/>
  <c r="H30" i="12"/>
  <c r="J30" i="12" s="1"/>
  <c r="G30" i="12"/>
  <c r="I30" i="12" s="1"/>
  <c r="E30" i="12"/>
  <c r="D30" i="12"/>
  <c r="C30" i="12"/>
  <c r="AV29" i="12"/>
  <c r="AX29" i="12" s="1"/>
  <c r="AU29" i="12"/>
  <c r="AW29" i="12" s="1"/>
  <c r="AR29" i="12"/>
  <c r="AT29" i="12" s="1"/>
  <c r="AQ29" i="12"/>
  <c r="AS29" i="12" s="1"/>
  <c r="AN29" i="12"/>
  <c r="AP29" i="12" s="1"/>
  <c r="AM29" i="12"/>
  <c r="AO29" i="12" s="1"/>
  <c r="AJ29" i="12"/>
  <c r="AL29" i="12" s="1"/>
  <c r="AI29" i="12"/>
  <c r="AK29" i="12" s="1"/>
  <c r="AF29" i="12"/>
  <c r="AH29" i="12" s="1"/>
  <c r="AE29" i="12"/>
  <c r="AG29" i="12" s="1"/>
  <c r="AB29" i="12"/>
  <c r="AD29" i="12" s="1"/>
  <c r="AA29" i="12"/>
  <c r="AC29" i="12" s="1"/>
  <c r="X29" i="12"/>
  <c r="Z29" i="12" s="1"/>
  <c r="W29" i="12"/>
  <c r="Y29" i="12" s="1"/>
  <c r="T29" i="12"/>
  <c r="V29" i="12" s="1"/>
  <c r="S29" i="12"/>
  <c r="U29" i="12" s="1"/>
  <c r="P29" i="12"/>
  <c r="R29" i="12" s="1"/>
  <c r="O29" i="12"/>
  <c r="Q29" i="12" s="1"/>
  <c r="L29" i="12"/>
  <c r="N29" i="12" s="1"/>
  <c r="K29" i="12"/>
  <c r="M29" i="12" s="1"/>
  <c r="H29" i="12"/>
  <c r="J29" i="12" s="1"/>
  <c r="G29" i="12"/>
  <c r="I29" i="12" s="1"/>
  <c r="E29" i="12"/>
  <c r="D29" i="12"/>
  <c r="C29" i="12"/>
  <c r="AV28" i="12"/>
  <c r="AX28" i="12" s="1"/>
  <c r="AU28" i="12"/>
  <c r="AW28" i="12" s="1"/>
  <c r="AR28" i="12"/>
  <c r="AT28" i="12" s="1"/>
  <c r="AQ28" i="12"/>
  <c r="AS28" i="12" s="1"/>
  <c r="AN28" i="12"/>
  <c r="AP28" i="12" s="1"/>
  <c r="AM28" i="12"/>
  <c r="AO28" i="12" s="1"/>
  <c r="AJ28" i="12"/>
  <c r="AL28" i="12" s="1"/>
  <c r="AI28" i="12"/>
  <c r="AK28" i="12" s="1"/>
  <c r="AF28" i="12"/>
  <c r="AH28" i="12" s="1"/>
  <c r="AE28" i="12"/>
  <c r="AG28" i="12" s="1"/>
  <c r="AB28" i="12"/>
  <c r="AD28" i="12" s="1"/>
  <c r="AA28" i="12"/>
  <c r="AC28" i="12" s="1"/>
  <c r="X28" i="12"/>
  <c r="Z28" i="12" s="1"/>
  <c r="W28" i="12"/>
  <c r="Y28" i="12" s="1"/>
  <c r="T28" i="12"/>
  <c r="V28" i="12" s="1"/>
  <c r="S28" i="12"/>
  <c r="U28" i="12" s="1"/>
  <c r="P28" i="12"/>
  <c r="R28" i="12" s="1"/>
  <c r="O28" i="12"/>
  <c r="Q28" i="12" s="1"/>
  <c r="L28" i="12"/>
  <c r="N28" i="12" s="1"/>
  <c r="K28" i="12"/>
  <c r="M28" i="12" s="1"/>
  <c r="H28" i="12"/>
  <c r="J28" i="12" s="1"/>
  <c r="G28" i="12"/>
  <c r="I28" i="12" s="1"/>
  <c r="E28" i="12"/>
  <c r="D28" i="12"/>
  <c r="C28" i="12"/>
  <c r="AV27" i="12"/>
  <c r="AX27" i="12" s="1"/>
  <c r="AU27" i="12"/>
  <c r="AW27" i="12" s="1"/>
  <c r="AR27" i="12"/>
  <c r="AT27" i="12" s="1"/>
  <c r="AQ27" i="12"/>
  <c r="AS27" i="12" s="1"/>
  <c r="AN27" i="12"/>
  <c r="AP27" i="12" s="1"/>
  <c r="AM27" i="12"/>
  <c r="AO27" i="12" s="1"/>
  <c r="AJ27" i="12"/>
  <c r="AL27" i="12" s="1"/>
  <c r="AI27" i="12"/>
  <c r="AK27" i="12" s="1"/>
  <c r="AF27" i="12"/>
  <c r="AH27" i="12" s="1"/>
  <c r="AE27" i="12"/>
  <c r="AG27" i="12" s="1"/>
  <c r="AB27" i="12"/>
  <c r="AD27" i="12" s="1"/>
  <c r="AA27" i="12"/>
  <c r="AC27" i="12" s="1"/>
  <c r="X27" i="12"/>
  <c r="Z27" i="12" s="1"/>
  <c r="W27" i="12"/>
  <c r="Y27" i="12" s="1"/>
  <c r="T27" i="12"/>
  <c r="V27" i="12" s="1"/>
  <c r="S27" i="12"/>
  <c r="U27" i="12" s="1"/>
  <c r="P27" i="12"/>
  <c r="R27" i="12" s="1"/>
  <c r="O27" i="12"/>
  <c r="Q27" i="12" s="1"/>
  <c r="L27" i="12"/>
  <c r="N27" i="12" s="1"/>
  <c r="K27" i="12"/>
  <c r="M27" i="12" s="1"/>
  <c r="H27" i="12"/>
  <c r="J27" i="12" s="1"/>
  <c r="G27" i="12"/>
  <c r="I27" i="12" s="1"/>
  <c r="E27" i="12"/>
  <c r="D27" i="12"/>
  <c r="C27" i="12"/>
  <c r="AV26" i="12"/>
  <c r="AX26" i="12" s="1"/>
  <c r="AU26" i="12"/>
  <c r="AW26" i="12" s="1"/>
  <c r="AR26" i="12"/>
  <c r="AT26" i="12" s="1"/>
  <c r="AQ26" i="12"/>
  <c r="AS26" i="12" s="1"/>
  <c r="AN26" i="12"/>
  <c r="AP26" i="12" s="1"/>
  <c r="AM26" i="12"/>
  <c r="AO26" i="12" s="1"/>
  <c r="AJ26" i="12"/>
  <c r="AL26" i="12" s="1"/>
  <c r="AI26" i="12"/>
  <c r="AK26" i="12" s="1"/>
  <c r="AF26" i="12"/>
  <c r="AH26" i="12" s="1"/>
  <c r="AE26" i="12"/>
  <c r="AG26" i="12" s="1"/>
  <c r="AB26" i="12"/>
  <c r="AD26" i="12" s="1"/>
  <c r="AA26" i="12"/>
  <c r="AC26" i="12" s="1"/>
  <c r="X26" i="12"/>
  <c r="Z26" i="12" s="1"/>
  <c r="W26" i="12"/>
  <c r="Y26" i="12" s="1"/>
  <c r="T26" i="12"/>
  <c r="V26" i="12" s="1"/>
  <c r="S26" i="12"/>
  <c r="U26" i="12" s="1"/>
  <c r="P26" i="12"/>
  <c r="R26" i="12" s="1"/>
  <c r="O26" i="12"/>
  <c r="Q26" i="12" s="1"/>
  <c r="L26" i="12"/>
  <c r="N26" i="12" s="1"/>
  <c r="K26" i="12"/>
  <c r="M26" i="12" s="1"/>
  <c r="H26" i="12"/>
  <c r="J26" i="12" s="1"/>
  <c r="G26" i="12"/>
  <c r="I26" i="12" s="1"/>
  <c r="E26" i="12"/>
  <c r="D26" i="12"/>
  <c r="C26" i="12"/>
  <c r="AV25" i="12"/>
  <c r="AX25" i="12" s="1"/>
  <c r="AU25" i="12"/>
  <c r="AW25" i="12" s="1"/>
  <c r="AR25" i="12"/>
  <c r="AT25" i="12" s="1"/>
  <c r="AQ25" i="12"/>
  <c r="AS25" i="12" s="1"/>
  <c r="AN25" i="12"/>
  <c r="AP25" i="12" s="1"/>
  <c r="AM25" i="12"/>
  <c r="AO25" i="12" s="1"/>
  <c r="AJ25" i="12"/>
  <c r="AL25" i="12" s="1"/>
  <c r="AI25" i="12"/>
  <c r="AK25" i="12" s="1"/>
  <c r="AF25" i="12"/>
  <c r="AH25" i="12" s="1"/>
  <c r="AE25" i="12"/>
  <c r="AG25" i="12" s="1"/>
  <c r="AB25" i="12"/>
  <c r="AD25" i="12" s="1"/>
  <c r="AA25" i="12"/>
  <c r="AC25" i="12" s="1"/>
  <c r="X25" i="12"/>
  <c r="Z25" i="12" s="1"/>
  <c r="W25" i="12"/>
  <c r="Y25" i="12" s="1"/>
  <c r="T25" i="12"/>
  <c r="V25" i="12" s="1"/>
  <c r="S25" i="12"/>
  <c r="U25" i="12" s="1"/>
  <c r="P25" i="12"/>
  <c r="R25" i="12" s="1"/>
  <c r="O25" i="12"/>
  <c r="Q25" i="12" s="1"/>
  <c r="L25" i="12"/>
  <c r="N25" i="12" s="1"/>
  <c r="K25" i="12"/>
  <c r="M25" i="12" s="1"/>
  <c r="H25" i="12"/>
  <c r="J25" i="12" s="1"/>
  <c r="G25" i="12"/>
  <c r="I25" i="12" s="1"/>
  <c r="E25" i="12"/>
  <c r="D25" i="12"/>
  <c r="C25" i="12"/>
  <c r="AV24" i="12"/>
  <c r="AX24" i="12" s="1"/>
  <c r="AU24" i="12"/>
  <c r="AW24" i="12" s="1"/>
  <c r="AR24" i="12"/>
  <c r="AT24" i="12" s="1"/>
  <c r="AQ24" i="12"/>
  <c r="AS24" i="12" s="1"/>
  <c r="AN24" i="12"/>
  <c r="AP24" i="12" s="1"/>
  <c r="AM24" i="12"/>
  <c r="AO24" i="12" s="1"/>
  <c r="AJ24" i="12"/>
  <c r="AL24" i="12" s="1"/>
  <c r="AI24" i="12"/>
  <c r="AK24" i="12" s="1"/>
  <c r="AF24" i="12"/>
  <c r="AH24" i="12" s="1"/>
  <c r="AE24" i="12"/>
  <c r="AG24" i="12" s="1"/>
  <c r="AB24" i="12"/>
  <c r="AD24" i="12" s="1"/>
  <c r="AA24" i="12"/>
  <c r="AC24" i="12" s="1"/>
  <c r="X24" i="12"/>
  <c r="Z24" i="12" s="1"/>
  <c r="W24" i="12"/>
  <c r="Y24" i="12" s="1"/>
  <c r="T24" i="12"/>
  <c r="V24" i="12" s="1"/>
  <c r="S24" i="12"/>
  <c r="U24" i="12" s="1"/>
  <c r="P24" i="12"/>
  <c r="R24" i="12" s="1"/>
  <c r="O24" i="12"/>
  <c r="Q24" i="12" s="1"/>
  <c r="L24" i="12"/>
  <c r="N24" i="12" s="1"/>
  <c r="K24" i="12"/>
  <c r="M24" i="12" s="1"/>
  <c r="H24" i="12"/>
  <c r="J24" i="12" s="1"/>
  <c r="G24" i="12"/>
  <c r="I24" i="12" s="1"/>
  <c r="E24" i="12"/>
  <c r="D24" i="12"/>
  <c r="C24" i="12"/>
  <c r="AV23" i="12"/>
  <c r="AX23" i="12" s="1"/>
  <c r="AU23" i="12"/>
  <c r="AW23" i="12" s="1"/>
  <c r="AR23" i="12"/>
  <c r="AT23" i="12" s="1"/>
  <c r="AQ23" i="12"/>
  <c r="AS23" i="12" s="1"/>
  <c r="AN23" i="12"/>
  <c r="AP23" i="12" s="1"/>
  <c r="AM23" i="12"/>
  <c r="AO23" i="12" s="1"/>
  <c r="AJ23" i="12"/>
  <c r="AL23" i="12" s="1"/>
  <c r="AI23" i="12"/>
  <c r="AK23" i="12" s="1"/>
  <c r="AF23" i="12"/>
  <c r="AH23" i="12" s="1"/>
  <c r="AE23" i="12"/>
  <c r="AG23" i="12" s="1"/>
  <c r="AB23" i="12"/>
  <c r="AD23" i="12" s="1"/>
  <c r="AA23" i="12"/>
  <c r="AC23" i="12" s="1"/>
  <c r="X23" i="12"/>
  <c r="Z23" i="12" s="1"/>
  <c r="W23" i="12"/>
  <c r="Y23" i="12" s="1"/>
  <c r="T23" i="12"/>
  <c r="V23" i="12" s="1"/>
  <c r="S23" i="12"/>
  <c r="U23" i="12" s="1"/>
  <c r="P23" i="12"/>
  <c r="R23" i="12" s="1"/>
  <c r="O23" i="12"/>
  <c r="Q23" i="12" s="1"/>
  <c r="L23" i="12"/>
  <c r="N23" i="12" s="1"/>
  <c r="K23" i="12"/>
  <c r="M23" i="12" s="1"/>
  <c r="H23" i="12"/>
  <c r="J23" i="12" s="1"/>
  <c r="G23" i="12"/>
  <c r="I23" i="12" s="1"/>
  <c r="E23" i="12"/>
  <c r="D23" i="12"/>
  <c r="C23" i="12"/>
  <c r="AV22" i="12"/>
  <c r="AX22" i="12" s="1"/>
  <c r="AU22" i="12"/>
  <c r="AW22" i="12" s="1"/>
  <c r="AR22" i="12"/>
  <c r="AT22" i="12" s="1"/>
  <c r="AQ22" i="12"/>
  <c r="AS22" i="12" s="1"/>
  <c r="AN22" i="12"/>
  <c r="AP22" i="12" s="1"/>
  <c r="AM22" i="12"/>
  <c r="AO22" i="12" s="1"/>
  <c r="AJ22" i="12"/>
  <c r="AL22" i="12" s="1"/>
  <c r="AI22" i="12"/>
  <c r="AK22" i="12" s="1"/>
  <c r="AF22" i="12"/>
  <c r="AH22" i="12" s="1"/>
  <c r="AE22" i="12"/>
  <c r="AG22" i="12" s="1"/>
  <c r="AB22" i="12"/>
  <c r="AD22" i="12" s="1"/>
  <c r="AA22" i="12"/>
  <c r="AC22" i="12" s="1"/>
  <c r="X22" i="12"/>
  <c r="Z22" i="12" s="1"/>
  <c r="W22" i="12"/>
  <c r="Y22" i="12" s="1"/>
  <c r="T22" i="12"/>
  <c r="V22" i="12" s="1"/>
  <c r="S22" i="12"/>
  <c r="U22" i="12" s="1"/>
  <c r="P22" i="12"/>
  <c r="R22" i="12" s="1"/>
  <c r="O22" i="12"/>
  <c r="Q22" i="12" s="1"/>
  <c r="L22" i="12"/>
  <c r="N22" i="12" s="1"/>
  <c r="K22" i="12"/>
  <c r="M22" i="12" s="1"/>
  <c r="H22" i="12"/>
  <c r="J22" i="12" s="1"/>
  <c r="G22" i="12"/>
  <c r="I22" i="12" s="1"/>
  <c r="E22" i="12"/>
  <c r="D22" i="12"/>
  <c r="C22" i="12"/>
  <c r="AV21" i="12"/>
  <c r="AX21" i="12" s="1"/>
  <c r="AU21" i="12"/>
  <c r="AW21" i="12" s="1"/>
  <c r="AR21" i="12"/>
  <c r="AT21" i="12" s="1"/>
  <c r="AQ21" i="12"/>
  <c r="AS21" i="12" s="1"/>
  <c r="AN21" i="12"/>
  <c r="AP21" i="12" s="1"/>
  <c r="AM21" i="12"/>
  <c r="AO21" i="12" s="1"/>
  <c r="AJ21" i="12"/>
  <c r="AL21" i="12" s="1"/>
  <c r="AI21" i="12"/>
  <c r="AK21" i="12" s="1"/>
  <c r="AF21" i="12"/>
  <c r="AH21" i="12" s="1"/>
  <c r="AE21" i="12"/>
  <c r="AG21" i="12" s="1"/>
  <c r="AB21" i="12"/>
  <c r="AD21" i="12" s="1"/>
  <c r="AA21" i="12"/>
  <c r="AC21" i="12" s="1"/>
  <c r="X21" i="12"/>
  <c r="Z21" i="12" s="1"/>
  <c r="W21" i="12"/>
  <c r="Y21" i="12" s="1"/>
  <c r="T21" i="12"/>
  <c r="V21" i="12" s="1"/>
  <c r="S21" i="12"/>
  <c r="U21" i="12" s="1"/>
  <c r="P21" i="12"/>
  <c r="R21" i="12" s="1"/>
  <c r="O21" i="12"/>
  <c r="Q21" i="12" s="1"/>
  <c r="L21" i="12"/>
  <c r="N21" i="12" s="1"/>
  <c r="K21" i="12"/>
  <c r="M21" i="12" s="1"/>
  <c r="H21" i="12"/>
  <c r="J21" i="12" s="1"/>
  <c r="G21" i="12"/>
  <c r="I21" i="12" s="1"/>
  <c r="E21" i="12"/>
  <c r="D21" i="12"/>
  <c r="C21" i="12"/>
  <c r="AV20" i="12"/>
  <c r="AX20" i="12" s="1"/>
  <c r="AU20" i="12"/>
  <c r="AW20" i="12" s="1"/>
  <c r="AR20" i="12"/>
  <c r="AT20" i="12" s="1"/>
  <c r="AQ20" i="12"/>
  <c r="AS20" i="12" s="1"/>
  <c r="AN20" i="12"/>
  <c r="AP20" i="12" s="1"/>
  <c r="AM20" i="12"/>
  <c r="AO20" i="12" s="1"/>
  <c r="AJ20" i="12"/>
  <c r="AL20" i="12" s="1"/>
  <c r="AI20" i="12"/>
  <c r="AK20" i="12" s="1"/>
  <c r="AF20" i="12"/>
  <c r="AH20" i="12" s="1"/>
  <c r="AE20" i="12"/>
  <c r="AG20" i="12" s="1"/>
  <c r="AB20" i="12"/>
  <c r="AD20" i="12" s="1"/>
  <c r="AA20" i="12"/>
  <c r="AC20" i="12" s="1"/>
  <c r="X20" i="12"/>
  <c r="Z20" i="12" s="1"/>
  <c r="W20" i="12"/>
  <c r="Y20" i="12" s="1"/>
  <c r="T20" i="12"/>
  <c r="V20" i="12" s="1"/>
  <c r="S20" i="12"/>
  <c r="U20" i="12" s="1"/>
  <c r="P20" i="12"/>
  <c r="R20" i="12" s="1"/>
  <c r="O20" i="12"/>
  <c r="Q20" i="12" s="1"/>
  <c r="L20" i="12"/>
  <c r="N20" i="12" s="1"/>
  <c r="K20" i="12"/>
  <c r="M20" i="12" s="1"/>
  <c r="H20" i="12"/>
  <c r="J20" i="12" s="1"/>
  <c r="G20" i="12"/>
  <c r="I20" i="12" s="1"/>
  <c r="E20" i="12"/>
  <c r="D20" i="12"/>
  <c r="C20" i="12"/>
  <c r="AV19" i="12"/>
  <c r="AX19" i="12" s="1"/>
  <c r="AU19" i="12"/>
  <c r="AW19" i="12" s="1"/>
  <c r="AR19" i="12"/>
  <c r="AT19" i="12" s="1"/>
  <c r="AQ19" i="12"/>
  <c r="AS19" i="12" s="1"/>
  <c r="AN19" i="12"/>
  <c r="AP19" i="12" s="1"/>
  <c r="AM19" i="12"/>
  <c r="AO19" i="12" s="1"/>
  <c r="AJ19" i="12"/>
  <c r="AL19" i="12" s="1"/>
  <c r="AI19" i="12"/>
  <c r="AK19" i="12" s="1"/>
  <c r="AF19" i="12"/>
  <c r="AH19" i="12" s="1"/>
  <c r="AE19" i="12"/>
  <c r="AG19" i="12" s="1"/>
  <c r="AB19" i="12"/>
  <c r="AD19" i="12" s="1"/>
  <c r="AA19" i="12"/>
  <c r="AC19" i="12" s="1"/>
  <c r="X19" i="12"/>
  <c r="Z19" i="12" s="1"/>
  <c r="W19" i="12"/>
  <c r="Y19" i="12" s="1"/>
  <c r="T19" i="12"/>
  <c r="V19" i="12" s="1"/>
  <c r="S19" i="12"/>
  <c r="U19" i="12" s="1"/>
  <c r="P19" i="12"/>
  <c r="R19" i="12" s="1"/>
  <c r="O19" i="12"/>
  <c r="Q19" i="12" s="1"/>
  <c r="L19" i="12"/>
  <c r="N19" i="12" s="1"/>
  <c r="K19" i="12"/>
  <c r="M19" i="12" s="1"/>
  <c r="H19" i="12"/>
  <c r="J19" i="12" s="1"/>
  <c r="G19" i="12"/>
  <c r="I19" i="12" s="1"/>
  <c r="E19" i="12"/>
  <c r="D19" i="12"/>
  <c r="C19" i="12"/>
  <c r="AV18" i="12"/>
  <c r="AX18" i="12" s="1"/>
  <c r="AU18" i="12"/>
  <c r="AW18" i="12" s="1"/>
  <c r="AR18" i="12"/>
  <c r="AT18" i="12" s="1"/>
  <c r="AQ18" i="12"/>
  <c r="AS18" i="12" s="1"/>
  <c r="AN18" i="12"/>
  <c r="AP18" i="12" s="1"/>
  <c r="AM18" i="12"/>
  <c r="AO18" i="12" s="1"/>
  <c r="AJ18" i="12"/>
  <c r="AL18" i="12" s="1"/>
  <c r="AI18" i="12"/>
  <c r="AK18" i="12" s="1"/>
  <c r="AF18" i="12"/>
  <c r="AH18" i="12" s="1"/>
  <c r="AE18" i="12"/>
  <c r="AG18" i="12" s="1"/>
  <c r="AB18" i="12"/>
  <c r="AD18" i="12" s="1"/>
  <c r="AA18" i="12"/>
  <c r="AC18" i="12" s="1"/>
  <c r="X18" i="12"/>
  <c r="Z18" i="12" s="1"/>
  <c r="W18" i="12"/>
  <c r="Y18" i="12" s="1"/>
  <c r="T18" i="12"/>
  <c r="V18" i="12" s="1"/>
  <c r="S18" i="12"/>
  <c r="U18" i="12" s="1"/>
  <c r="P18" i="12"/>
  <c r="R18" i="12" s="1"/>
  <c r="O18" i="12"/>
  <c r="Q18" i="12" s="1"/>
  <c r="L18" i="12"/>
  <c r="N18" i="12" s="1"/>
  <c r="K18" i="12"/>
  <c r="M18" i="12" s="1"/>
  <c r="H18" i="12"/>
  <c r="J18" i="12" s="1"/>
  <c r="G18" i="12"/>
  <c r="I18" i="12" s="1"/>
  <c r="E18" i="12"/>
  <c r="D18" i="12"/>
  <c r="C18" i="12"/>
  <c r="AV17" i="12"/>
  <c r="AX17" i="12" s="1"/>
  <c r="AU17" i="12"/>
  <c r="AW17" i="12" s="1"/>
  <c r="AR17" i="12"/>
  <c r="AT17" i="12" s="1"/>
  <c r="AQ17" i="12"/>
  <c r="AS17" i="12" s="1"/>
  <c r="AN17" i="12"/>
  <c r="AP17" i="12" s="1"/>
  <c r="AM17" i="12"/>
  <c r="AO17" i="12" s="1"/>
  <c r="AJ17" i="12"/>
  <c r="AL17" i="12" s="1"/>
  <c r="AI17" i="12"/>
  <c r="AK17" i="12" s="1"/>
  <c r="AF17" i="12"/>
  <c r="AH17" i="12" s="1"/>
  <c r="AE17" i="12"/>
  <c r="AG17" i="12" s="1"/>
  <c r="AB17" i="12"/>
  <c r="AD17" i="12" s="1"/>
  <c r="AA17" i="12"/>
  <c r="AC17" i="12" s="1"/>
  <c r="X17" i="12"/>
  <c r="Z17" i="12" s="1"/>
  <c r="W17" i="12"/>
  <c r="Y17" i="12" s="1"/>
  <c r="T17" i="12"/>
  <c r="V17" i="12" s="1"/>
  <c r="S17" i="12"/>
  <c r="U17" i="12" s="1"/>
  <c r="P17" i="12"/>
  <c r="R17" i="12" s="1"/>
  <c r="O17" i="12"/>
  <c r="Q17" i="12" s="1"/>
  <c r="L17" i="12"/>
  <c r="N17" i="12" s="1"/>
  <c r="K17" i="12"/>
  <c r="M17" i="12" s="1"/>
  <c r="H17" i="12"/>
  <c r="J17" i="12" s="1"/>
  <c r="G17" i="12"/>
  <c r="I17" i="12" s="1"/>
  <c r="E17" i="12"/>
  <c r="D17" i="12"/>
  <c r="C17" i="12"/>
  <c r="AV16" i="12"/>
  <c r="AX16" i="12" s="1"/>
  <c r="AU16" i="12"/>
  <c r="AW16" i="12" s="1"/>
  <c r="AR16" i="12"/>
  <c r="AT16" i="12" s="1"/>
  <c r="AQ16" i="12"/>
  <c r="AS16" i="12" s="1"/>
  <c r="AN16" i="12"/>
  <c r="AP16" i="12" s="1"/>
  <c r="AM16" i="12"/>
  <c r="AO16" i="12" s="1"/>
  <c r="AJ16" i="12"/>
  <c r="AL16" i="12" s="1"/>
  <c r="AI16" i="12"/>
  <c r="AK16" i="12" s="1"/>
  <c r="AF16" i="12"/>
  <c r="AH16" i="12" s="1"/>
  <c r="AE16" i="12"/>
  <c r="AG16" i="12" s="1"/>
  <c r="AB16" i="12"/>
  <c r="AD16" i="12" s="1"/>
  <c r="AA16" i="12"/>
  <c r="AC16" i="12" s="1"/>
  <c r="X16" i="12"/>
  <c r="Z16" i="12" s="1"/>
  <c r="W16" i="12"/>
  <c r="Y16" i="12" s="1"/>
  <c r="T16" i="12"/>
  <c r="V16" i="12" s="1"/>
  <c r="S16" i="12"/>
  <c r="U16" i="12" s="1"/>
  <c r="P16" i="12"/>
  <c r="R16" i="12" s="1"/>
  <c r="O16" i="12"/>
  <c r="Q16" i="12" s="1"/>
  <c r="L16" i="12"/>
  <c r="N16" i="12" s="1"/>
  <c r="K16" i="12"/>
  <c r="M16" i="12" s="1"/>
  <c r="H16" i="12"/>
  <c r="J16" i="12" s="1"/>
  <c r="G16" i="12"/>
  <c r="I16" i="12" s="1"/>
  <c r="E16" i="12"/>
  <c r="D16" i="12"/>
  <c r="C16" i="12"/>
  <c r="AV15" i="12"/>
  <c r="AX15" i="12" s="1"/>
  <c r="AU15" i="12"/>
  <c r="AW15" i="12" s="1"/>
  <c r="AR15" i="12"/>
  <c r="AT15" i="12" s="1"/>
  <c r="AQ15" i="12"/>
  <c r="AS15" i="12" s="1"/>
  <c r="AN15" i="12"/>
  <c r="AP15" i="12" s="1"/>
  <c r="AM15" i="12"/>
  <c r="AO15" i="12" s="1"/>
  <c r="AJ15" i="12"/>
  <c r="AL15" i="12" s="1"/>
  <c r="AI15" i="12"/>
  <c r="AK15" i="12" s="1"/>
  <c r="AF15" i="12"/>
  <c r="AH15" i="12" s="1"/>
  <c r="AE15" i="12"/>
  <c r="AG15" i="12" s="1"/>
  <c r="AB15" i="12"/>
  <c r="AD15" i="12" s="1"/>
  <c r="AA15" i="12"/>
  <c r="AC15" i="12" s="1"/>
  <c r="X15" i="12"/>
  <c r="Z15" i="12" s="1"/>
  <c r="W15" i="12"/>
  <c r="Y15" i="12" s="1"/>
  <c r="T15" i="12"/>
  <c r="V15" i="12" s="1"/>
  <c r="S15" i="12"/>
  <c r="U15" i="12" s="1"/>
  <c r="P15" i="12"/>
  <c r="R15" i="12" s="1"/>
  <c r="O15" i="12"/>
  <c r="Q15" i="12" s="1"/>
  <c r="L15" i="12"/>
  <c r="N15" i="12" s="1"/>
  <c r="K15" i="12"/>
  <c r="M15" i="12" s="1"/>
  <c r="H15" i="12"/>
  <c r="J15" i="12" s="1"/>
  <c r="G15" i="12"/>
  <c r="I15" i="12" s="1"/>
  <c r="E15" i="12"/>
  <c r="D15" i="12"/>
  <c r="C15" i="12"/>
  <c r="AV14" i="12"/>
  <c r="AX14" i="12" s="1"/>
  <c r="AU14" i="12"/>
  <c r="AW14" i="12" s="1"/>
  <c r="AR14" i="12"/>
  <c r="AT14" i="12" s="1"/>
  <c r="AQ14" i="12"/>
  <c r="AS14" i="12" s="1"/>
  <c r="AN14" i="12"/>
  <c r="AP14" i="12" s="1"/>
  <c r="AM14" i="12"/>
  <c r="AO14" i="12" s="1"/>
  <c r="AJ14" i="12"/>
  <c r="AL14" i="12" s="1"/>
  <c r="AI14" i="12"/>
  <c r="AK14" i="12" s="1"/>
  <c r="AF14" i="12"/>
  <c r="AH14" i="12" s="1"/>
  <c r="AE14" i="12"/>
  <c r="AG14" i="12" s="1"/>
  <c r="AB14" i="12"/>
  <c r="AD14" i="12" s="1"/>
  <c r="AA14" i="12"/>
  <c r="AC14" i="12" s="1"/>
  <c r="X14" i="12"/>
  <c r="Z14" i="12" s="1"/>
  <c r="W14" i="12"/>
  <c r="Y14" i="12" s="1"/>
  <c r="T14" i="12"/>
  <c r="V14" i="12" s="1"/>
  <c r="S14" i="12"/>
  <c r="U14" i="12" s="1"/>
  <c r="P14" i="12"/>
  <c r="R14" i="12" s="1"/>
  <c r="O14" i="12"/>
  <c r="Q14" i="12" s="1"/>
  <c r="L14" i="12"/>
  <c r="N14" i="12" s="1"/>
  <c r="K14" i="12"/>
  <c r="M14" i="12" s="1"/>
  <c r="H14" i="12"/>
  <c r="J14" i="12" s="1"/>
  <c r="G14" i="12"/>
  <c r="I14" i="12" s="1"/>
  <c r="E14" i="12"/>
  <c r="D14" i="12"/>
  <c r="C14" i="12"/>
  <c r="AV13" i="12"/>
  <c r="AX13" i="12" s="1"/>
  <c r="AU13" i="12"/>
  <c r="AW13" i="12" s="1"/>
  <c r="AR13" i="12"/>
  <c r="AT13" i="12" s="1"/>
  <c r="AQ13" i="12"/>
  <c r="AS13" i="12" s="1"/>
  <c r="AN13" i="12"/>
  <c r="AP13" i="12" s="1"/>
  <c r="AM13" i="12"/>
  <c r="AO13" i="12" s="1"/>
  <c r="AJ13" i="12"/>
  <c r="AL13" i="12" s="1"/>
  <c r="AI13" i="12"/>
  <c r="AK13" i="12" s="1"/>
  <c r="AF13" i="12"/>
  <c r="AH13" i="12" s="1"/>
  <c r="AE13" i="12"/>
  <c r="AG13" i="12" s="1"/>
  <c r="AB13" i="12"/>
  <c r="AD13" i="12" s="1"/>
  <c r="AA13" i="12"/>
  <c r="AC13" i="12" s="1"/>
  <c r="X13" i="12"/>
  <c r="Z13" i="12" s="1"/>
  <c r="W13" i="12"/>
  <c r="Y13" i="12" s="1"/>
  <c r="T13" i="12"/>
  <c r="V13" i="12" s="1"/>
  <c r="S13" i="12"/>
  <c r="U13" i="12" s="1"/>
  <c r="P13" i="12"/>
  <c r="R13" i="12" s="1"/>
  <c r="O13" i="12"/>
  <c r="Q13" i="12" s="1"/>
  <c r="L13" i="12"/>
  <c r="N13" i="12" s="1"/>
  <c r="K13" i="12"/>
  <c r="M13" i="12" s="1"/>
  <c r="H13" i="12"/>
  <c r="J13" i="12" s="1"/>
  <c r="G13" i="12"/>
  <c r="I13" i="12" s="1"/>
  <c r="E13" i="12"/>
  <c r="D13" i="12"/>
  <c r="C13" i="12"/>
  <c r="AV12" i="12"/>
  <c r="AX12" i="12" s="1"/>
  <c r="AU12" i="12"/>
  <c r="AW12" i="12" s="1"/>
  <c r="AR12" i="12"/>
  <c r="AT12" i="12" s="1"/>
  <c r="AQ12" i="12"/>
  <c r="AS12" i="12" s="1"/>
  <c r="AN12" i="12"/>
  <c r="AP12" i="12" s="1"/>
  <c r="AM12" i="12"/>
  <c r="AO12" i="12" s="1"/>
  <c r="AJ12" i="12"/>
  <c r="AL12" i="12" s="1"/>
  <c r="AI12" i="12"/>
  <c r="AK12" i="12" s="1"/>
  <c r="AF12" i="12"/>
  <c r="AH12" i="12" s="1"/>
  <c r="AE12" i="12"/>
  <c r="AG12" i="12" s="1"/>
  <c r="AB12" i="12"/>
  <c r="AD12" i="12" s="1"/>
  <c r="AA12" i="12"/>
  <c r="AC12" i="12" s="1"/>
  <c r="X12" i="12"/>
  <c r="Z12" i="12" s="1"/>
  <c r="W12" i="12"/>
  <c r="Y12" i="12" s="1"/>
  <c r="T12" i="12"/>
  <c r="V12" i="12" s="1"/>
  <c r="S12" i="12"/>
  <c r="U12" i="12" s="1"/>
  <c r="P12" i="12"/>
  <c r="R12" i="12" s="1"/>
  <c r="O12" i="12"/>
  <c r="Q12" i="12" s="1"/>
  <c r="L12" i="12"/>
  <c r="N12" i="12" s="1"/>
  <c r="K12" i="12"/>
  <c r="M12" i="12" s="1"/>
  <c r="H12" i="12"/>
  <c r="J12" i="12" s="1"/>
  <c r="G12" i="12"/>
  <c r="I12" i="12" s="1"/>
  <c r="E12" i="12"/>
  <c r="D12" i="12"/>
  <c r="C12" i="12"/>
  <c r="AV11" i="12"/>
  <c r="AX11" i="12" s="1"/>
  <c r="AU11" i="12"/>
  <c r="AW11" i="12" s="1"/>
  <c r="AR11" i="12"/>
  <c r="AT11" i="12" s="1"/>
  <c r="AQ11" i="12"/>
  <c r="AS11" i="12" s="1"/>
  <c r="AN11" i="12"/>
  <c r="AP11" i="12" s="1"/>
  <c r="AM11" i="12"/>
  <c r="AO11" i="12" s="1"/>
  <c r="AJ11" i="12"/>
  <c r="AL11" i="12" s="1"/>
  <c r="AI11" i="12"/>
  <c r="AK11" i="12" s="1"/>
  <c r="AF11" i="12"/>
  <c r="AH11" i="12" s="1"/>
  <c r="AE11" i="12"/>
  <c r="AG11" i="12" s="1"/>
  <c r="AB11" i="12"/>
  <c r="AD11" i="12" s="1"/>
  <c r="AA11" i="12"/>
  <c r="AC11" i="12" s="1"/>
  <c r="X11" i="12"/>
  <c r="Z11" i="12" s="1"/>
  <c r="W11" i="12"/>
  <c r="Y11" i="12" s="1"/>
  <c r="T11" i="12"/>
  <c r="V11" i="12" s="1"/>
  <c r="S11" i="12"/>
  <c r="U11" i="12" s="1"/>
  <c r="P11" i="12"/>
  <c r="R11" i="12" s="1"/>
  <c r="O11" i="12"/>
  <c r="Q11" i="12" s="1"/>
  <c r="L11" i="12"/>
  <c r="N11" i="12" s="1"/>
  <c r="K11" i="12"/>
  <c r="M11" i="12" s="1"/>
  <c r="H11" i="12"/>
  <c r="J11" i="12" s="1"/>
  <c r="G11" i="12"/>
  <c r="I11" i="12" s="1"/>
  <c r="E11" i="12"/>
  <c r="D11" i="12"/>
  <c r="C11" i="12"/>
  <c r="AV10" i="12"/>
  <c r="AX10" i="12" s="1"/>
  <c r="AU10" i="12"/>
  <c r="AW10" i="12" s="1"/>
  <c r="AR10" i="12"/>
  <c r="AT10" i="12" s="1"/>
  <c r="AQ10" i="12"/>
  <c r="AS10" i="12" s="1"/>
  <c r="AN10" i="12"/>
  <c r="AP10" i="12" s="1"/>
  <c r="AM10" i="12"/>
  <c r="AO10" i="12" s="1"/>
  <c r="AJ10" i="12"/>
  <c r="AL10" i="12" s="1"/>
  <c r="AI10" i="12"/>
  <c r="AK10" i="12" s="1"/>
  <c r="AF10" i="12"/>
  <c r="AH10" i="12" s="1"/>
  <c r="AE10" i="12"/>
  <c r="AG10" i="12" s="1"/>
  <c r="AB10" i="12"/>
  <c r="AD10" i="12" s="1"/>
  <c r="AA10" i="12"/>
  <c r="AC10" i="12" s="1"/>
  <c r="X10" i="12"/>
  <c r="Z10" i="12" s="1"/>
  <c r="W10" i="12"/>
  <c r="Y10" i="12" s="1"/>
  <c r="T10" i="12"/>
  <c r="V10" i="12" s="1"/>
  <c r="S10" i="12"/>
  <c r="U10" i="12" s="1"/>
  <c r="P10" i="12"/>
  <c r="R10" i="12" s="1"/>
  <c r="O10" i="12"/>
  <c r="Q10" i="12" s="1"/>
  <c r="L10" i="12"/>
  <c r="N10" i="12" s="1"/>
  <c r="K10" i="12"/>
  <c r="M10" i="12" s="1"/>
  <c r="H10" i="12"/>
  <c r="J10" i="12" s="1"/>
  <c r="G10" i="12"/>
  <c r="I10" i="12" s="1"/>
  <c r="E10" i="12"/>
  <c r="D10" i="12"/>
  <c r="C10" i="12"/>
  <c r="AV9" i="12"/>
  <c r="AX9" i="12" s="1"/>
  <c r="AU9" i="12"/>
  <c r="AW9" i="12" s="1"/>
  <c r="AR9" i="12"/>
  <c r="AT9" i="12" s="1"/>
  <c r="AQ9" i="12"/>
  <c r="AS9" i="12" s="1"/>
  <c r="AN9" i="12"/>
  <c r="AP9" i="12" s="1"/>
  <c r="AM9" i="12"/>
  <c r="AO9" i="12" s="1"/>
  <c r="AJ9" i="12"/>
  <c r="AL9" i="12" s="1"/>
  <c r="AI9" i="12"/>
  <c r="AK9" i="12" s="1"/>
  <c r="AF9" i="12"/>
  <c r="AH9" i="12" s="1"/>
  <c r="AE9" i="12"/>
  <c r="AG9" i="12" s="1"/>
  <c r="AB9" i="12"/>
  <c r="AD9" i="12" s="1"/>
  <c r="AA9" i="12"/>
  <c r="AC9" i="12" s="1"/>
  <c r="X9" i="12"/>
  <c r="Z9" i="12" s="1"/>
  <c r="W9" i="12"/>
  <c r="Y9" i="12" s="1"/>
  <c r="T9" i="12"/>
  <c r="V9" i="12" s="1"/>
  <c r="S9" i="12"/>
  <c r="U9" i="12" s="1"/>
  <c r="P9" i="12"/>
  <c r="R9" i="12" s="1"/>
  <c r="O9" i="12"/>
  <c r="Q9" i="12" s="1"/>
  <c r="L9" i="12"/>
  <c r="N9" i="12" s="1"/>
  <c r="K9" i="12"/>
  <c r="M9" i="12" s="1"/>
  <c r="H9" i="12"/>
  <c r="J9" i="12" s="1"/>
  <c r="G9" i="12"/>
  <c r="I9" i="12" s="1"/>
  <c r="E9" i="12"/>
  <c r="D9" i="12"/>
  <c r="C9" i="12"/>
  <c r="AV8" i="12"/>
  <c r="AX8" i="12" s="1"/>
  <c r="AU8" i="12"/>
  <c r="AW8" i="12" s="1"/>
  <c r="AR8" i="12"/>
  <c r="AT8" i="12" s="1"/>
  <c r="AQ8" i="12"/>
  <c r="AS8" i="12" s="1"/>
  <c r="AN8" i="12"/>
  <c r="AP8" i="12" s="1"/>
  <c r="AM8" i="12"/>
  <c r="AO8" i="12" s="1"/>
  <c r="AJ8" i="12"/>
  <c r="AL8" i="12" s="1"/>
  <c r="AI8" i="12"/>
  <c r="AK8" i="12" s="1"/>
  <c r="AF8" i="12"/>
  <c r="AH8" i="12" s="1"/>
  <c r="AE8" i="12"/>
  <c r="AG8" i="12" s="1"/>
  <c r="AB8" i="12"/>
  <c r="AD8" i="12" s="1"/>
  <c r="AA8" i="12"/>
  <c r="AC8" i="12" s="1"/>
  <c r="X8" i="12"/>
  <c r="Z8" i="12" s="1"/>
  <c r="W8" i="12"/>
  <c r="Y8" i="12" s="1"/>
  <c r="T8" i="12"/>
  <c r="V8" i="12" s="1"/>
  <c r="S8" i="12"/>
  <c r="U8" i="12" s="1"/>
  <c r="P8" i="12"/>
  <c r="R8" i="12" s="1"/>
  <c r="O8" i="12"/>
  <c r="Q8" i="12" s="1"/>
  <c r="L8" i="12"/>
  <c r="N8" i="12" s="1"/>
  <c r="K8" i="12"/>
  <c r="M8" i="12" s="1"/>
  <c r="H8" i="12"/>
  <c r="J8" i="12" s="1"/>
  <c r="G8" i="12"/>
  <c r="I8" i="12" s="1"/>
  <c r="E8" i="12"/>
  <c r="D8" i="12"/>
  <c r="C8" i="12"/>
  <c r="AV7" i="12"/>
  <c r="AX7" i="12" s="1"/>
  <c r="AU7" i="12"/>
  <c r="AW7" i="12" s="1"/>
  <c r="AR7" i="12"/>
  <c r="AT7" i="12" s="1"/>
  <c r="AQ7" i="12"/>
  <c r="AS7" i="12" s="1"/>
  <c r="AN7" i="12"/>
  <c r="AP7" i="12" s="1"/>
  <c r="AM7" i="12"/>
  <c r="AO7" i="12" s="1"/>
  <c r="AJ7" i="12"/>
  <c r="AL7" i="12" s="1"/>
  <c r="AI7" i="12"/>
  <c r="AK7" i="12" s="1"/>
  <c r="AF7" i="12"/>
  <c r="AH7" i="12" s="1"/>
  <c r="AE7" i="12"/>
  <c r="AG7" i="12" s="1"/>
  <c r="AB7" i="12"/>
  <c r="AD7" i="12" s="1"/>
  <c r="AA7" i="12"/>
  <c r="AC7" i="12" s="1"/>
  <c r="X7" i="12"/>
  <c r="Z7" i="12" s="1"/>
  <c r="W7" i="12"/>
  <c r="Y7" i="12" s="1"/>
  <c r="T7" i="12"/>
  <c r="V7" i="12" s="1"/>
  <c r="S7" i="12"/>
  <c r="U7" i="12" s="1"/>
  <c r="P7" i="12"/>
  <c r="R7" i="12" s="1"/>
  <c r="O7" i="12"/>
  <c r="Q7" i="12" s="1"/>
  <c r="L7" i="12"/>
  <c r="N7" i="12" s="1"/>
  <c r="K7" i="12"/>
  <c r="M7" i="12" s="1"/>
  <c r="H7" i="12"/>
  <c r="J7" i="12" s="1"/>
  <c r="G7" i="12"/>
  <c r="I7" i="12" s="1"/>
  <c r="E7" i="12"/>
  <c r="D7" i="12"/>
  <c r="C7" i="12"/>
  <c r="AV6" i="12"/>
  <c r="AX6" i="12" s="1"/>
  <c r="AU6" i="12"/>
  <c r="AW6" i="12" s="1"/>
  <c r="AR6" i="12"/>
  <c r="AT6" i="12" s="1"/>
  <c r="AQ6" i="12"/>
  <c r="AS6" i="12" s="1"/>
  <c r="AN6" i="12"/>
  <c r="AP6" i="12" s="1"/>
  <c r="AM6" i="12"/>
  <c r="AO6" i="12" s="1"/>
  <c r="AJ6" i="12"/>
  <c r="AL6" i="12" s="1"/>
  <c r="AI6" i="12"/>
  <c r="AK6" i="12" s="1"/>
  <c r="AF6" i="12"/>
  <c r="AH6" i="12" s="1"/>
  <c r="AE6" i="12"/>
  <c r="AG6" i="12" s="1"/>
  <c r="AB6" i="12"/>
  <c r="AD6" i="12" s="1"/>
  <c r="AA6" i="12"/>
  <c r="AC6" i="12" s="1"/>
  <c r="X6" i="12"/>
  <c r="Z6" i="12" s="1"/>
  <c r="W6" i="12"/>
  <c r="Y6" i="12" s="1"/>
  <c r="T6" i="12"/>
  <c r="V6" i="12" s="1"/>
  <c r="S6" i="12"/>
  <c r="U6" i="12" s="1"/>
  <c r="P6" i="12"/>
  <c r="R6" i="12" s="1"/>
  <c r="O6" i="12"/>
  <c r="Q6" i="12" s="1"/>
  <c r="L6" i="12"/>
  <c r="N6" i="12" s="1"/>
  <c r="K6" i="12"/>
  <c r="M6" i="12" s="1"/>
  <c r="H6" i="12"/>
  <c r="J6" i="12" s="1"/>
  <c r="G6" i="12"/>
  <c r="I6" i="12" s="1"/>
  <c r="E6" i="12"/>
  <c r="D6" i="12"/>
  <c r="C6" i="12"/>
  <c r="AV5" i="12"/>
  <c r="AX5" i="12" s="1"/>
  <c r="AU5" i="12"/>
  <c r="AW5" i="12" s="1"/>
  <c r="AR5" i="12"/>
  <c r="AT5" i="12" s="1"/>
  <c r="AQ5" i="12"/>
  <c r="AS5" i="12" s="1"/>
  <c r="AN5" i="12"/>
  <c r="AP5" i="12" s="1"/>
  <c r="AM5" i="12"/>
  <c r="AO5" i="12" s="1"/>
  <c r="AJ5" i="12"/>
  <c r="AL5" i="12" s="1"/>
  <c r="AI5" i="12"/>
  <c r="AK5" i="12" s="1"/>
  <c r="AF5" i="12"/>
  <c r="AH5" i="12" s="1"/>
  <c r="AE5" i="12"/>
  <c r="AG5" i="12" s="1"/>
  <c r="AB5" i="12"/>
  <c r="AD5" i="12" s="1"/>
  <c r="AA5" i="12"/>
  <c r="AC5" i="12" s="1"/>
  <c r="X5" i="12"/>
  <c r="Z5" i="12" s="1"/>
  <c r="W5" i="12"/>
  <c r="Y5" i="12" s="1"/>
  <c r="T5" i="12"/>
  <c r="V5" i="12" s="1"/>
  <c r="S5" i="12"/>
  <c r="U5" i="12" s="1"/>
  <c r="P5" i="12"/>
  <c r="R5" i="12" s="1"/>
  <c r="O5" i="12"/>
  <c r="Q5" i="12" s="1"/>
  <c r="L5" i="12"/>
  <c r="N5" i="12" s="1"/>
  <c r="K5" i="12"/>
  <c r="M5" i="12" s="1"/>
  <c r="H5" i="12"/>
  <c r="J5" i="12" s="1"/>
  <c r="G5" i="12"/>
  <c r="I5" i="12" s="1"/>
  <c r="E5" i="12"/>
  <c r="D5" i="12"/>
  <c r="C5" i="12"/>
  <c r="AV4" i="12"/>
  <c r="AX4" i="12" s="1"/>
  <c r="AU4" i="12"/>
  <c r="AW4" i="12" s="1"/>
  <c r="AR4" i="12"/>
  <c r="AT4" i="12" s="1"/>
  <c r="AQ4" i="12"/>
  <c r="AS4" i="12" s="1"/>
  <c r="AN4" i="12"/>
  <c r="AP4" i="12" s="1"/>
  <c r="AM4" i="12"/>
  <c r="AO4" i="12" s="1"/>
  <c r="AJ4" i="12"/>
  <c r="AL4" i="12" s="1"/>
  <c r="AI4" i="12"/>
  <c r="AK4" i="12" s="1"/>
  <c r="AF4" i="12"/>
  <c r="AH4" i="12" s="1"/>
  <c r="AE4" i="12"/>
  <c r="AG4" i="12" s="1"/>
  <c r="AB4" i="12"/>
  <c r="AD4" i="12" s="1"/>
  <c r="AA4" i="12"/>
  <c r="AC4" i="12" s="1"/>
  <c r="X4" i="12"/>
  <c r="Z4" i="12" s="1"/>
  <c r="W4" i="12"/>
  <c r="Y4" i="12" s="1"/>
  <c r="T4" i="12"/>
  <c r="V4" i="12" s="1"/>
  <c r="S4" i="12"/>
  <c r="U4" i="12" s="1"/>
  <c r="P4" i="12"/>
  <c r="R4" i="12" s="1"/>
  <c r="O4" i="12"/>
  <c r="Q4" i="12" s="1"/>
  <c r="L4" i="12"/>
  <c r="N4" i="12" s="1"/>
  <c r="K4" i="12"/>
  <c r="M4" i="12" s="1"/>
  <c r="H4" i="12"/>
  <c r="J4" i="12" s="1"/>
  <c r="G4" i="12"/>
  <c r="I4" i="12" s="1"/>
  <c r="E4" i="12"/>
  <c r="D4" i="12"/>
  <c r="C4" i="12"/>
  <c r="AV3" i="12"/>
  <c r="AX3" i="12" s="1"/>
  <c r="AU3" i="12"/>
  <c r="AW3" i="12" s="1"/>
  <c r="AR3" i="12"/>
  <c r="AT3" i="12" s="1"/>
  <c r="AQ3" i="12"/>
  <c r="AS3" i="12" s="1"/>
  <c r="AN3" i="12"/>
  <c r="AP3" i="12" s="1"/>
  <c r="AM3" i="12"/>
  <c r="AO3" i="12" s="1"/>
  <c r="AJ3" i="12"/>
  <c r="AL3" i="12" s="1"/>
  <c r="AI3" i="12"/>
  <c r="AK3" i="12" s="1"/>
  <c r="AF3" i="12"/>
  <c r="AH3" i="12" s="1"/>
  <c r="AE3" i="12"/>
  <c r="AG3" i="12" s="1"/>
  <c r="AB3" i="12"/>
  <c r="AD3" i="12" s="1"/>
  <c r="AA3" i="12"/>
  <c r="AC3" i="12" s="1"/>
  <c r="X3" i="12"/>
  <c r="Z3" i="12" s="1"/>
  <c r="W3" i="12"/>
  <c r="Y3" i="12" s="1"/>
  <c r="T3" i="12"/>
  <c r="V3" i="12" s="1"/>
  <c r="S3" i="12"/>
  <c r="U3" i="12" s="1"/>
  <c r="P3" i="12"/>
  <c r="R3" i="12" s="1"/>
  <c r="O3" i="12"/>
  <c r="Q3" i="12" s="1"/>
  <c r="L3" i="12"/>
  <c r="N3" i="12" s="1"/>
  <c r="K3" i="12"/>
  <c r="M3" i="12" s="1"/>
  <c r="H3" i="12"/>
  <c r="J3" i="12" s="1"/>
  <c r="G3" i="12"/>
  <c r="I3" i="12" s="1"/>
  <c r="E3" i="12"/>
  <c r="D3" i="12"/>
  <c r="C3" i="12"/>
  <c r="AV50" i="11"/>
  <c r="AX50" i="11" s="1"/>
  <c r="AU50" i="11"/>
  <c r="AW50" i="11" s="1"/>
  <c r="AR50" i="11"/>
  <c r="AT50" i="11" s="1"/>
  <c r="AQ50" i="11"/>
  <c r="AS50" i="11" s="1"/>
  <c r="AN50" i="11"/>
  <c r="AP50" i="11" s="1"/>
  <c r="AM50" i="11"/>
  <c r="AO50" i="11" s="1"/>
  <c r="AJ50" i="11"/>
  <c r="AL50" i="11" s="1"/>
  <c r="AI50" i="11"/>
  <c r="AK50" i="11" s="1"/>
  <c r="AF50" i="11"/>
  <c r="AH50" i="11" s="1"/>
  <c r="AE50" i="11"/>
  <c r="AG50" i="11" s="1"/>
  <c r="AB50" i="11"/>
  <c r="AD50" i="11" s="1"/>
  <c r="AA50" i="11"/>
  <c r="AC50" i="11" s="1"/>
  <c r="X50" i="11"/>
  <c r="Z50" i="11" s="1"/>
  <c r="W50" i="11"/>
  <c r="Y50" i="11" s="1"/>
  <c r="T50" i="11"/>
  <c r="V50" i="11" s="1"/>
  <c r="S50" i="11"/>
  <c r="U50" i="11" s="1"/>
  <c r="P50" i="11"/>
  <c r="R50" i="11" s="1"/>
  <c r="O50" i="11"/>
  <c r="Q50" i="11" s="1"/>
  <c r="L50" i="11"/>
  <c r="N50" i="11" s="1"/>
  <c r="K50" i="11"/>
  <c r="M50" i="11" s="1"/>
  <c r="H50" i="11"/>
  <c r="J50" i="11" s="1"/>
  <c r="G50" i="11"/>
  <c r="I50" i="11" s="1"/>
  <c r="E50" i="11"/>
  <c r="D50" i="11"/>
  <c r="C50" i="11"/>
  <c r="AV49" i="11"/>
  <c r="AX49" i="11" s="1"/>
  <c r="AU49" i="11"/>
  <c r="AW49" i="11" s="1"/>
  <c r="AR49" i="11"/>
  <c r="AT49" i="11" s="1"/>
  <c r="AQ49" i="11"/>
  <c r="AS49" i="11" s="1"/>
  <c r="AN49" i="11"/>
  <c r="AP49" i="11" s="1"/>
  <c r="AM49" i="11"/>
  <c r="AO49" i="11" s="1"/>
  <c r="AJ49" i="11"/>
  <c r="AL49" i="11" s="1"/>
  <c r="AI49" i="11"/>
  <c r="AK49" i="11" s="1"/>
  <c r="AF49" i="11"/>
  <c r="AH49" i="11" s="1"/>
  <c r="AE49" i="11"/>
  <c r="AG49" i="11" s="1"/>
  <c r="AB49" i="11"/>
  <c r="AD49" i="11" s="1"/>
  <c r="AA49" i="11"/>
  <c r="AC49" i="11" s="1"/>
  <c r="X49" i="11"/>
  <c r="Z49" i="11" s="1"/>
  <c r="W49" i="11"/>
  <c r="Y49" i="11" s="1"/>
  <c r="T49" i="11"/>
  <c r="V49" i="11" s="1"/>
  <c r="S49" i="11"/>
  <c r="U49" i="11" s="1"/>
  <c r="P49" i="11"/>
  <c r="R49" i="11" s="1"/>
  <c r="O49" i="11"/>
  <c r="Q49" i="11" s="1"/>
  <c r="L49" i="11"/>
  <c r="N49" i="11" s="1"/>
  <c r="K49" i="11"/>
  <c r="M49" i="11" s="1"/>
  <c r="H49" i="11"/>
  <c r="J49" i="11" s="1"/>
  <c r="G49" i="11"/>
  <c r="I49" i="11" s="1"/>
  <c r="E49" i="11"/>
  <c r="D49" i="11"/>
  <c r="C49" i="11"/>
  <c r="AV48" i="11"/>
  <c r="AX48" i="11" s="1"/>
  <c r="AU48" i="11"/>
  <c r="AW48" i="11" s="1"/>
  <c r="AR48" i="11"/>
  <c r="AT48" i="11" s="1"/>
  <c r="AQ48" i="11"/>
  <c r="AS48" i="11" s="1"/>
  <c r="AN48" i="11"/>
  <c r="AP48" i="11" s="1"/>
  <c r="AM48" i="11"/>
  <c r="AO48" i="11" s="1"/>
  <c r="AJ48" i="11"/>
  <c r="AL48" i="11" s="1"/>
  <c r="AI48" i="11"/>
  <c r="AK48" i="11" s="1"/>
  <c r="AF48" i="11"/>
  <c r="AH48" i="11" s="1"/>
  <c r="AE48" i="11"/>
  <c r="AG48" i="11" s="1"/>
  <c r="AB48" i="11"/>
  <c r="AD48" i="11" s="1"/>
  <c r="AA48" i="11"/>
  <c r="AC48" i="11" s="1"/>
  <c r="X48" i="11"/>
  <c r="Z48" i="11" s="1"/>
  <c r="W48" i="11"/>
  <c r="Y48" i="11" s="1"/>
  <c r="T48" i="11"/>
  <c r="V48" i="11" s="1"/>
  <c r="S48" i="11"/>
  <c r="U48" i="11" s="1"/>
  <c r="P48" i="11"/>
  <c r="R48" i="11" s="1"/>
  <c r="O48" i="11"/>
  <c r="Q48" i="11" s="1"/>
  <c r="L48" i="11"/>
  <c r="N48" i="11" s="1"/>
  <c r="K48" i="11"/>
  <c r="M48" i="11" s="1"/>
  <c r="H48" i="11"/>
  <c r="J48" i="11" s="1"/>
  <c r="G48" i="11"/>
  <c r="I48" i="11" s="1"/>
  <c r="E48" i="11"/>
  <c r="D48" i="11"/>
  <c r="C48" i="11"/>
  <c r="AV47" i="11"/>
  <c r="AX47" i="11" s="1"/>
  <c r="AU47" i="11"/>
  <c r="AW47" i="11" s="1"/>
  <c r="AR47" i="11"/>
  <c r="AT47" i="11" s="1"/>
  <c r="AQ47" i="11"/>
  <c r="AS47" i="11" s="1"/>
  <c r="AN47" i="11"/>
  <c r="AP47" i="11" s="1"/>
  <c r="AM47" i="11"/>
  <c r="AO47" i="11" s="1"/>
  <c r="AJ47" i="11"/>
  <c r="AL47" i="11" s="1"/>
  <c r="AI47" i="11"/>
  <c r="AK47" i="11" s="1"/>
  <c r="AF47" i="11"/>
  <c r="AH47" i="11" s="1"/>
  <c r="AE47" i="11"/>
  <c r="AG47" i="11" s="1"/>
  <c r="AB47" i="11"/>
  <c r="AD47" i="11" s="1"/>
  <c r="AA47" i="11"/>
  <c r="AC47" i="11" s="1"/>
  <c r="X47" i="11"/>
  <c r="Z47" i="11" s="1"/>
  <c r="W47" i="11"/>
  <c r="Y47" i="11" s="1"/>
  <c r="T47" i="11"/>
  <c r="V47" i="11" s="1"/>
  <c r="S47" i="11"/>
  <c r="U47" i="11" s="1"/>
  <c r="P47" i="11"/>
  <c r="R47" i="11" s="1"/>
  <c r="O47" i="11"/>
  <c r="Q47" i="11" s="1"/>
  <c r="L47" i="11"/>
  <c r="N47" i="11" s="1"/>
  <c r="K47" i="11"/>
  <c r="M47" i="11" s="1"/>
  <c r="H47" i="11"/>
  <c r="J47" i="11" s="1"/>
  <c r="G47" i="11"/>
  <c r="I47" i="11" s="1"/>
  <c r="E47" i="11"/>
  <c r="D47" i="11"/>
  <c r="C47" i="11"/>
  <c r="AV46" i="11"/>
  <c r="AX46" i="11" s="1"/>
  <c r="AU46" i="11"/>
  <c r="AW46" i="11" s="1"/>
  <c r="AR46" i="11"/>
  <c r="AT46" i="11" s="1"/>
  <c r="AQ46" i="11"/>
  <c r="AS46" i="11" s="1"/>
  <c r="AN46" i="11"/>
  <c r="AP46" i="11" s="1"/>
  <c r="AM46" i="11"/>
  <c r="AO46" i="11" s="1"/>
  <c r="AJ46" i="11"/>
  <c r="AL46" i="11" s="1"/>
  <c r="AI46" i="11"/>
  <c r="AK46" i="11" s="1"/>
  <c r="AF46" i="11"/>
  <c r="AH46" i="11" s="1"/>
  <c r="AE46" i="11"/>
  <c r="AG46" i="11" s="1"/>
  <c r="AB46" i="11"/>
  <c r="AD46" i="11" s="1"/>
  <c r="AA46" i="11"/>
  <c r="AC46" i="11" s="1"/>
  <c r="X46" i="11"/>
  <c r="Z46" i="11" s="1"/>
  <c r="W46" i="11"/>
  <c r="Y46" i="11" s="1"/>
  <c r="T46" i="11"/>
  <c r="V46" i="11" s="1"/>
  <c r="S46" i="11"/>
  <c r="U46" i="11" s="1"/>
  <c r="P46" i="11"/>
  <c r="R46" i="11" s="1"/>
  <c r="O46" i="11"/>
  <c r="Q46" i="11" s="1"/>
  <c r="L46" i="11"/>
  <c r="N46" i="11" s="1"/>
  <c r="K46" i="11"/>
  <c r="M46" i="11" s="1"/>
  <c r="H46" i="11"/>
  <c r="J46" i="11" s="1"/>
  <c r="G46" i="11"/>
  <c r="I46" i="11" s="1"/>
  <c r="E46" i="11"/>
  <c r="D46" i="11"/>
  <c r="C46" i="11"/>
  <c r="AV45" i="11"/>
  <c r="AX45" i="11" s="1"/>
  <c r="AU45" i="11"/>
  <c r="AW45" i="11" s="1"/>
  <c r="AR45" i="11"/>
  <c r="AT45" i="11" s="1"/>
  <c r="AQ45" i="11"/>
  <c r="AS45" i="11" s="1"/>
  <c r="AN45" i="11"/>
  <c r="AP45" i="11" s="1"/>
  <c r="AM45" i="11"/>
  <c r="AO45" i="11" s="1"/>
  <c r="AJ45" i="11"/>
  <c r="AL45" i="11" s="1"/>
  <c r="AI45" i="11"/>
  <c r="AK45" i="11" s="1"/>
  <c r="AF45" i="11"/>
  <c r="AH45" i="11" s="1"/>
  <c r="AE45" i="11"/>
  <c r="AG45" i="11" s="1"/>
  <c r="AB45" i="11"/>
  <c r="AD45" i="11" s="1"/>
  <c r="AA45" i="11"/>
  <c r="AC45" i="11" s="1"/>
  <c r="X45" i="11"/>
  <c r="Z45" i="11" s="1"/>
  <c r="W45" i="11"/>
  <c r="Y45" i="11" s="1"/>
  <c r="T45" i="11"/>
  <c r="V45" i="11" s="1"/>
  <c r="S45" i="11"/>
  <c r="U45" i="11" s="1"/>
  <c r="P45" i="11"/>
  <c r="R45" i="11" s="1"/>
  <c r="O45" i="11"/>
  <c r="Q45" i="11" s="1"/>
  <c r="L45" i="11"/>
  <c r="N45" i="11" s="1"/>
  <c r="K45" i="11"/>
  <c r="M45" i="11" s="1"/>
  <c r="H45" i="11"/>
  <c r="J45" i="11" s="1"/>
  <c r="G45" i="11"/>
  <c r="I45" i="11" s="1"/>
  <c r="E45" i="11"/>
  <c r="D45" i="11"/>
  <c r="C45" i="11"/>
  <c r="AV44" i="11"/>
  <c r="AX44" i="11" s="1"/>
  <c r="AU44" i="11"/>
  <c r="AW44" i="11" s="1"/>
  <c r="AR44" i="11"/>
  <c r="AT44" i="11" s="1"/>
  <c r="AQ44" i="11"/>
  <c r="AS44" i="11" s="1"/>
  <c r="AN44" i="11"/>
  <c r="AP44" i="11" s="1"/>
  <c r="AM44" i="11"/>
  <c r="AO44" i="11" s="1"/>
  <c r="AJ44" i="11"/>
  <c r="AL44" i="11" s="1"/>
  <c r="AI44" i="11"/>
  <c r="AK44" i="11" s="1"/>
  <c r="AF44" i="11"/>
  <c r="AH44" i="11" s="1"/>
  <c r="AE44" i="11"/>
  <c r="AG44" i="11" s="1"/>
  <c r="AB44" i="11"/>
  <c r="AD44" i="11" s="1"/>
  <c r="AA44" i="11"/>
  <c r="AC44" i="11" s="1"/>
  <c r="X44" i="11"/>
  <c r="Z44" i="11" s="1"/>
  <c r="W44" i="11"/>
  <c r="Y44" i="11" s="1"/>
  <c r="T44" i="11"/>
  <c r="V44" i="11" s="1"/>
  <c r="S44" i="11"/>
  <c r="U44" i="11" s="1"/>
  <c r="P44" i="11"/>
  <c r="R44" i="11" s="1"/>
  <c r="O44" i="11"/>
  <c r="Q44" i="11" s="1"/>
  <c r="L44" i="11"/>
  <c r="N44" i="11" s="1"/>
  <c r="K44" i="11"/>
  <c r="M44" i="11" s="1"/>
  <c r="H44" i="11"/>
  <c r="J44" i="11" s="1"/>
  <c r="G44" i="11"/>
  <c r="I44" i="11" s="1"/>
  <c r="E44" i="11"/>
  <c r="D44" i="11"/>
  <c r="C44" i="11"/>
  <c r="AV43" i="11"/>
  <c r="AX43" i="11" s="1"/>
  <c r="AU43" i="11"/>
  <c r="AW43" i="11" s="1"/>
  <c r="AR43" i="11"/>
  <c r="AT43" i="11" s="1"/>
  <c r="AQ43" i="11"/>
  <c r="AS43" i="11" s="1"/>
  <c r="AN43" i="11"/>
  <c r="AP43" i="11" s="1"/>
  <c r="AM43" i="11"/>
  <c r="AO43" i="11" s="1"/>
  <c r="AJ43" i="11"/>
  <c r="AL43" i="11" s="1"/>
  <c r="AI43" i="11"/>
  <c r="AK43" i="11" s="1"/>
  <c r="AF43" i="11"/>
  <c r="AH43" i="11" s="1"/>
  <c r="AE43" i="11"/>
  <c r="AG43" i="11" s="1"/>
  <c r="AB43" i="11"/>
  <c r="AD43" i="11" s="1"/>
  <c r="AA43" i="11"/>
  <c r="AC43" i="11" s="1"/>
  <c r="X43" i="11"/>
  <c r="Z43" i="11" s="1"/>
  <c r="W43" i="11"/>
  <c r="Y43" i="11" s="1"/>
  <c r="T43" i="11"/>
  <c r="V43" i="11" s="1"/>
  <c r="S43" i="11"/>
  <c r="U43" i="11" s="1"/>
  <c r="P43" i="11"/>
  <c r="R43" i="11" s="1"/>
  <c r="O43" i="11"/>
  <c r="Q43" i="11" s="1"/>
  <c r="L43" i="11"/>
  <c r="N43" i="11" s="1"/>
  <c r="K43" i="11"/>
  <c r="M43" i="11" s="1"/>
  <c r="H43" i="11"/>
  <c r="J43" i="11" s="1"/>
  <c r="G43" i="11"/>
  <c r="I43" i="11" s="1"/>
  <c r="E43" i="11"/>
  <c r="D43" i="11"/>
  <c r="C43" i="11"/>
  <c r="AV42" i="11"/>
  <c r="AX42" i="11" s="1"/>
  <c r="AU42" i="11"/>
  <c r="AW42" i="11" s="1"/>
  <c r="AR42" i="11"/>
  <c r="AT42" i="11" s="1"/>
  <c r="AQ42" i="11"/>
  <c r="AS42" i="11" s="1"/>
  <c r="AN42" i="11"/>
  <c r="AP42" i="11" s="1"/>
  <c r="AM42" i="11"/>
  <c r="AO42" i="11" s="1"/>
  <c r="AJ42" i="11"/>
  <c r="AL42" i="11" s="1"/>
  <c r="AI42" i="11"/>
  <c r="AK42" i="11" s="1"/>
  <c r="AF42" i="11"/>
  <c r="AH42" i="11" s="1"/>
  <c r="AE42" i="11"/>
  <c r="AG42" i="11" s="1"/>
  <c r="AB42" i="11"/>
  <c r="AD42" i="11" s="1"/>
  <c r="AA42" i="11"/>
  <c r="AC42" i="11" s="1"/>
  <c r="X42" i="11"/>
  <c r="Z42" i="11" s="1"/>
  <c r="W42" i="11"/>
  <c r="Y42" i="11" s="1"/>
  <c r="T42" i="11"/>
  <c r="V42" i="11" s="1"/>
  <c r="S42" i="11"/>
  <c r="U42" i="11" s="1"/>
  <c r="P42" i="11"/>
  <c r="R42" i="11" s="1"/>
  <c r="O42" i="11"/>
  <c r="Q42" i="11" s="1"/>
  <c r="L42" i="11"/>
  <c r="N42" i="11" s="1"/>
  <c r="K42" i="11"/>
  <c r="M42" i="11" s="1"/>
  <c r="H42" i="11"/>
  <c r="J42" i="11" s="1"/>
  <c r="G42" i="11"/>
  <c r="I42" i="11" s="1"/>
  <c r="E42" i="11"/>
  <c r="D42" i="11"/>
  <c r="C42" i="11"/>
  <c r="AV41" i="11"/>
  <c r="AX41" i="11" s="1"/>
  <c r="AU41" i="11"/>
  <c r="AW41" i="11" s="1"/>
  <c r="AR41" i="11"/>
  <c r="AT41" i="11" s="1"/>
  <c r="AQ41" i="11"/>
  <c r="AS41" i="11" s="1"/>
  <c r="AN41" i="11"/>
  <c r="AP41" i="11" s="1"/>
  <c r="AM41" i="11"/>
  <c r="AO41" i="11" s="1"/>
  <c r="AJ41" i="11"/>
  <c r="AL41" i="11" s="1"/>
  <c r="AI41" i="11"/>
  <c r="AK41" i="11" s="1"/>
  <c r="AF41" i="11"/>
  <c r="AH41" i="11" s="1"/>
  <c r="AE41" i="11"/>
  <c r="AG41" i="11" s="1"/>
  <c r="AB41" i="11"/>
  <c r="AD41" i="11" s="1"/>
  <c r="AA41" i="11"/>
  <c r="AC41" i="11" s="1"/>
  <c r="X41" i="11"/>
  <c r="Z41" i="11" s="1"/>
  <c r="W41" i="11"/>
  <c r="Y41" i="11" s="1"/>
  <c r="T41" i="11"/>
  <c r="V41" i="11" s="1"/>
  <c r="S41" i="11"/>
  <c r="U41" i="11" s="1"/>
  <c r="P41" i="11"/>
  <c r="R41" i="11" s="1"/>
  <c r="O41" i="11"/>
  <c r="Q41" i="11" s="1"/>
  <c r="L41" i="11"/>
  <c r="N41" i="11" s="1"/>
  <c r="K41" i="11"/>
  <c r="M41" i="11" s="1"/>
  <c r="H41" i="11"/>
  <c r="J41" i="11" s="1"/>
  <c r="G41" i="11"/>
  <c r="I41" i="11" s="1"/>
  <c r="E41" i="11"/>
  <c r="D41" i="11"/>
  <c r="C41" i="11"/>
  <c r="AV40" i="11"/>
  <c r="AX40" i="11" s="1"/>
  <c r="AU40" i="11"/>
  <c r="AW40" i="11" s="1"/>
  <c r="AR40" i="11"/>
  <c r="AT40" i="11" s="1"/>
  <c r="AQ40" i="11"/>
  <c r="AS40" i="11" s="1"/>
  <c r="AN40" i="11"/>
  <c r="AP40" i="11" s="1"/>
  <c r="AM40" i="11"/>
  <c r="AO40" i="11" s="1"/>
  <c r="AJ40" i="11"/>
  <c r="AL40" i="11" s="1"/>
  <c r="AI40" i="11"/>
  <c r="AK40" i="11" s="1"/>
  <c r="AF40" i="11"/>
  <c r="AH40" i="11" s="1"/>
  <c r="AE40" i="11"/>
  <c r="AG40" i="11" s="1"/>
  <c r="AB40" i="11"/>
  <c r="AD40" i="11" s="1"/>
  <c r="AA40" i="11"/>
  <c r="AC40" i="11" s="1"/>
  <c r="X40" i="11"/>
  <c r="Z40" i="11" s="1"/>
  <c r="W40" i="11"/>
  <c r="Y40" i="11" s="1"/>
  <c r="T40" i="11"/>
  <c r="V40" i="11" s="1"/>
  <c r="S40" i="11"/>
  <c r="U40" i="11" s="1"/>
  <c r="P40" i="11"/>
  <c r="R40" i="11" s="1"/>
  <c r="O40" i="11"/>
  <c r="Q40" i="11" s="1"/>
  <c r="L40" i="11"/>
  <c r="N40" i="11" s="1"/>
  <c r="K40" i="11"/>
  <c r="M40" i="11" s="1"/>
  <c r="H40" i="11"/>
  <c r="J40" i="11" s="1"/>
  <c r="G40" i="11"/>
  <c r="I40" i="11" s="1"/>
  <c r="E40" i="11"/>
  <c r="D40" i="11"/>
  <c r="C40" i="11"/>
  <c r="AV39" i="11"/>
  <c r="AX39" i="11" s="1"/>
  <c r="AU39" i="11"/>
  <c r="AW39" i="11" s="1"/>
  <c r="AR39" i="11"/>
  <c r="AT39" i="11" s="1"/>
  <c r="AQ39" i="11"/>
  <c r="AS39" i="11" s="1"/>
  <c r="AN39" i="11"/>
  <c r="AP39" i="11" s="1"/>
  <c r="AM39" i="11"/>
  <c r="AO39" i="11" s="1"/>
  <c r="AJ39" i="11"/>
  <c r="AL39" i="11" s="1"/>
  <c r="AI39" i="11"/>
  <c r="AK39" i="11" s="1"/>
  <c r="AF39" i="11"/>
  <c r="AH39" i="11" s="1"/>
  <c r="AE39" i="11"/>
  <c r="AG39" i="11" s="1"/>
  <c r="AB39" i="11"/>
  <c r="AD39" i="11" s="1"/>
  <c r="AA39" i="11"/>
  <c r="AC39" i="11" s="1"/>
  <c r="X39" i="11"/>
  <c r="Z39" i="11" s="1"/>
  <c r="W39" i="11"/>
  <c r="Y39" i="11" s="1"/>
  <c r="T39" i="11"/>
  <c r="V39" i="11" s="1"/>
  <c r="S39" i="11"/>
  <c r="U39" i="11" s="1"/>
  <c r="P39" i="11"/>
  <c r="R39" i="11" s="1"/>
  <c r="O39" i="11"/>
  <c r="Q39" i="11" s="1"/>
  <c r="L39" i="11"/>
  <c r="N39" i="11" s="1"/>
  <c r="K39" i="11"/>
  <c r="M39" i="11" s="1"/>
  <c r="H39" i="11"/>
  <c r="J39" i="11" s="1"/>
  <c r="G39" i="11"/>
  <c r="I39" i="11" s="1"/>
  <c r="E39" i="11"/>
  <c r="D39" i="11"/>
  <c r="C39" i="11"/>
  <c r="AV38" i="11"/>
  <c r="AX38" i="11" s="1"/>
  <c r="AU38" i="11"/>
  <c r="AW38" i="11" s="1"/>
  <c r="AR38" i="11"/>
  <c r="AT38" i="11" s="1"/>
  <c r="AQ38" i="11"/>
  <c r="AS38" i="11" s="1"/>
  <c r="AN38" i="11"/>
  <c r="AP38" i="11" s="1"/>
  <c r="AM38" i="11"/>
  <c r="AO38" i="11" s="1"/>
  <c r="AJ38" i="11"/>
  <c r="AL38" i="11" s="1"/>
  <c r="AI38" i="11"/>
  <c r="AK38" i="11" s="1"/>
  <c r="AF38" i="11"/>
  <c r="AH38" i="11" s="1"/>
  <c r="AE38" i="11"/>
  <c r="AG38" i="11" s="1"/>
  <c r="AB38" i="11"/>
  <c r="AD38" i="11" s="1"/>
  <c r="AA38" i="11"/>
  <c r="AC38" i="11" s="1"/>
  <c r="X38" i="11"/>
  <c r="Z38" i="11" s="1"/>
  <c r="W38" i="11"/>
  <c r="Y38" i="11" s="1"/>
  <c r="T38" i="11"/>
  <c r="V38" i="11" s="1"/>
  <c r="S38" i="11"/>
  <c r="U38" i="11" s="1"/>
  <c r="P38" i="11"/>
  <c r="R38" i="11" s="1"/>
  <c r="O38" i="11"/>
  <c r="Q38" i="11" s="1"/>
  <c r="L38" i="11"/>
  <c r="N38" i="11" s="1"/>
  <c r="K38" i="11"/>
  <c r="M38" i="11" s="1"/>
  <c r="H38" i="11"/>
  <c r="J38" i="11" s="1"/>
  <c r="G38" i="11"/>
  <c r="I38" i="11" s="1"/>
  <c r="E38" i="11"/>
  <c r="D38" i="11"/>
  <c r="C38" i="11"/>
  <c r="AV37" i="11"/>
  <c r="AX37" i="11" s="1"/>
  <c r="AU37" i="11"/>
  <c r="AW37" i="11" s="1"/>
  <c r="AR37" i="11"/>
  <c r="AT37" i="11" s="1"/>
  <c r="AQ37" i="11"/>
  <c r="AS37" i="11" s="1"/>
  <c r="AN37" i="11"/>
  <c r="AP37" i="11" s="1"/>
  <c r="AM37" i="11"/>
  <c r="AO37" i="11" s="1"/>
  <c r="AJ37" i="11"/>
  <c r="AL37" i="11" s="1"/>
  <c r="AI37" i="11"/>
  <c r="AK37" i="11" s="1"/>
  <c r="AF37" i="11"/>
  <c r="AH37" i="11" s="1"/>
  <c r="AE37" i="11"/>
  <c r="AG37" i="11" s="1"/>
  <c r="AB37" i="11"/>
  <c r="AD37" i="11" s="1"/>
  <c r="AA37" i="11"/>
  <c r="AC37" i="11" s="1"/>
  <c r="X37" i="11"/>
  <c r="Z37" i="11" s="1"/>
  <c r="W37" i="11"/>
  <c r="Y37" i="11" s="1"/>
  <c r="T37" i="11"/>
  <c r="V37" i="11" s="1"/>
  <c r="S37" i="11"/>
  <c r="U37" i="11" s="1"/>
  <c r="P37" i="11"/>
  <c r="R37" i="11" s="1"/>
  <c r="O37" i="11"/>
  <c r="Q37" i="11" s="1"/>
  <c r="L37" i="11"/>
  <c r="N37" i="11" s="1"/>
  <c r="K37" i="11"/>
  <c r="M37" i="11" s="1"/>
  <c r="H37" i="11"/>
  <c r="J37" i="11" s="1"/>
  <c r="G37" i="11"/>
  <c r="I37" i="11" s="1"/>
  <c r="E37" i="11"/>
  <c r="D37" i="11"/>
  <c r="C37" i="11"/>
  <c r="AV36" i="11"/>
  <c r="AX36" i="11" s="1"/>
  <c r="AU36" i="11"/>
  <c r="AW36" i="11" s="1"/>
  <c r="AR36" i="11"/>
  <c r="AT36" i="11" s="1"/>
  <c r="AQ36" i="11"/>
  <c r="AS36" i="11" s="1"/>
  <c r="AN36" i="11"/>
  <c r="AP36" i="11" s="1"/>
  <c r="AM36" i="11"/>
  <c r="AO36" i="11" s="1"/>
  <c r="AJ36" i="11"/>
  <c r="AL36" i="11" s="1"/>
  <c r="AI36" i="11"/>
  <c r="AK36" i="11" s="1"/>
  <c r="AF36" i="11"/>
  <c r="AH36" i="11" s="1"/>
  <c r="AE36" i="11"/>
  <c r="AG36" i="11" s="1"/>
  <c r="AB36" i="11"/>
  <c r="AD36" i="11" s="1"/>
  <c r="AA36" i="11"/>
  <c r="AC36" i="11" s="1"/>
  <c r="X36" i="11"/>
  <c r="Z36" i="11" s="1"/>
  <c r="W36" i="11"/>
  <c r="Y36" i="11" s="1"/>
  <c r="T36" i="11"/>
  <c r="V36" i="11" s="1"/>
  <c r="S36" i="11"/>
  <c r="U36" i="11" s="1"/>
  <c r="P36" i="11"/>
  <c r="R36" i="11" s="1"/>
  <c r="O36" i="11"/>
  <c r="Q36" i="11" s="1"/>
  <c r="L36" i="11"/>
  <c r="N36" i="11" s="1"/>
  <c r="K36" i="11"/>
  <c r="M36" i="11" s="1"/>
  <c r="H36" i="11"/>
  <c r="J36" i="11" s="1"/>
  <c r="G36" i="11"/>
  <c r="I36" i="11" s="1"/>
  <c r="E36" i="11"/>
  <c r="D36" i="11"/>
  <c r="C36" i="11"/>
  <c r="AV35" i="11"/>
  <c r="AX35" i="11" s="1"/>
  <c r="AU35" i="11"/>
  <c r="AW35" i="11" s="1"/>
  <c r="AR35" i="11"/>
  <c r="AT35" i="11" s="1"/>
  <c r="AQ35" i="11"/>
  <c r="AS35" i="11" s="1"/>
  <c r="AN35" i="11"/>
  <c r="AP35" i="11" s="1"/>
  <c r="AM35" i="11"/>
  <c r="AO35" i="11" s="1"/>
  <c r="AJ35" i="11"/>
  <c r="AL35" i="11" s="1"/>
  <c r="AI35" i="11"/>
  <c r="AK35" i="11" s="1"/>
  <c r="AF35" i="11"/>
  <c r="AH35" i="11" s="1"/>
  <c r="AE35" i="11"/>
  <c r="AG35" i="11" s="1"/>
  <c r="AB35" i="11"/>
  <c r="AD35" i="11" s="1"/>
  <c r="AA35" i="11"/>
  <c r="AC35" i="11" s="1"/>
  <c r="X35" i="11"/>
  <c r="Z35" i="11" s="1"/>
  <c r="W35" i="11"/>
  <c r="Y35" i="11" s="1"/>
  <c r="T35" i="11"/>
  <c r="V35" i="11" s="1"/>
  <c r="S35" i="11"/>
  <c r="U35" i="11" s="1"/>
  <c r="P35" i="11"/>
  <c r="R35" i="11" s="1"/>
  <c r="O35" i="11"/>
  <c r="Q35" i="11" s="1"/>
  <c r="L35" i="11"/>
  <c r="N35" i="11" s="1"/>
  <c r="K35" i="11"/>
  <c r="M35" i="11" s="1"/>
  <c r="H35" i="11"/>
  <c r="J35" i="11" s="1"/>
  <c r="G35" i="11"/>
  <c r="I35" i="11" s="1"/>
  <c r="E35" i="11"/>
  <c r="D35" i="11"/>
  <c r="C35" i="11"/>
  <c r="AV34" i="11"/>
  <c r="AX34" i="11" s="1"/>
  <c r="AU34" i="11"/>
  <c r="AW34" i="11" s="1"/>
  <c r="AR34" i="11"/>
  <c r="AT34" i="11" s="1"/>
  <c r="AQ34" i="11"/>
  <c r="AS34" i="11" s="1"/>
  <c r="AN34" i="11"/>
  <c r="AP34" i="11" s="1"/>
  <c r="AM34" i="11"/>
  <c r="AO34" i="11" s="1"/>
  <c r="AJ34" i="11"/>
  <c r="AL34" i="11" s="1"/>
  <c r="AI34" i="11"/>
  <c r="AK34" i="11" s="1"/>
  <c r="AF34" i="11"/>
  <c r="AH34" i="11" s="1"/>
  <c r="AE34" i="11"/>
  <c r="AG34" i="11" s="1"/>
  <c r="AB34" i="11"/>
  <c r="AD34" i="11" s="1"/>
  <c r="AA34" i="11"/>
  <c r="AC34" i="11" s="1"/>
  <c r="X34" i="11"/>
  <c r="Z34" i="11" s="1"/>
  <c r="W34" i="11"/>
  <c r="Y34" i="11" s="1"/>
  <c r="T34" i="11"/>
  <c r="V34" i="11" s="1"/>
  <c r="S34" i="11"/>
  <c r="U34" i="11" s="1"/>
  <c r="P34" i="11"/>
  <c r="R34" i="11" s="1"/>
  <c r="O34" i="11"/>
  <c r="Q34" i="11" s="1"/>
  <c r="L34" i="11"/>
  <c r="N34" i="11" s="1"/>
  <c r="K34" i="11"/>
  <c r="M34" i="11" s="1"/>
  <c r="H34" i="11"/>
  <c r="J34" i="11" s="1"/>
  <c r="G34" i="11"/>
  <c r="I34" i="11" s="1"/>
  <c r="E34" i="11"/>
  <c r="D34" i="11"/>
  <c r="C34" i="11"/>
  <c r="AV33" i="11"/>
  <c r="AX33" i="11" s="1"/>
  <c r="AU33" i="11"/>
  <c r="AW33" i="11" s="1"/>
  <c r="AR33" i="11"/>
  <c r="AT33" i="11" s="1"/>
  <c r="AQ33" i="11"/>
  <c r="AS33" i="11" s="1"/>
  <c r="AN33" i="11"/>
  <c r="AP33" i="11" s="1"/>
  <c r="AM33" i="11"/>
  <c r="AO33" i="11" s="1"/>
  <c r="AJ33" i="11"/>
  <c r="AL33" i="11" s="1"/>
  <c r="AI33" i="11"/>
  <c r="AK33" i="11" s="1"/>
  <c r="AF33" i="11"/>
  <c r="AH33" i="11" s="1"/>
  <c r="AE33" i="11"/>
  <c r="AG33" i="11" s="1"/>
  <c r="AB33" i="11"/>
  <c r="AD33" i="11" s="1"/>
  <c r="AA33" i="11"/>
  <c r="AC33" i="11" s="1"/>
  <c r="X33" i="11"/>
  <c r="Z33" i="11" s="1"/>
  <c r="W33" i="11"/>
  <c r="Y33" i="11" s="1"/>
  <c r="T33" i="11"/>
  <c r="V33" i="11" s="1"/>
  <c r="S33" i="11"/>
  <c r="U33" i="11" s="1"/>
  <c r="P33" i="11"/>
  <c r="R33" i="11" s="1"/>
  <c r="O33" i="11"/>
  <c r="Q33" i="11" s="1"/>
  <c r="L33" i="11"/>
  <c r="N33" i="11" s="1"/>
  <c r="K33" i="11"/>
  <c r="M33" i="11" s="1"/>
  <c r="H33" i="11"/>
  <c r="J33" i="11" s="1"/>
  <c r="G33" i="11"/>
  <c r="I33" i="11" s="1"/>
  <c r="E33" i="11"/>
  <c r="D33" i="11"/>
  <c r="C33" i="11"/>
  <c r="AV32" i="11"/>
  <c r="AX32" i="11" s="1"/>
  <c r="AU32" i="11"/>
  <c r="AW32" i="11" s="1"/>
  <c r="AR32" i="11"/>
  <c r="AT32" i="11" s="1"/>
  <c r="AQ32" i="11"/>
  <c r="AS32" i="11" s="1"/>
  <c r="AN32" i="11"/>
  <c r="AP32" i="11" s="1"/>
  <c r="AM32" i="11"/>
  <c r="AO32" i="11" s="1"/>
  <c r="AJ32" i="11"/>
  <c r="AL32" i="11" s="1"/>
  <c r="AI32" i="11"/>
  <c r="AK32" i="11" s="1"/>
  <c r="AF32" i="11"/>
  <c r="AH32" i="11" s="1"/>
  <c r="AE32" i="11"/>
  <c r="AG32" i="11" s="1"/>
  <c r="AB32" i="11"/>
  <c r="AD32" i="11" s="1"/>
  <c r="AA32" i="11"/>
  <c r="AC32" i="11" s="1"/>
  <c r="X32" i="11"/>
  <c r="Z32" i="11" s="1"/>
  <c r="W32" i="11"/>
  <c r="Y32" i="11" s="1"/>
  <c r="T32" i="11"/>
  <c r="V32" i="11" s="1"/>
  <c r="S32" i="11"/>
  <c r="U32" i="11" s="1"/>
  <c r="P32" i="11"/>
  <c r="R32" i="11" s="1"/>
  <c r="O32" i="11"/>
  <c r="Q32" i="11" s="1"/>
  <c r="L32" i="11"/>
  <c r="N32" i="11" s="1"/>
  <c r="K32" i="11"/>
  <c r="M32" i="11" s="1"/>
  <c r="H32" i="11"/>
  <c r="J32" i="11" s="1"/>
  <c r="G32" i="11"/>
  <c r="I32" i="11" s="1"/>
  <c r="E32" i="11"/>
  <c r="D32" i="11"/>
  <c r="C32" i="11"/>
  <c r="AV31" i="11"/>
  <c r="AX31" i="11" s="1"/>
  <c r="AU31" i="11"/>
  <c r="AW31" i="11" s="1"/>
  <c r="AR31" i="11"/>
  <c r="AT31" i="11" s="1"/>
  <c r="AQ31" i="11"/>
  <c r="AS31" i="11" s="1"/>
  <c r="AN31" i="11"/>
  <c r="AP31" i="11" s="1"/>
  <c r="AM31" i="11"/>
  <c r="AO31" i="11" s="1"/>
  <c r="AJ31" i="11"/>
  <c r="AL31" i="11" s="1"/>
  <c r="AI31" i="11"/>
  <c r="AK31" i="11" s="1"/>
  <c r="AF31" i="11"/>
  <c r="AH31" i="11" s="1"/>
  <c r="AE31" i="11"/>
  <c r="AG31" i="11" s="1"/>
  <c r="AB31" i="11"/>
  <c r="AD31" i="11" s="1"/>
  <c r="AA31" i="11"/>
  <c r="AC31" i="11" s="1"/>
  <c r="X31" i="11"/>
  <c r="Z31" i="11" s="1"/>
  <c r="W31" i="11"/>
  <c r="Y31" i="11" s="1"/>
  <c r="T31" i="11"/>
  <c r="V31" i="11" s="1"/>
  <c r="S31" i="11"/>
  <c r="U31" i="11" s="1"/>
  <c r="P31" i="11"/>
  <c r="R31" i="11" s="1"/>
  <c r="O31" i="11"/>
  <c r="Q31" i="11" s="1"/>
  <c r="L31" i="11"/>
  <c r="N31" i="11" s="1"/>
  <c r="K31" i="11"/>
  <c r="M31" i="11" s="1"/>
  <c r="H31" i="11"/>
  <c r="J31" i="11" s="1"/>
  <c r="G31" i="11"/>
  <c r="I31" i="11" s="1"/>
  <c r="E31" i="11"/>
  <c r="D31" i="11"/>
  <c r="C31" i="11"/>
  <c r="AV30" i="11"/>
  <c r="AX30" i="11" s="1"/>
  <c r="AU30" i="11"/>
  <c r="AW30" i="11" s="1"/>
  <c r="AR30" i="11"/>
  <c r="AT30" i="11" s="1"/>
  <c r="AQ30" i="11"/>
  <c r="AS30" i="11" s="1"/>
  <c r="AN30" i="11"/>
  <c r="AP30" i="11" s="1"/>
  <c r="AM30" i="11"/>
  <c r="AO30" i="11" s="1"/>
  <c r="AJ30" i="11"/>
  <c r="AL30" i="11" s="1"/>
  <c r="AI30" i="11"/>
  <c r="AK30" i="11" s="1"/>
  <c r="AF30" i="11"/>
  <c r="AH30" i="11" s="1"/>
  <c r="AE30" i="11"/>
  <c r="AG30" i="11" s="1"/>
  <c r="AB30" i="11"/>
  <c r="AD30" i="11" s="1"/>
  <c r="AA30" i="11"/>
  <c r="AC30" i="11" s="1"/>
  <c r="X30" i="11"/>
  <c r="Z30" i="11" s="1"/>
  <c r="W30" i="11"/>
  <c r="Y30" i="11" s="1"/>
  <c r="T30" i="11"/>
  <c r="V30" i="11" s="1"/>
  <c r="S30" i="11"/>
  <c r="U30" i="11" s="1"/>
  <c r="P30" i="11"/>
  <c r="R30" i="11" s="1"/>
  <c r="O30" i="11"/>
  <c r="Q30" i="11" s="1"/>
  <c r="L30" i="11"/>
  <c r="N30" i="11" s="1"/>
  <c r="K30" i="11"/>
  <c r="M30" i="11" s="1"/>
  <c r="H30" i="11"/>
  <c r="J30" i="11" s="1"/>
  <c r="G30" i="11"/>
  <c r="I30" i="11" s="1"/>
  <c r="E30" i="11"/>
  <c r="D30" i="11"/>
  <c r="C30" i="11"/>
  <c r="AV29" i="11"/>
  <c r="AX29" i="11" s="1"/>
  <c r="AU29" i="11"/>
  <c r="AW29" i="11" s="1"/>
  <c r="AR29" i="11"/>
  <c r="AT29" i="11" s="1"/>
  <c r="AQ29" i="11"/>
  <c r="AS29" i="11" s="1"/>
  <c r="AN29" i="11"/>
  <c r="AP29" i="11" s="1"/>
  <c r="AM29" i="11"/>
  <c r="AO29" i="11" s="1"/>
  <c r="AJ29" i="11"/>
  <c r="AL29" i="11" s="1"/>
  <c r="AI29" i="11"/>
  <c r="AK29" i="11" s="1"/>
  <c r="AF29" i="11"/>
  <c r="AH29" i="11" s="1"/>
  <c r="AE29" i="11"/>
  <c r="AG29" i="11" s="1"/>
  <c r="AB29" i="11"/>
  <c r="AD29" i="11" s="1"/>
  <c r="AA29" i="11"/>
  <c r="AC29" i="11" s="1"/>
  <c r="X29" i="11"/>
  <c r="Z29" i="11" s="1"/>
  <c r="W29" i="11"/>
  <c r="Y29" i="11" s="1"/>
  <c r="T29" i="11"/>
  <c r="V29" i="11" s="1"/>
  <c r="S29" i="11"/>
  <c r="U29" i="11" s="1"/>
  <c r="P29" i="11"/>
  <c r="R29" i="11" s="1"/>
  <c r="O29" i="11"/>
  <c r="Q29" i="11" s="1"/>
  <c r="L29" i="11"/>
  <c r="N29" i="11" s="1"/>
  <c r="K29" i="11"/>
  <c r="M29" i="11" s="1"/>
  <c r="H29" i="11"/>
  <c r="J29" i="11" s="1"/>
  <c r="G29" i="11"/>
  <c r="I29" i="11" s="1"/>
  <c r="E29" i="11"/>
  <c r="D29" i="11"/>
  <c r="C29" i="11"/>
  <c r="AV28" i="11"/>
  <c r="AX28" i="11" s="1"/>
  <c r="AU28" i="11"/>
  <c r="AW28" i="11" s="1"/>
  <c r="AR28" i="11"/>
  <c r="AT28" i="11" s="1"/>
  <c r="AQ28" i="11"/>
  <c r="AS28" i="11" s="1"/>
  <c r="AN28" i="11"/>
  <c r="AP28" i="11" s="1"/>
  <c r="AM28" i="11"/>
  <c r="AO28" i="11" s="1"/>
  <c r="AJ28" i="11"/>
  <c r="AL28" i="11" s="1"/>
  <c r="AI28" i="11"/>
  <c r="AK28" i="11" s="1"/>
  <c r="AF28" i="11"/>
  <c r="AH28" i="11" s="1"/>
  <c r="AE28" i="11"/>
  <c r="AG28" i="11" s="1"/>
  <c r="AB28" i="11"/>
  <c r="AD28" i="11" s="1"/>
  <c r="AA28" i="11"/>
  <c r="AC28" i="11" s="1"/>
  <c r="X28" i="11"/>
  <c r="Z28" i="11" s="1"/>
  <c r="W28" i="11"/>
  <c r="Y28" i="11" s="1"/>
  <c r="T28" i="11"/>
  <c r="V28" i="11" s="1"/>
  <c r="S28" i="11"/>
  <c r="U28" i="11" s="1"/>
  <c r="P28" i="11"/>
  <c r="R28" i="11" s="1"/>
  <c r="O28" i="11"/>
  <c r="Q28" i="11" s="1"/>
  <c r="L28" i="11"/>
  <c r="N28" i="11" s="1"/>
  <c r="K28" i="11"/>
  <c r="M28" i="11" s="1"/>
  <c r="H28" i="11"/>
  <c r="J28" i="11" s="1"/>
  <c r="G28" i="11"/>
  <c r="I28" i="11" s="1"/>
  <c r="E28" i="11"/>
  <c r="D28" i="11"/>
  <c r="C28" i="11"/>
  <c r="AV27" i="11"/>
  <c r="AX27" i="11" s="1"/>
  <c r="AU27" i="11"/>
  <c r="AW27" i="11" s="1"/>
  <c r="AR27" i="11"/>
  <c r="AT27" i="11" s="1"/>
  <c r="AQ27" i="11"/>
  <c r="AS27" i="11" s="1"/>
  <c r="AN27" i="11"/>
  <c r="AP27" i="11" s="1"/>
  <c r="AM27" i="11"/>
  <c r="AO27" i="11" s="1"/>
  <c r="AJ27" i="11"/>
  <c r="AL27" i="11" s="1"/>
  <c r="AI27" i="11"/>
  <c r="AK27" i="11" s="1"/>
  <c r="AF27" i="11"/>
  <c r="AH27" i="11" s="1"/>
  <c r="AE27" i="11"/>
  <c r="AG27" i="11" s="1"/>
  <c r="AB27" i="11"/>
  <c r="AD27" i="11" s="1"/>
  <c r="AA27" i="11"/>
  <c r="AC27" i="11" s="1"/>
  <c r="X27" i="11"/>
  <c r="Z27" i="11" s="1"/>
  <c r="W27" i="11"/>
  <c r="Y27" i="11" s="1"/>
  <c r="T27" i="11"/>
  <c r="V27" i="11" s="1"/>
  <c r="S27" i="11"/>
  <c r="U27" i="11" s="1"/>
  <c r="P27" i="11"/>
  <c r="R27" i="11" s="1"/>
  <c r="O27" i="11"/>
  <c r="Q27" i="11" s="1"/>
  <c r="L27" i="11"/>
  <c r="N27" i="11" s="1"/>
  <c r="K27" i="11"/>
  <c r="M27" i="11" s="1"/>
  <c r="H27" i="11"/>
  <c r="J27" i="11" s="1"/>
  <c r="G27" i="11"/>
  <c r="I27" i="11" s="1"/>
  <c r="E27" i="11"/>
  <c r="D27" i="11"/>
  <c r="C27" i="11"/>
  <c r="AV26" i="11"/>
  <c r="AX26" i="11" s="1"/>
  <c r="AU26" i="11"/>
  <c r="AW26" i="11" s="1"/>
  <c r="AR26" i="11"/>
  <c r="AT26" i="11" s="1"/>
  <c r="AQ26" i="11"/>
  <c r="AS26" i="11" s="1"/>
  <c r="AN26" i="11"/>
  <c r="AP26" i="11" s="1"/>
  <c r="AM26" i="11"/>
  <c r="AO26" i="11" s="1"/>
  <c r="AJ26" i="11"/>
  <c r="AL26" i="11" s="1"/>
  <c r="AI26" i="11"/>
  <c r="AK26" i="11" s="1"/>
  <c r="AF26" i="11"/>
  <c r="AH26" i="11" s="1"/>
  <c r="AE26" i="11"/>
  <c r="AG26" i="11" s="1"/>
  <c r="AB26" i="11"/>
  <c r="AD26" i="11" s="1"/>
  <c r="AA26" i="11"/>
  <c r="AC26" i="11" s="1"/>
  <c r="X26" i="11"/>
  <c r="Z26" i="11" s="1"/>
  <c r="W26" i="11"/>
  <c r="Y26" i="11" s="1"/>
  <c r="T26" i="11"/>
  <c r="V26" i="11" s="1"/>
  <c r="S26" i="11"/>
  <c r="U26" i="11" s="1"/>
  <c r="P26" i="11"/>
  <c r="R26" i="11" s="1"/>
  <c r="O26" i="11"/>
  <c r="Q26" i="11" s="1"/>
  <c r="L26" i="11"/>
  <c r="N26" i="11" s="1"/>
  <c r="K26" i="11"/>
  <c r="M26" i="11" s="1"/>
  <c r="H26" i="11"/>
  <c r="J26" i="11" s="1"/>
  <c r="G26" i="11"/>
  <c r="I26" i="11" s="1"/>
  <c r="E26" i="11"/>
  <c r="D26" i="11"/>
  <c r="C26" i="11"/>
  <c r="AV25" i="11"/>
  <c r="AX25" i="11" s="1"/>
  <c r="AU25" i="11"/>
  <c r="AW25" i="11" s="1"/>
  <c r="AR25" i="11"/>
  <c r="AT25" i="11" s="1"/>
  <c r="AQ25" i="11"/>
  <c r="AS25" i="11" s="1"/>
  <c r="AN25" i="11"/>
  <c r="AP25" i="11" s="1"/>
  <c r="AM25" i="11"/>
  <c r="AO25" i="11" s="1"/>
  <c r="AJ25" i="11"/>
  <c r="AL25" i="11" s="1"/>
  <c r="AI25" i="11"/>
  <c r="AK25" i="11" s="1"/>
  <c r="AF25" i="11"/>
  <c r="AH25" i="11" s="1"/>
  <c r="AE25" i="11"/>
  <c r="AG25" i="11" s="1"/>
  <c r="AB25" i="11"/>
  <c r="AD25" i="11" s="1"/>
  <c r="AA25" i="11"/>
  <c r="AC25" i="11" s="1"/>
  <c r="X25" i="11"/>
  <c r="Z25" i="11" s="1"/>
  <c r="W25" i="11"/>
  <c r="Y25" i="11" s="1"/>
  <c r="T25" i="11"/>
  <c r="V25" i="11" s="1"/>
  <c r="S25" i="11"/>
  <c r="U25" i="11" s="1"/>
  <c r="P25" i="11"/>
  <c r="R25" i="11" s="1"/>
  <c r="O25" i="11"/>
  <c r="Q25" i="11" s="1"/>
  <c r="L25" i="11"/>
  <c r="N25" i="11" s="1"/>
  <c r="K25" i="11"/>
  <c r="M25" i="11" s="1"/>
  <c r="H25" i="11"/>
  <c r="J25" i="11" s="1"/>
  <c r="G25" i="11"/>
  <c r="I25" i="11" s="1"/>
  <c r="E25" i="11"/>
  <c r="D25" i="11"/>
  <c r="C25" i="11"/>
  <c r="AV24" i="11"/>
  <c r="AX24" i="11" s="1"/>
  <c r="AU24" i="11"/>
  <c r="AW24" i="11" s="1"/>
  <c r="AR24" i="11"/>
  <c r="AT24" i="11" s="1"/>
  <c r="AQ24" i="11"/>
  <c r="AS24" i="11" s="1"/>
  <c r="AN24" i="11"/>
  <c r="AP24" i="11" s="1"/>
  <c r="AM24" i="11"/>
  <c r="AO24" i="11" s="1"/>
  <c r="AJ24" i="11"/>
  <c r="AL24" i="11" s="1"/>
  <c r="AI24" i="11"/>
  <c r="AK24" i="11" s="1"/>
  <c r="AF24" i="11"/>
  <c r="AH24" i="11" s="1"/>
  <c r="AE24" i="11"/>
  <c r="AG24" i="11" s="1"/>
  <c r="AB24" i="11"/>
  <c r="AD24" i="11" s="1"/>
  <c r="AA24" i="11"/>
  <c r="AC24" i="11" s="1"/>
  <c r="X24" i="11"/>
  <c r="Z24" i="11" s="1"/>
  <c r="W24" i="11"/>
  <c r="Y24" i="11" s="1"/>
  <c r="T24" i="11"/>
  <c r="V24" i="11" s="1"/>
  <c r="S24" i="11"/>
  <c r="U24" i="11" s="1"/>
  <c r="P24" i="11"/>
  <c r="R24" i="11" s="1"/>
  <c r="O24" i="11"/>
  <c r="Q24" i="11" s="1"/>
  <c r="L24" i="11"/>
  <c r="N24" i="11" s="1"/>
  <c r="K24" i="11"/>
  <c r="M24" i="11" s="1"/>
  <c r="H24" i="11"/>
  <c r="J24" i="11" s="1"/>
  <c r="G24" i="11"/>
  <c r="I24" i="11" s="1"/>
  <c r="E24" i="11"/>
  <c r="D24" i="11"/>
  <c r="C24" i="11"/>
  <c r="AV23" i="11"/>
  <c r="AX23" i="11" s="1"/>
  <c r="AU23" i="11"/>
  <c r="AW23" i="11" s="1"/>
  <c r="AR23" i="11"/>
  <c r="AT23" i="11" s="1"/>
  <c r="AQ23" i="11"/>
  <c r="AS23" i="11" s="1"/>
  <c r="AN23" i="11"/>
  <c r="AP23" i="11" s="1"/>
  <c r="AM23" i="11"/>
  <c r="AO23" i="11" s="1"/>
  <c r="AJ23" i="11"/>
  <c r="AL23" i="11" s="1"/>
  <c r="AI23" i="11"/>
  <c r="AK23" i="11" s="1"/>
  <c r="AF23" i="11"/>
  <c r="AH23" i="11" s="1"/>
  <c r="AE23" i="11"/>
  <c r="AG23" i="11" s="1"/>
  <c r="AB23" i="11"/>
  <c r="AD23" i="11" s="1"/>
  <c r="AA23" i="11"/>
  <c r="AC23" i="11" s="1"/>
  <c r="X23" i="11"/>
  <c r="Z23" i="11" s="1"/>
  <c r="W23" i="11"/>
  <c r="Y23" i="11" s="1"/>
  <c r="T23" i="11"/>
  <c r="V23" i="11" s="1"/>
  <c r="S23" i="11"/>
  <c r="U23" i="11" s="1"/>
  <c r="P23" i="11"/>
  <c r="R23" i="11" s="1"/>
  <c r="O23" i="11"/>
  <c r="Q23" i="11" s="1"/>
  <c r="L23" i="11"/>
  <c r="N23" i="11" s="1"/>
  <c r="K23" i="11"/>
  <c r="M23" i="11" s="1"/>
  <c r="H23" i="11"/>
  <c r="J23" i="11" s="1"/>
  <c r="G23" i="11"/>
  <c r="I23" i="11" s="1"/>
  <c r="E23" i="11"/>
  <c r="D23" i="11"/>
  <c r="C23" i="11"/>
  <c r="AV22" i="11"/>
  <c r="AX22" i="11" s="1"/>
  <c r="AU22" i="11"/>
  <c r="AW22" i="11" s="1"/>
  <c r="AR22" i="11"/>
  <c r="AT22" i="11" s="1"/>
  <c r="AQ22" i="11"/>
  <c r="AS22" i="11" s="1"/>
  <c r="AN22" i="11"/>
  <c r="AP22" i="11" s="1"/>
  <c r="AM22" i="11"/>
  <c r="AO22" i="11" s="1"/>
  <c r="AJ22" i="11"/>
  <c r="AL22" i="11" s="1"/>
  <c r="AI22" i="11"/>
  <c r="AK22" i="11" s="1"/>
  <c r="AF22" i="11"/>
  <c r="AH22" i="11" s="1"/>
  <c r="AE22" i="11"/>
  <c r="AG22" i="11" s="1"/>
  <c r="AB22" i="11"/>
  <c r="AD22" i="11" s="1"/>
  <c r="AA22" i="11"/>
  <c r="AC22" i="11" s="1"/>
  <c r="X22" i="11"/>
  <c r="Z22" i="11" s="1"/>
  <c r="W22" i="11"/>
  <c r="Y22" i="11" s="1"/>
  <c r="T22" i="11"/>
  <c r="V22" i="11" s="1"/>
  <c r="S22" i="11"/>
  <c r="U22" i="11" s="1"/>
  <c r="P22" i="11"/>
  <c r="R22" i="11" s="1"/>
  <c r="O22" i="11"/>
  <c r="Q22" i="11" s="1"/>
  <c r="L22" i="11"/>
  <c r="N22" i="11" s="1"/>
  <c r="K22" i="11"/>
  <c r="M22" i="11" s="1"/>
  <c r="H22" i="11"/>
  <c r="J22" i="11" s="1"/>
  <c r="G22" i="11"/>
  <c r="I22" i="11" s="1"/>
  <c r="E22" i="11"/>
  <c r="D22" i="11"/>
  <c r="C22" i="11"/>
  <c r="AV21" i="11"/>
  <c r="AX21" i="11" s="1"/>
  <c r="AU21" i="11"/>
  <c r="AW21" i="11" s="1"/>
  <c r="AR21" i="11"/>
  <c r="AT21" i="11" s="1"/>
  <c r="AQ21" i="11"/>
  <c r="AS21" i="11" s="1"/>
  <c r="AN21" i="11"/>
  <c r="AP21" i="11" s="1"/>
  <c r="AM21" i="11"/>
  <c r="AO21" i="11" s="1"/>
  <c r="AJ21" i="11"/>
  <c r="AL21" i="11" s="1"/>
  <c r="AI21" i="11"/>
  <c r="AK21" i="11" s="1"/>
  <c r="AF21" i="11"/>
  <c r="AH21" i="11" s="1"/>
  <c r="AE21" i="11"/>
  <c r="AG21" i="11" s="1"/>
  <c r="AB21" i="11"/>
  <c r="AD21" i="11" s="1"/>
  <c r="AA21" i="11"/>
  <c r="AC21" i="11" s="1"/>
  <c r="X21" i="11"/>
  <c r="Z21" i="11" s="1"/>
  <c r="W21" i="11"/>
  <c r="Y21" i="11" s="1"/>
  <c r="T21" i="11"/>
  <c r="V21" i="11" s="1"/>
  <c r="S21" i="11"/>
  <c r="U21" i="11" s="1"/>
  <c r="P21" i="11"/>
  <c r="R21" i="11" s="1"/>
  <c r="O21" i="11"/>
  <c r="Q21" i="11" s="1"/>
  <c r="L21" i="11"/>
  <c r="N21" i="11" s="1"/>
  <c r="K21" i="11"/>
  <c r="M21" i="11" s="1"/>
  <c r="H21" i="11"/>
  <c r="J21" i="11" s="1"/>
  <c r="G21" i="11"/>
  <c r="I21" i="11" s="1"/>
  <c r="E21" i="11"/>
  <c r="D21" i="11"/>
  <c r="C21" i="11"/>
  <c r="AV20" i="11"/>
  <c r="AX20" i="11" s="1"/>
  <c r="AU20" i="11"/>
  <c r="AW20" i="11" s="1"/>
  <c r="AR20" i="11"/>
  <c r="AT20" i="11" s="1"/>
  <c r="AQ20" i="11"/>
  <c r="AS20" i="11" s="1"/>
  <c r="AN20" i="11"/>
  <c r="AP20" i="11" s="1"/>
  <c r="AM20" i="11"/>
  <c r="AO20" i="11" s="1"/>
  <c r="AJ20" i="11"/>
  <c r="AL20" i="11" s="1"/>
  <c r="AI20" i="11"/>
  <c r="AK20" i="11" s="1"/>
  <c r="AF20" i="11"/>
  <c r="AH20" i="11" s="1"/>
  <c r="AE20" i="11"/>
  <c r="AG20" i="11" s="1"/>
  <c r="AB20" i="11"/>
  <c r="AD20" i="11" s="1"/>
  <c r="AA20" i="11"/>
  <c r="AC20" i="11" s="1"/>
  <c r="X20" i="11"/>
  <c r="Z20" i="11" s="1"/>
  <c r="W20" i="11"/>
  <c r="Y20" i="11" s="1"/>
  <c r="T20" i="11"/>
  <c r="V20" i="11" s="1"/>
  <c r="S20" i="11"/>
  <c r="U20" i="11" s="1"/>
  <c r="P20" i="11"/>
  <c r="R20" i="11" s="1"/>
  <c r="O20" i="11"/>
  <c r="Q20" i="11" s="1"/>
  <c r="L20" i="11"/>
  <c r="N20" i="11" s="1"/>
  <c r="K20" i="11"/>
  <c r="M20" i="11" s="1"/>
  <c r="H20" i="11"/>
  <c r="J20" i="11" s="1"/>
  <c r="G20" i="11"/>
  <c r="I20" i="11" s="1"/>
  <c r="E20" i="11"/>
  <c r="D20" i="11"/>
  <c r="C20" i="11"/>
  <c r="AV19" i="11"/>
  <c r="AX19" i="11" s="1"/>
  <c r="AU19" i="11"/>
  <c r="AW19" i="11" s="1"/>
  <c r="AR19" i="11"/>
  <c r="AT19" i="11" s="1"/>
  <c r="AQ19" i="11"/>
  <c r="AS19" i="11" s="1"/>
  <c r="AN19" i="11"/>
  <c r="AP19" i="11" s="1"/>
  <c r="AM19" i="11"/>
  <c r="AO19" i="11" s="1"/>
  <c r="AJ19" i="11"/>
  <c r="AL19" i="11" s="1"/>
  <c r="AI19" i="11"/>
  <c r="AK19" i="11" s="1"/>
  <c r="AF19" i="11"/>
  <c r="AH19" i="11" s="1"/>
  <c r="AE19" i="11"/>
  <c r="AG19" i="11" s="1"/>
  <c r="AB19" i="11"/>
  <c r="AD19" i="11" s="1"/>
  <c r="AA19" i="11"/>
  <c r="AC19" i="11" s="1"/>
  <c r="X19" i="11"/>
  <c r="Z19" i="11" s="1"/>
  <c r="W19" i="11"/>
  <c r="Y19" i="11" s="1"/>
  <c r="T19" i="11"/>
  <c r="V19" i="11" s="1"/>
  <c r="S19" i="11"/>
  <c r="U19" i="11" s="1"/>
  <c r="P19" i="11"/>
  <c r="R19" i="11" s="1"/>
  <c r="O19" i="11"/>
  <c r="Q19" i="11" s="1"/>
  <c r="L19" i="11"/>
  <c r="N19" i="11" s="1"/>
  <c r="K19" i="11"/>
  <c r="M19" i="11" s="1"/>
  <c r="H19" i="11"/>
  <c r="J19" i="11" s="1"/>
  <c r="G19" i="11"/>
  <c r="I19" i="11" s="1"/>
  <c r="E19" i="11"/>
  <c r="D19" i="11"/>
  <c r="C19" i="11"/>
  <c r="AV18" i="11"/>
  <c r="AX18" i="11" s="1"/>
  <c r="AU18" i="11"/>
  <c r="AW18" i="11" s="1"/>
  <c r="AR18" i="11"/>
  <c r="AT18" i="11" s="1"/>
  <c r="AQ18" i="11"/>
  <c r="AS18" i="11" s="1"/>
  <c r="AN18" i="11"/>
  <c r="AP18" i="11" s="1"/>
  <c r="AM18" i="11"/>
  <c r="AO18" i="11" s="1"/>
  <c r="AJ18" i="11"/>
  <c r="AL18" i="11" s="1"/>
  <c r="AI18" i="11"/>
  <c r="AK18" i="11" s="1"/>
  <c r="AF18" i="11"/>
  <c r="AH18" i="11" s="1"/>
  <c r="AE18" i="11"/>
  <c r="AG18" i="11" s="1"/>
  <c r="AB18" i="11"/>
  <c r="AD18" i="11" s="1"/>
  <c r="AA18" i="11"/>
  <c r="AC18" i="11" s="1"/>
  <c r="X18" i="11"/>
  <c r="Z18" i="11" s="1"/>
  <c r="W18" i="11"/>
  <c r="Y18" i="11" s="1"/>
  <c r="T18" i="11"/>
  <c r="V18" i="11" s="1"/>
  <c r="S18" i="11"/>
  <c r="U18" i="11" s="1"/>
  <c r="P18" i="11"/>
  <c r="R18" i="11" s="1"/>
  <c r="O18" i="11"/>
  <c r="Q18" i="11" s="1"/>
  <c r="L18" i="11"/>
  <c r="N18" i="11" s="1"/>
  <c r="K18" i="11"/>
  <c r="M18" i="11" s="1"/>
  <c r="H18" i="11"/>
  <c r="J18" i="11" s="1"/>
  <c r="G18" i="11"/>
  <c r="I18" i="11" s="1"/>
  <c r="E18" i="11"/>
  <c r="D18" i="11"/>
  <c r="C18" i="11"/>
  <c r="AV17" i="11"/>
  <c r="AX17" i="11" s="1"/>
  <c r="AU17" i="11"/>
  <c r="AW17" i="11" s="1"/>
  <c r="AR17" i="11"/>
  <c r="AT17" i="11" s="1"/>
  <c r="AQ17" i="11"/>
  <c r="AS17" i="11" s="1"/>
  <c r="AN17" i="11"/>
  <c r="AP17" i="11" s="1"/>
  <c r="AM17" i="11"/>
  <c r="AO17" i="11" s="1"/>
  <c r="AJ17" i="11"/>
  <c r="AL17" i="11" s="1"/>
  <c r="AI17" i="11"/>
  <c r="AK17" i="11" s="1"/>
  <c r="AF17" i="11"/>
  <c r="AH17" i="11" s="1"/>
  <c r="AE17" i="11"/>
  <c r="AG17" i="11" s="1"/>
  <c r="AB17" i="11"/>
  <c r="AD17" i="11" s="1"/>
  <c r="AA17" i="11"/>
  <c r="AC17" i="11" s="1"/>
  <c r="X17" i="11"/>
  <c r="Z17" i="11" s="1"/>
  <c r="W17" i="11"/>
  <c r="Y17" i="11" s="1"/>
  <c r="T17" i="11"/>
  <c r="V17" i="11" s="1"/>
  <c r="S17" i="11"/>
  <c r="U17" i="11" s="1"/>
  <c r="P17" i="11"/>
  <c r="R17" i="11" s="1"/>
  <c r="O17" i="11"/>
  <c r="Q17" i="11" s="1"/>
  <c r="L17" i="11"/>
  <c r="N17" i="11" s="1"/>
  <c r="K17" i="11"/>
  <c r="M17" i="11" s="1"/>
  <c r="H17" i="11"/>
  <c r="J17" i="11" s="1"/>
  <c r="G17" i="11"/>
  <c r="I17" i="11" s="1"/>
  <c r="E17" i="11"/>
  <c r="D17" i="11"/>
  <c r="C17" i="11"/>
  <c r="AV16" i="11"/>
  <c r="AX16" i="11" s="1"/>
  <c r="AU16" i="11"/>
  <c r="AW16" i="11" s="1"/>
  <c r="AR16" i="11"/>
  <c r="AT16" i="11" s="1"/>
  <c r="AQ16" i="11"/>
  <c r="AS16" i="11" s="1"/>
  <c r="AN16" i="11"/>
  <c r="AP16" i="11" s="1"/>
  <c r="AM16" i="11"/>
  <c r="AO16" i="11" s="1"/>
  <c r="AJ16" i="11"/>
  <c r="AL16" i="11" s="1"/>
  <c r="AI16" i="11"/>
  <c r="AK16" i="11" s="1"/>
  <c r="AF16" i="11"/>
  <c r="AH16" i="11" s="1"/>
  <c r="AE16" i="11"/>
  <c r="AG16" i="11" s="1"/>
  <c r="AB16" i="11"/>
  <c r="AD16" i="11" s="1"/>
  <c r="AA16" i="11"/>
  <c r="AC16" i="11" s="1"/>
  <c r="X16" i="11"/>
  <c r="Z16" i="11" s="1"/>
  <c r="W16" i="11"/>
  <c r="Y16" i="11" s="1"/>
  <c r="T16" i="11"/>
  <c r="V16" i="11" s="1"/>
  <c r="S16" i="11"/>
  <c r="U16" i="11" s="1"/>
  <c r="P16" i="11"/>
  <c r="R16" i="11" s="1"/>
  <c r="O16" i="11"/>
  <c r="Q16" i="11" s="1"/>
  <c r="L16" i="11"/>
  <c r="N16" i="11" s="1"/>
  <c r="K16" i="11"/>
  <c r="M16" i="11" s="1"/>
  <c r="H16" i="11"/>
  <c r="J16" i="11" s="1"/>
  <c r="G16" i="11"/>
  <c r="I16" i="11" s="1"/>
  <c r="E16" i="11"/>
  <c r="D16" i="11"/>
  <c r="C16" i="11"/>
  <c r="AV15" i="11"/>
  <c r="AX15" i="11" s="1"/>
  <c r="AU15" i="11"/>
  <c r="AW15" i="11" s="1"/>
  <c r="AR15" i="11"/>
  <c r="AT15" i="11" s="1"/>
  <c r="AQ15" i="11"/>
  <c r="AS15" i="11" s="1"/>
  <c r="AN15" i="11"/>
  <c r="AP15" i="11" s="1"/>
  <c r="AM15" i="11"/>
  <c r="AO15" i="11" s="1"/>
  <c r="AJ15" i="11"/>
  <c r="AL15" i="11" s="1"/>
  <c r="AI15" i="11"/>
  <c r="AK15" i="11" s="1"/>
  <c r="AF15" i="11"/>
  <c r="AH15" i="11" s="1"/>
  <c r="AE15" i="11"/>
  <c r="AG15" i="11" s="1"/>
  <c r="AB15" i="11"/>
  <c r="AD15" i="11" s="1"/>
  <c r="AA15" i="11"/>
  <c r="AC15" i="11" s="1"/>
  <c r="X15" i="11"/>
  <c r="Z15" i="11" s="1"/>
  <c r="W15" i="11"/>
  <c r="Y15" i="11" s="1"/>
  <c r="T15" i="11"/>
  <c r="V15" i="11" s="1"/>
  <c r="S15" i="11"/>
  <c r="U15" i="11" s="1"/>
  <c r="P15" i="11"/>
  <c r="R15" i="11" s="1"/>
  <c r="O15" i="11"/>
  <c r="Q15" i="11" s="1"/>
  <c r="L15" i="11"/>
  <c r="N15" i="11" s="1"/>
  <c r="K15" i="11"/>
  <c r="M15" i="11" s="1"/>
  <c r="H15" i="11"/>
  <c r="J15" i="11" s="1"/>
  <c r="G15" i="11"/>
  <c r="I15" i="11" s="1"/>
  <c r="E15" i="11"/>
  <c r="D15" i="11"/>
  <c r="C15" i="11"/>
  <c r="AV14" i="11"/>
  <c r="AX14" i="11" s="1"/>
  <c r="AU14" i="11"/>
  <c r="AW14" i="11" s="1"/>
  <c r="AR14" i="11"/>
  <c r="AT14" i="11" s="1"/>
  <c r="AQ14" i="11"/>
  <c r="AS14" i="11" s="1"/>
  <c r="AN14" i="11"/>
  <c r="AP14" i="11" s="1"/>
  <c r="AM14" i="11"/>
  <c r="AO14" i="11" s="1"/>
  <c r="AJ14" i="11"/>
  <c r="AL14" i="11" s="1"/>
  <c r="AI14" i="11"/>
  <c r="AK14" i="11" s="1"/>
  <c r="AF14" i="11"/>
  <c r="AH14" i="11" s="1"/>
  <c r="AE14" i="11"/>
  <c r="AG14" i="11" s="1"/>
  <c r="AB14" i="11"/>
  <c r="AD14" i="11" s="1"/>
  <c r="AA14" i="11"/>
  <c r="AC14" i="11" s="1"/>
  <c r="X14" i="11"/>
  <c r="Z14" i="11" s="1"/>
  <c r="W14" i="11"/>
  <c r="Y14" i="11" s="1"/>
  <c r="T14" i="11"/>
  <c r="V14" i="11" s="1"/>
  <c r="S14" i="11"/>
  <c r="U14" i="11" s="1"/>
  <c r="P14" i="11"/>
  <c r="R14" i="11" s="1"/>
  <c r="O14" i="11"/>
  <c r="Q14" i="11" s="1"/>
  <c r="L14" i="11"/>
  <c r="N14" i="11" s="1"/>
  <c r="K14" i="11"/>
  <c r="M14" i="11" s="1"/>
  <c r="H14" i="11"/>
  <c r="J14" i="11" s="1"/>
  <c r="G14" i="11"/>
  <c r="I14" i="11" s="1"/>
  <c r="E14" i="11"/>
  <c r="D14" i="11"/>
  <c r="C14" i="11"/>
  <c r="AV13" i="11"/>
  <c r="AX13" i="11" s="1"/>
  <c r="AU13" i="11"/>
  <c r="AW13" i="11" s="1"/>
  <c r="AR13" i="11"/>
  <c r="AT13" i="11" s="1"/>
  <c r="AQ13" i="11"/>
  <c r="AS13" i="11" s="1"/>
  <c r="AN13" i="11"/>
  <c r="AP13" i="11" s="1"/>
  <c r="AM13" i="11"/>
  <c r="AO13" i="11" s="1"/>
  <c r="AJ13" i="11"/>
  <c r="AL13" i="11" s="1"/>
  <c r="AI13" i="11"/>
  <c r="AK13" i="11" s="1"/>
  <c r="AF13" i="11"/>
  <c r="AH13" i="11" s="1"/>
  <c r="AE13" i="11"/>
  <c r="AG13" i="11" s="1"/>
  <c r="AB13" i="11"/>
  <c r="AD13" i="11" s="1"/>
  <c r="AA13" i="11"/>
  <c r="AC13" i="11" s="1"/>
  <c r="X13" i="11"/>
  <c r="Z13" i="11" s="1"/>
  <c r="W13" i="11"/>
  <c r="Y13" i="11" s="1"/>
  <c r="T13" i="11"/>
  <c r="V13" i="11" s="1"/>
  <c r="S13" i="11"/>
  <c r="U13" i="11" s="1"/>
  <c r="P13" i="11"/>
  <c r="R13" i="11" s="1"/>
  <c r="O13" i="11"/>
  <c r="Q13" i="11" s="1"/>
  <c r="L13" i="11"/>
  <c r="N13" i="11" s="1"/>
  <c r="K13" i="11"/>
  <c r="M13" i="11" s="1"/>
  <c r="H13" i="11"/>
  <c r="J13" i="11" s="1"/>
  <c r="G13" i="11"/>
  <c r="I13" i="11" s="1"/>
  <c r="E13" i="11"/>
  <c r="D13" i="11"/>
  <c r="C13" i="11"/>
  <c r="AV12" i="11"/>
  <c r="AX12" i="11" s="1"/>
  <c r="AU12" i="11"/>
  <c r="AW12" i="11" s="1"/>
  <c r="AR12" i="11"/>
  <c r="AT12" i="11" s="1"/>
  <c r="AQ12" i="11"/>
  <c r="AS12" i="11" s="1"/>
  <c r="AN12" i="11"/>
  <c r="AP12" i="11" s="1"/>
  <c r="AM12" i="11"/>
  <c r="AO12" i="11" s="1"/>
  <c r="AJ12" i="11"/>
  <c r="AL12" i="11" s="1"/>
  <c r="AI12" i="11"/>
  <c r="AK12" i="11" s="1"/>
  <c r="AF12" i="11"/>
  <c r="AH12" i="11" s="1"/>
  <c r="AE12" i="11"/>
  <c r="AG12" i="11" s="1"/>
  <c r="AB12" i="11"/>
  <c r="AD12" i="11" s="1"/>
  <c r="AA12" i="11"/>
  <c r="AC12" i="11" s="1"/>
  <c r="X12" i="11"/>
  <c r="Z12" i="11" s="1"/>
  <c r="W12" i="11"/>
  <c r="Y12" i="11" s="1"/>
  <c r="T12" i="11"/>
  <c r="V12" i="11" s="1"/>
  <c r="S12" i="11"/>
  <c r="U12" i="11" s="1"/>
  <c r="P12" i="11"/>
  <c r="R12" i="11" s="1"/>
  <c r="O12" i="11"/>
  <c r="Q12" i="11" s="1"/>
  <c r="L12" i="11"/>
  <c r="N12" i="11" s="1"/>
  <c r="K12" i="11"/>
  <c r="M12" i="11" s="1"/>
  <c r="H12" i="11"/>
  <c r="J12" i="11" s="1"/>
  <c r="G12" i="11"/>
  <c r="I12" i="11" s="1"/>
  <c r="E12" i="11"/>
  <c r="D12" i="11"/>
  <c r="C12" i="11"/>
  <c r="AV11" i="11"/>
  <c r="AX11" i="11" s="1"/>
  <c r="AU11" i="11"/>
  <c r="AW11" i="11" s="1"/>
  <c r="AR11" i="11"/>
  <c r="AT11" i="11" s="1"/>
  <c r="AQ11" i="11"/>
  <c r="AS11" i="11" s="1"/>
  <c r="AN11" i="11"/>
  <c r="AP11" i="11" s="1"/>
  <c r="AM11" i="11"/>
  <c r="AO11" i="11" s="1"/>
  <c r="AJ11" i="11"/>
  <c r="AL11" i="11" s="1"/>
  <c r="AI11" i="11"/>
  <c r="AK11" i="11" s="1"/>
  <c r="AF11" i="11"/>
  <c r="AH11" i="11" s="1"/>
  <c r="AE11" i="11"/>
  <c r="AG11" i="11" s="1"/>
  <c r="AB11" i="11"/>
  <c r="AD11" i="11" s="1"/>
  <c r="AA11" i="11"/>
  <c r="AC11" i="11" s="1"/>
  <c r="X11" i="11"/>
  <c r="Z11" i="11" s="1"/>
  <c r="W11" i="11"/>
  <c r="Y11" i="11" s="1"/>
  <c r="T11" i="11"/>
  <c r="V11" i="11" s="1"/>
  <c r="S11" i="11"/>
  <c r="U11" i="11" s="1"/>
  <c r="P11" i="11"/>
  <c r="R11" i="11" s="1"/>
  <c r="O11" i="11"/>
  <c r="Q11" i="11" s="1"/>
  <c r="L11" i="11"/>
  <c r="N11" i="11" s="1"/>
  <c r="K11" i="11"/>
  <c r="M11" i="11" s="1"/>
  <c r="H11" i="11"/>
  <c r="J11" i="11" s="1"/>
  <c r="G11" i="11"/>
  <c r="I11" i="11" s="1"/>
  <c r="E11" i="11"/>
  <c r="D11" i="11"/>
  <c r="C11" i="11"/>
  <c r="AV10" i="11"/>
  <c r="AX10" i="11" s="1"/>
  <c r="AU10" i="11"/>
  <c r="AW10" i="11" s="1"/>
  <c r="AR10" i="11"/>
  <c r="AT10" i="11" s="1"/>
  <c r="AQ10" i="11"/>
  <c r="AS10" i="11" s="1"/>
  <c r="AN10" i="11"/>
  <c r="AP10" i="11" s="1"/>
  <c r="AM10" i="11"/>
  <c r="AO10" i="11" s="1"/>
  <c r="AJ10" i="11"/>
  <c r="AL10" i="11" s="1"/>
  <c r="AI10" i="11"/>
  <c r="AK10" i="11" s="1"/>
  <c r="AF10" i="11"/>
  <c r="AH10" i="11" s="1"/>
  <c r="AE10" i="11"/>
  <c r="AG10" i="11" s="1"/>
  <c r="AB10" i="11"/>
  <c r="AD10" i="11" s="1"/>
  <c r="AA10" i="11"/>
  <c r="AC10" i="11" s="1"/>
  <c r="X10" i="11"/>
  <c r="Z10" i="11" s="1"/>
  <c r="W10" i="11"/>
  <c r="Y10" i="11" s="1"/>
  <c r="T10" i="11"/>
  <c r="V10" i="11" s="1"/>
  <c r="S10" i="11"/>
  <c r="U10" i="11" s="1"/>
  <c r="P10" i="11"/>
  <c r="R10" i="11" s="1"/>
  <c r="O10" i="11"/>
  <c r="Q10" i="11" s="1"/>
  <c r="L10" i="11"/>
  <c r="N10" i="11" s="1"/>
  <c r="K10" i="11"/>
  <c r="M10" i="11" s="1"/>
  <c r="H10" i="11"/>
  <c r="J10" i="11" s="1"/>
  <c r="G10" i="11"/>
  <c r="I10" i="11" s="1"/>
  <c r="E10" i="11"/>
  <c r="D10" i="11"/>
  <c r="C10" i="11"/>
  <c r="AV9" i="11"/>
  <c r="AX9" i="11" s="1"/>
  <c r="AU9" i="11"/>
  <c r="AW9" i="11" s="1"/>
  <c r="AR9" i="11"/>
  <c r="AT9" i="11" s="1"/>
  <c r="AQ9" i="11"/>
  <c r="AS9" i="11" s="1"/>
  <c r="AN9" i="11"/>
  <c r="AP9" i="11" s="1"/>
  <c r="AM9" i="11"/>
  <c r="AO9" i="11" s="1"/>
  <c r="AJ9" i="11"/>
  <c r="AL9" i="11" s="1"/>
  <c r="AI9" i="11"/>
  <c r="AK9" i="11" s="1"/>
  <c r="AF9" i="11"/>
  <c r="AH9" i="11" s="1"/>
  <c r="AE9" i="11"/>
  <c r="AG9" i="11" s="1"/>
  <c r="AB9" i="11"/>
  <c r="AD9" i="11" s="1"/>
  <c r="AA9" i="11"/>
  <c r="AC9" i="11" s="1"/>
  <c r="X9" i="11"/>
  <c r="Z9" i="11" s="1"/>
  <c r="W9" i="11"/>
  <c r="Y9" i="11" s="1"/>
  <c r="T9" i="11"/>
  <c r="V9" i="11" s="1"/>
  <c r="S9" i="11"/>
  <c r="U9" i="11" s="1"/>
  <c r="P9" i="11"/>
  <c r="R9" i="11" s="1"/>
  <c r="O9" i="11"/>
  <c r="Q9" i="11" s="1"/>
  <c r="L9" i="11"/>
  <c r="N9" i="11" s="1"/>
  <c r="K9" i="11"/>
  <c r="M9" i="11" s="1"/>
  <c r="H9" i="11"/>
  <c r="J9" i="11" s="1"/>
  <c r="G9" i="11"/>
  <c r="I9" i="11" s="1"/>
  <c r="E9" i="11"/>
  <c r="D9" i="11"/>
  <c r="C9" i="11"/>
  <c r="AV8" i="11"/>
  <c r="AX8" i="11" s="1"/>
  <c r="AU8" i="11"/>
  <c r="AW8" i="11" s="1"/>
  <c r="AR8" i="11"/>
  <c r="AT8" i="11" s="1"/>
  <c r="AQ8" i="11"/>
  <c r="AS8" i="11" s="1"/>
  <c r="AN8" i="11"/>
  <c r="AP8" i="11" s="1"/>
  <c r="AM8" i="11"/>
  <c r="AO8" i="11" s="1"/>
  <c r="AJ8" i="11"/>
  <c r="AL8" i="11" s="1"/>
  <c r="AI8" i="11"/>
  <c r="AK8" i="11" s="1"/>
  <c r="AF8" i="11"/>
  <c r="AH8" i="11" s="1"/>
  <c r="AE8" i="11"/>
  <c r="AG8" i="11" s="1"/>
  <c r="AB8" i="11"/>
  <c r="AD8" i="11" s="1"/>
  <c r="AA8" i="11"/>
  <c r="AC8" i="11" s="1"/>
  <c r="X8" i="11"/>
  <c r="Z8" i="11" s="1"/>
  <c r="W8" i="11"/>
  <c r="Y8" i="11" s="1"/>
  <c r="T8" i="11"/>
  <c r="V8" i="11" s="1"/>
  <c r="S8" i="11"/>
  <c r="U8" i="11" s="1"/>
  <c r="P8" i="11"/>
  <c r="R8" i="11" s="1"/>
  <c r="O8" i="11"/>
  <c r="Q8" i="11" s="1"/>
  <c r="L8" i="11"/>
  <c r="N8" i="11" s="1"/>
  <c r="K8" i="11"/>
  <c r="M8" i="11" s="1"/>
  <c r="H8" i="11"/>
  <c r="J8" i="11" s="1"/>
  <c r="G8" i="11"/>
  <c r="I8" i="11" s="1"/>
  <c r="E8" i="11"/>
  <c r="D8" i="11"/>
  <c r="C8" i="11"/>
  <c r="AV7" i="11"/>
  <c r="AX7" i="11" s="1"/>
  <c r="AU7" i="11"/>
  <c r="AW7" i="11" s="1"/>
  <c r="AR7" i="11"/>
  <c r="AT7" i="11" s="1"/>
  <c r="AQ7" i="11"/>
  <c r="AS7" i="11" s="1"/>
  <c r="AN7" i="11"/>
  <c r="AP7" i="11" s="1"/>
  <c r="AM7" i="11"/>
  <c r="AO7" i="11" s="1"/>
  <c r="AJ7" i="11"/>
  <c r="AL7" i="11" s="1"/>
  <c r="AI7" i="11"/>
  <c r="AK7" i="11" s="1"/>
  <c r="AF7" i="11"/>
  <c r="AH7" i="11" s="1"/>
  <c r="AE7" i="11"/>
  <c r="AG7" i="11" s="1"/>
  <c r="AB7" i="11"/>
  <c r="AD7" i="11" s="1"/>
  <c r="AA7" i="11"/>
  <c r="AC7" i="11" s="1"/>
  <c r="X7" i="11"/>
  <c r="Z7" i="11" s="1"/>
  <c r="W7" i="11"/>
  <c r="Y7" i="11" s="1"/>
  <c r="T7" i="11"/>
  <c r="V7" i="11" s="1"/>
  <c r="S7" i="11"/>
  <c r="U7" i="11" s="1"/>
  <c r="P7" i="11"/>
  <c r="R7" i="11" s="1"/>
  <c r="O7" i="11"/>
  <c r="Q7" i="11" s="1"/>
  <c r="L7" i="11"/>
  <c r="N7" i="11" s="1"/>
  <c r="K7" i="11"/>
  <c r="M7" i="11" s="1"/>
  <c r="H7" i="11"/>
  <c r="J7" i="11" s="1"/>
  <c r="G7" i="11"/>
  <c r="I7" i="11" s="1"/>
  <c r="E7" i="11"/>
  <c r="D7" i="11"/>
  <c r="C7" i="11"/>
  <c r="AV6" i="11"/>
  <c r="AX6" i="11" s="1"/>
  <c r="AU6" i="11"/>
  <c r="AW6" i="11" s="1"/>
  <c r="AR6" i="11"/>
  <c r="AT6" i="11" s="1"/>
  <c r="AQ6" i="11"/>
  <c r="AS6" i="11" s="1"/>
  <c r="AN6" i="11"/>
  <c r="AP6" i="11" s="1"/>
  <c r="AM6" i="11"/>
  <c r="AO6" i="11" s="1"/>
  <c r="AJ6" i="11"/>
  <c r="AL6" i="11" s="1"/>
  <c r="AI6" i="11"/>
  <c r="AK6" i="11" s="1"/>
  <c r="AF6" i="11"/>
  <c r="AH6" i="11" s="1"/>
  <c r="AE6" i="11"/>
  <c r="AG6" i="11" s="1"/>
  <c r="AB6" i="11"/>
  <c r="AD6" i="11" s="1"/>
  <c r="AA6" i="11"/>
  <c r="AC6" i="11" s="1"/>
  <c r="X6" i="11"/>
  <c r="Z6" i="11" s="1"/>
  <c r="W6" i="11"/>
  <c r="Y6" i="11" s="1"/>
  <c r="T6" i="11"/>
  <c r="V6" i="11" s="1"/>
  <c r="S6" i="11"/>
  <c r="U6" i="11" s="1"/>
  <c r="P6" i="11"/>
  <c r="R6" i="11" s="1"/>
  <c r="O6" i="11"/>
  <c r="Q6" i="11" s="1"/>
  <c r="L6" i="11"/>
  <c r="N6" i="11" s="1"/>
  <c r="K6" i="11"/>
  <c r="M6" i="11" s="1"/>
  <c r="H6" i="11"/>
  <c r="J6" i="11" s="1"/>
  <c r="G6" i="11"/>
  <c r="I6" i="11" s="1"/>
  <c r="E6" i="11"/>
  <c r="D6" i="11"/>
  <c r="C6" i="11"/>
  <c r="AV5" i="11"/>
  <c r="AX5" i="11" s="1"/>
  <c r="AU5" i="11"/>
  <c r="AW5" i="11" s="1"/>
  <c r="AR5" i="11"/>
  <c r="AT5" i="11" s="1"/>
  <c r="AQ5" i="11"/>
  <c r="AS5" i="11" s="1"/>
  <c r="AN5" i="11"/>
  <c r="AP5" i="11" s="1"/>
  <c r="AM5" i="11"/>
  <c r="AO5" i="11" s="1"/>
  <c r="AJ5" i="11"/>
  <c r="AL5" i="11" s="1"/>
  <c r="AI5" i="11"/>
  <c r="AK5" i="11" s="1"/>
  <c r="AF5" i="11"/>
  <c r="AH5" i="11" s="1"/>
  <c r="AE5" i="11"/>
  <c r="AG5" i="11" s="1"/>
  <c r="AB5" i="11"/>
  <c r="AD5" i="11" s="1"/>
  <c r="AA5" i="11"/>
  <c r="AC5" i="11" s="1"/>
  <c r="X5" i="11"/>
  <c r="Z5" i="11" s="1"/>
  <c r="W5" i="11"/>
  <c r="Y5" i="11" s="1"/>
  <c r="T5" i="11"/>
  <c r="V5" i="11" s="1"/>
  <c r="S5" i="11"/>
  <c r="U5" i="11" s="1"/>
  <c r="P5" i="11"/>
  <c r="R5" i="11" s="1"/>
  <c r="O5" i="11"/>
  <c r="Q5" i="11" s="1"/>
  <c r="L5" i="11"/>
  <c r="N5" i="11" s="1"/>
  <c r="K5" i="11"/>
  <c r="M5" i="11" s="1"/>
  <c r="H5" i="11"/>
  <c r="J5" i="11" s="1"/>
  <c r="G5" i="11"/>
  <c r="I5" i="11" s="1"/>
  <c r="E5" i="11"/>
  <c r="D5" i="11"/>
  <c r="C5" i="11"/>
  <c r="AV4" i="11"/>
  <c r="AX4" i="11" s="1"/>
  <c r="AU4" i="11"/>
  <c r="AW4" i="11" s="1"/>
  <c r="AR4" i="11"/>
  <c r="AT4" i="11" s="1"/>
  <c r="AQ4" i="11"/>
  <c r="AS4" i="11" s="1"/>
  <c r="AN4" i="11"/>
  <c r="AP4" i="11" s="1"/>
  <c r="AM4" i="11"/>
  <c r="AO4" i="11" s="1"/>
  <c r="AJ4" i="11"/>
  <c r="AL4" i="11" s="1"/>
  <c r="AI4" i="11"/>
  <c r="AK4" i="11" s="1"/>
  <c r="AF4" i="11"/>
  <c r="AH4" i="11" s="1"/>
  <c r="AE4" i="11"/>
  <c r="AG4" i="11" s="1"/>
  <c r="AB4" i="11"/>
  <c r="AD4" i="11" s="1"/>
  <c r="AA4" i="11"/>
  <c r="AC4" i="11" s="1"/>
  <c r="X4" i="11"/>
  <c r="Z4" i="11" s="1"/>
  <c r="W4" i="11"/>
  <c r="Y4" i="11" s="1"/>
  <c r="T4" i="11"/>
  <c r="V4" i="11" s="1"/>
  <c r="S4" i="11"/>
  <c r="U4" i="11" s="1"/>
  <c r="P4" i="11"/>
  <c r="R4" i="11" s="1"/>
  <c r="O4" i="11"/>
  <c r="Q4" i="11" s="1"/>
  <c r="L4" i="11"/>
  <c r="N4" i="11" s="1"/>
  <c r="K4" i="11"/>
  <c r="M4" i="11" s="1"/>
  <c r="H4" i="11"/>
  <c r="J4" i="11" s="1"/>
  <c r="G4" i="11"/>
  <c r="I4" i="11" s="1"/>
  <c r="E4" i="11"/>
  <c r="D4" i="11"/>
  <c r="C4" i="11"/>
  <c r="AV3" i="11"/>
  <c r="AX3" i="11" s="1"/>
  <c r="AU3" i="11"/>
  <c r="AW3" i="11" s="1"/>
  <c r="AR3" i="11"/>
  <c r="AT3" i="11" s="1"/>
  <c r="AQ3" i="11"/>
  <c r="AS3" i="11" s="1"/>
  <c r="AN3" i="11"/>
  <c r="AP3" i="11" s="1"/>
  <c r="AM3" i="11"/>
  <c r="AO3" i="11" s="1"/>
  <c r="AJ3" i="11"/>
  <c r="AL3" i="11" s="1"/>
  <c r="AI3" i="11"/>
  <c r="AK3" i="11" s="1"/>
  <c r="AF3" i="11"/>
  <c r="AH3" i="11" s="1"/>
  <c r="AE3" i="11"/>
  <c r="AG3" i="11" s="1"/>
  <c r="AB3" i="11"/>
  <c r="AD3" i="11" s="1"/>
  <c r="AA3" i="11"/>
  <c r="AC3" i="11" s="1"/>
  <c r="X3" i="11"/>
  <c r="Z3" i="11" s="1"/>
  <c r="W3" i="11"/>
  <c r="Y3" i="11" s="1"/>
  <c r="T3" i="11"/>
  <c r="V3" i="11" s="1"/>
  <c r="S3" i="11"/>
  <c r="U3" i="11" s="1"/>
  <c r="P3" i="11"/>
  <c r="R3" i="11" s="1"/>
  <c r="O3" i="11"/>
  <c r="Q3" i="11" s="1"/>
  <c r="L3" i="11"/>
  <c r="N3" i="11" s="1"/>
  <c r="K3" i="11"/>
  <c r="M3" i="11" s="1"/>
  <c r="H3" i="11"/>
  <c r="J3" i="11" s="1"/>
  <c r="G3" i="11"/>
  <c r="I3" i="11" s="1"/>
  <c r="E3" i="11"/>
  <c r="D3" i="11"/>
  <c r="C3" i="11"/>
  <c r="AS52" i="15" l="1"/>
  <c r="AX52" i="15"/>
  <c r="Y52" i="15"/>
  <c r="AH52" i="15"/>
  <c r="M52" i="15"/>
  <c r="AG52" i="15"/>
  <c r="N52" i="15"/>
  <c r="AK52" i="15"/>
  <c r="AL52" i="15"/>
  <c r="R52" i="15"/>
  <c r="AO52" i="15"/>
  <c r="Q52" i="15"/>
  <c r="U52" i="15"/>
  <c r="AP52" i="15"/>
  <c r="V52" i="15"/>
  <c r="Z52" i="15"/>
  <c r="AT52" i="15"/>
  <c r="I52" i="15"/>
  <c r="AC52" i="15"/>
  <c r="AW52" i="15"/>
  <c r="J52" i="15"/>
  <c r="AD52" i="15"/>
  <c r="M52" i="14"/>
  <c r="AT52" i="14"/>
  <c r="AW52" i="14"/>
  <c r="AH52" i="14"/>
  <c r="AG52" i="14"/>
  <c r="N52" i="14"/>
  <c r="R52" i="14"/>
  <c r="AK52" i="14"/>
  <c r="Q52" i="14"/>
  <c r="U52" i="14"/>
  <c r="AL52" i="14"/>
  <c r="V52" i="14"/>
  <c r="AO52" i="14"/>
  <c r="AP52" i="14"/>
  <c r="Y52" i="14"/>
  <c r="Z52" i="14"/>
  <c r="I52" i="14"/>
  <c r="AS52" i="14"/>
  <c r="J52" i="14"/>
  <c r="AC52" i="14"/>
  <c r="AD52" i="14"/>
  <c r="AX52" i="14"/>
  <c r="AO52" i="13"/>
  <c r="Z52" i="13"/>
  <c r="M52" i="13"/>
  <c r="V52" i="13"/>
  <c r="U52" i="13"/>
  <c r="AS52" i="13"/>
  <c r="AP52" i="13"/>
  <c r="Y52" i="13"/>
  <c r="AT52" i="13"/>
  <c r="AW52" i="13"/>
  <c r="AC52" i="13"/>
  <c r="AX52" i="13"/>
  <c r="I52" i="13"/>
  <c r="J52" i="13"/>
  <c r="AD52" i="13"/>
  <c r="AG52" i="13"/>
  <c r="AH52" i="13"/>
  <c r="N52" i="13"/>
  <c r="AL52" i="13"/>
  <c r="Q52" i="13"/>
  <c r="AK52" i="13"/>
  <c r="R52" i="13"/>
  <c r="AG52" i="12"/>
  <c r="Y52" i="12"/>
  <c r="AX52" i="12"/>
  <c r="AL52" i="12"/>
  <c r="V52" i="12"/>
  <c r="AO52" i="12"/>
  <c r="AP52" i="12"/>
  <c r="Z52" i="12"/>
  <c r="I52" i="12"/>
  <c r="AS52" i="12"/>
  <c r="J52" i="12"/>
  <c r="AT52" i="12"/>
  <c r="AD52" i="12"/>
  <c r="M52" i="12"/>
  <c r="AW52" i="12"/>
  <c r="AC52" i="12"/>
  <c r="N52" i="12"/>
  <c r="AH52" i="12"/>
  <c r="U52" i="12"/>
  <c r="R52" i="12"/>
  <c r="Q52" i="12"/>
  <c r="AK52" i="12"/>
  <c r="AD52" i="11"/>
  <c r="AP52" i="11"/>
  <c r="V52" i="11"/>
  <c r="AL52" i="11"/>
  <c r="AO52" i="11"/>
  <c r="Y52" i="11"/>
  <c r="I52" i="11"/>
  <c r="AS52" i="11"/>
  <c r="Z52" i="11"/>
  <c r="J52" i="11"/>
  <c r="AC52" i="11"/>
  <c r="M52" i="11"/>
  <c r="AT52" i="11"/>
  <c r="U52" i="11"/>
  <c r="N52" i="11"/>
  <c r="AW52" i="11"/>
  <c r="AX52" i="11"/>
  <c r="Q52" i="11"/>
  <c r="AH52" i="11"/>
  <c r="R52" i="11"/>
  <c r="AG52" i="11"/>
  <c r="AK52" i="11"/>
  <c r="G15" i="6" l="1"/>
  <c r="G2" i="6"/>
  <c r="A15" i="6"/>
  <c r="A2" i="6"/>
  <c r="G4" i="1"/>
  <c r="I4" i="1" s="1"/>
  <c r="H4" i="1"/>
  <c r="J4" i="1" s="1"/>
  <c r="K4" i="1"/>
  <c r="M4" i="1" s="1"/>
  <c r="L4" i="1"/>
  <c r="N4" i="1" s="1"/>
  <c r="O4" i="1"/>
  <c r="Q4" i="1" s="1"/>
  <c r="P4" i="1"/>
  <c r="R4" i="1" s="1"/>
  <c r="S4" i="1"/>
  <c r="U4" i="1" s="1"/>
  <c r="T4" i="1"/>
  <c r="V4" i="1" s="1"/>
  <c r="W4" i="1"/>
  <c r="Y4" i="1" s="1"/>
  <c r="X4" i="1"/>
  <c r="Z4" i="1" s="1"/>
  <c r="AA4" i="1"/>
  <c r="AC4" i="1" s="1"/>
  <c r="AB4" i="1"/>
  <c r="AD4" i="1" s="1"/>
  <c r="AE4" i="1"/>
  <c r="AG4" i="1" s="1"/>
  <c r="AF4" i="1"/>
  <c r="AH4" i="1" s="1"/>
  <c r="AI4" i="1"/>
  <c r="AK4" i="1" s="1"/>
  <c r="AJ4" i="1"/>
  <c r="AL4" i="1" s="1"/>
  <c r="AM4" i="1"/>
  <c r="AO4" i="1" s="1"/>
  <c r="AN4" i="1"/>
  <c r="AP4" i="1" s="1"/>
  <c r="AQ4" i="1"/>
  <c r="AS4" i="1" s="1"/>
  <c r="AR4" i="1"/>
  <c r="AT4" i="1" s="1"/>
  <c r="AU4" i="1"/>
  <c r="AW4" i="1" s="1"/>
  <c r="AV4" i="1"/>
  <c r="AX4" i="1" s="1"/>
  <c r="G5" i="1"/>
  <c r="I5" i="1" s="1"/>
  <c r="H5" i="1"/>
  <c r="J5" i="1" s="1"/>
  <c r="K5" i="1"/>
  <c r="M5" i="1" s="1"/>
  <c r="L5" i="1"/>
  <c r="N5" i="1" s="1"/>
  <c r="O5" i="1"/>
  <c r="Q5" i="1" s="1"/>
  <c r="P5" i="1"/>
  <c r="R5" i="1" s="1"/>
  <c r="S5" i="1"/>
  <c r="U5" i="1" s="1"/>
  <c r="T5" i="1"/>
  <c r="V5" i="1" s="1"/>
  <c r="W5" i="1"/>
  <c r="Y5" i="1" s="1"/>
  <c r="X5" i="1"/>
  <c r="Z5" i="1" s="1"/>
  <c r="AA5" i="1"/>
  <c r="AC5" i="1" s="1"/>
  <c r="AB5" i="1"/>
  <c r="AD5" i="1" s="1"/>
  <c r="AE5" i="1"/>
  <c r="AG5" i="1" s="1"/>
  <c r="AF5" i="1"/>
  <c r="AH5" i="1" s="1"/>
  <c r="AI5" i="1"/>
  <c r="AK5" i="1" s="1"/>
  <c r="AJ5" i="1"/>
  <c r="AL5" i="1" s="1"/>
  <c r="AM5" i="1"/>
  <c r="AO5" i="1" s="1"/>
  <c r="AN5" i="1"/>
  <c r="AP5" i="1" s="1"/>
  <c r="AQ5" i="1"/>
  <c r="AS5" i="1" s="1"/>
  <c r="AR5" i="1"/>
  <c r="AT5" i="1" s="1"/>
  <c r="AU5" i="1"/>
  <c r="AW5" i="1" s="1"/>
  <c r="AV5" i="1"/>
  <c r="AX5" i="1" s="1"/>
  <c r="G6" i="1"/>
  <c r="I6" i="1" s="1"/>
  <c r="H6" i="1"/>
  <c r="J6" i="1" s="1"/>
  <c r="K6" i="1"/>
  <c r="M6" i="1" s="1"/>
  <c r="L6" i="1"/>
  <c r="N6" i="1" s="1"/>
  <c r="O6" i="1"/>
  <c r="Q6" i="1" s="1"/>
  <c r="P6" i="1"/>
  <c r="R6" i="1" s="1"/>
  <c r="S6" i="1"/>
  <c r="U6" i="1" s="1"/>
  <c r="T6" i="1"/>
  <c r="V6" i="1" s="1"/>
  <c r="W6" i="1"/>
  <c r="Y6" i="1" s="1"/>
  <c r="X6" i="1"/>
  <c r="Z6" i="1" s="1"/>
  <c r="AA6" i="1"/>
  <c r="AC6" i="1" s="1"/>
  <c r="AB6" i="1"/>
  <c r="AD6" i="1" s="1"/>
  <c r="AE6" i="1"/>
  <c r="AG6" i="1" s="1"/>
  <c r="AF6" i="1"/>
  <c r="AH6" i="1" s="1"/>
  <c r="AI6" i="1"/>
  <c r="AK6" i="1" s="1"/>
  <c r="AJ6" i="1"/>
  <c r="AL6" i="1" s="1"/>
  <c r="AM6" i="1"/>
  <c r="AO6" i="1" s="1"/>
  <c r="AN6" i="1"/>
  <c r="AP6" i="1" s="1"/>
  <c r="AQ6" i="1"/>
  <c r="AS6" i="1" s="1"/>
  <c r="AR6" i="1"/>
  <c r="AT6" i="1" s="1"/>
  <c r="AU6" i="1"/>
  <c r="AW6" i="1" s="1"/>
  <c r="AV6" i="1"/>
  <c r="AX6" i="1" s="1"/>
  <c r="G7" i="1"/>
  <c r="I7" i="1" s="1"/>
  <c r="H7" i="1"/>
  <c r="J7" i="1" s="1"/>
  <c r="K7" i="1"/>
  <c r="M7" i="1" s="1"/>
  <c r="L7" i="1"/>
  <c r="N7" i="1" s="1"/>
  <c r="O7" i="1"/>
  <c r="Q7" i="1" s="1"/>
  <c r="P7" i="1"/>
  <c r="R7" i="1" s="1"/>
  <c r="S7" i="1"/>
  <c r="U7" i="1" s="1"/>
  <c r="T7" i="1"/>
  <c r="V7" i="1" s="1"/>
  <c r="W7" i="1"/>
  <c r="Y7" i="1" s="1"/>
  <c r="X7" i="1"/>
  <c r="Z7" i="1" s="1"/>
  <c r="AA7" i="1"/>
  <c r="AC7" i="1" s="1"/>
  <c r="AB7" i="1"/>
  <c r="AD7" i="1" s="1"/>
  <c r="AE7" i="1"/>
  <c r="AG7" i="1" s="1"/>
  <c r="AF7" i="1"/>
  <c r="AH7" i="1" s="1"/>
  <c r="AI7" i="1"/>
  <c r="AK7" i="1" s="1"/>
  <c r="AJ7" i="1"/>
  <c r="AL7" i="1" s="1"/>
  <c r="AM7" i="1"/>
  <c r="AO7" i="1" s="1"/>
  <c r="AN7" i="1"/>
  <c r="AP7" i="1" s="1"/>
  <c r="AQ7" i="1"/>
  <c r="AS7" i="1" s="1"/>
  <c r="AR7" i="1"/>
  <c r="AT7" i="1" s="1"/>
  <c r="AU7" i="1"/>
  <c r="AW7" i="1" s="1"/>
  <c r="AV7" i="1"/>
  <c r="AX7" i="1" s="1"/>
  <c r="G8" i="1"/>
  <c r="I8" i="1" s="1"/>
  <c r="H8" i="1"/>
  <c r="J8" i="1" s="1"/>
  <c r="K8" i="1"/>
  <c r="M8" i="1" s="1"/>
  <c r="L8" i="1"/>
  <c r="N8" i="1" s="1"/>
  <c r="O8" i="1"/>
  <c r="Q8" i="1" s="1"/>
  <c r="P8" i="1"/>
  <c r="R8" i="1" s="1"/>
  <c r="S8" i="1"/>
  <c r="U8" i="1" s="1"/>
  <c r="T8" i="1"/>
  <c r="V8" i="1" s="1"/>
  <c r="W8" i="1"/>
  <c r="Y8" i="1" s="1"/>
  <c r="X8" i="1"/>
  <c r="Z8" i="1" s="1"/>
  <c r="AA8" i="1"/>
  <c r="AC8" i="1" s="1"/>
  <c r="AB8" i="1"/>
  <c r="AD8" i="1" s="1"/>
  <c r="AE8" i="1"/>
  <c r="AG8" i="1" s="1"/>
  <c r="AF8" i="1"/>
  <c r="AH8" i="1" s="1"/>
  <c r="AI8" i="1"/>
  <c r="AK8" i="1" s="1"/>
  <c r="AJ8" i="1"/>
  <c r="AL8" i="1" s="1"/>
  <c r="AM8" i="1"/>
  <c r="AO8" i="1" s="1"/>
  <c r="AN8" i="1"/>
  <c r="AP8" i="1" s="1"/>
  <c r="AQ8" i="1"/>
  <c r="AS8" i="1" s="1"/>
  <c r="AR8" i="1"/>
  <c r="AT8" i="1" s="1"/>
  <c r="AU8" i="1"/>
  <c r="AW8" i="1" s="1"/>
  <c r="AV8" i="1"/>
  <c r="AX8" i="1" s="1"/>
  <c r="G9" i="1"/>
  <c r="I9" i="1" s="1"/>
  <c r="H9" i="1"/>
  <c r="J9" i="1" s="1"/>
  <c r="K9" i="1"/>
  <c r="M9" i="1" s="1"/>
  <c r="L9" i="1"/>
  <c r="N9" i="1" s="1"/>
  <c r="O9" i="1"/>
  <c r="Q9" i="1" s="1"/>
  <c r="P9" i="1"/>
  <c r="R9" i="1" s="1"/>
  <c r="S9" i="1"/>
  <c r="U9" i="1" s="1"/>
  <c r="T9" i="1"/>
  <c r="V9" i="1" s="1"/>
  <c r="W9" i="1"/>
  <c r="Y9" i="1" s="1"/>
  <c r="X9" i="1"/>
  <c r="Z9" i="1" s="1"/>
  <c r="AA9" i="1"/>
  <c r="AC9" i="1" s="1"/>
  <c r="AB9" i="1"/>
  <c r="AD9" i="1" s="1"/>
  <c r="AE9" i="1"/>
  <c r="AG9" i="1" s="1"/>
  <c r="AF9" i="1"/>
  <c r="AH9" i="1" s="1"/>
  <c r="AI9" i="1"/>
  <c r="AK9" i="1" s="1"/>
  <c r="AJ9" i="1"/>
  <c r="AL9" i="1" s="1"/>
  <c r="AM9" i="1"/>
  <c r="AO9" i="1" s="1"/>
  <c r="AN9" i="1"/>
  <c r="AP9" i="1" s="1"/>
  <c r="AQ9" i="1"/>
  <c r="AS9" i="1" s="1"/>
  <c r="AR9" i="1"/>
  <c r="AT9" i="1" s="1"/>
  <c r="AU9" i="1"/>
  <c r="AW9" i="1" s="1"/>
  <c r="AV9" i="1"/>
  <c r="AX9" i="1" s="1"/>
  <c r="G10" i="1"/>
  <c r="I10" i="1" s="1"/>
  <c r="H10" i="1"/>
  <c r="J10" i="1" s="1"/>
  <c r="K10" i="1"/>
  <c r="M10" i="1" s="1"/>
  <c r="L10" i="1"/>
  <c r="N10" i="1" s="1"/>
  <c r="O10" i="1"/>
  <c r="Q10" i="1" s="1"/>
  <c r="P10" i="1"/>
  <c r="R10" i="1" s="1"/>
  <c r="S10" i="1"/>
  <c r="U10" i="1" s="1"/>
  <c r="T10" i="1"/>
  <c r="V10" i="1" s="1"/>
  <c r="W10" i="1"/>
  <c r="Y10" i="1" s="1"/>
  <c r="X10" i="1"/>
  <c r="Z10" i="1" s="1"/>
  <c r="AA10" i="1"/>
  <c r="AC10" i="1" s="1"/>
  <c r="AB10" i="1"/>
  <c r="AD10" i="1" s="1"/>
  <c r="AE10" i="1"/>
  <c r="AG10" i="1" s="1"/>
  <c r="AF10" i="1"/>
  <c r="AH10" i="1" s="1"/>
  <c r="AI10" i="1"/>
  <c r="AK10" i="1" s="1"/>
  <c r="AJ10" i="1"/>
  <c r="AL10" i="1" s="1"/>
  <c r="AM10" i="1"/>
  <c r="AO10" i="1" s="1"/>
  <c r="AN10" i="1"/>
  <c r="AP10" i="1" s="1"/>
  <c r="AQ10" i="1"/>
  <c r="AS10" i="1" s="1"/>
  <c r="AR10" i="1"/>
  <c r="AT10" i="1" s="1"/>
  <c r="AU10" i="1"/>
  <c r="AW10" i="1" s="1"/>
  <c r="AV10" i="1"/>
  <c r="AX10" i="1" s="1"/>
  <c r="G11" i="1"/>
  <c r="I11" i="1" s="1"/>
  <c r="H11" i="1"/>
  <c r="J11" i="1" s="1"/>
  <c r="K11" i="1"/>
  <c r="M11" i="1" s="1"/>
  <c r="L11" i="1"/>
  <c r="N11" i="1" s="1"/>
  <c r="O11" i="1"/>
  <c r="Q11" i="1" s="1"/>
  <c r="P11" i="1"/>
  <c r="R11" i="1" s="1"/>
  <c r="S11" i="1"/>
  <c r="U11" i="1" s="1"/>
  <c r="T11" i="1"/>
  <c r="V11" i="1" s="1"/>
  <c r="W11" i="1"/>
  <c r="Y11" i="1" s="1"/>
  <c r="X11" i="1"/>
  <c r="Z11" i="1" s="1"/>
  <c r="AA11" i="1"/>
  <c r="AC11" i="1" s="1"/>
  <c r="AB11" i="1"/>
  <c r="AD11" i="1" s="1"/>
  <c r="AE11" i="1"/>
  <c r="AG11" i="1" s="1"/>
  <c r="AF11" i="1"/>
  <c r="AH11" i="1" s="1"/>
  <c r="AI11" i="1"/>
  <c r="AK11" i="1" s="1"/>
  <c r="AJ11" i="1"/>
  <c r="AL11" i="1" s="1"/>
  <c r="AM11" i="1"/>
  <c r="AO11" i="1" s="1"/>
  <c r="AN11" i="1"/>
  <c r="AP11" i="1" s="1"/>
  <c r="AQ11" i="1"/>
  <c r="AS11" i="1" s="1"/>
  <c r="AR11" i="1"/>
  <c r="AT11" i="1" s="1"/>
  <c r="AU11" i="1"/>
  <c r="AW11" i="1" s="1"/>
  <c r="AV11" i="1"/>
  <c r="AX11" i="1" s="1"/>
  <c r="G12" i="1"/>
  <c r="I12" i="1" s="1"/>
  <c r="H12" i="1"/>
  <c r="J12" i="1" s="1"/>
  <c r="K12" i="1"/>
  <c r="M12" i="1" s="1"/>
  <c r="L12" i="1"/>
  <c r="N12" i="1" s="1"/>
  <c r="O12" i="1"/>
  <c r="Q12" i="1" s="1"/>
  <c r="P12" i="1"/>
  <c r="R12" i="1" s="1"/>
  <c r="S12" i="1"/>
  <c r="U12" i="1" s="1"/>
  <c r="T12" i="1"/>
  <c r="V12" i="1" s="1"/>
  <c r="W12" i="1"/>
  <c r="Y12" i="1" s="1"/>
  <c r="X12" i="1"/>
  <c r="Z12" i="1" s="1"/>
  <c r="AA12" i="1"/>
  <c r="AC12" i="1" s="1"/>
  <c r="AB12" i="1"/>
  <c r="AD12" i="1" s="1"/>
  <c r="AE12" i="1"/>
  <c r="AG12" i="1" s="1"/>
  <c r="AF12" i="1"/>
  <c r="AH12" i="1" s="1"/>
  <c r="AI12" i="1"/>
  <c r="AK12" i="1" s="1"/>
  <c r="AJ12" i="1"/>
  <c r="AL12" i="1" s="1"/>
  <c r="AM12" i="1"/>
  <c r="AO12" i="1" s="1"/>
  <c r="AN12" i="1"/>
  <c r="AP12" i="1" s="1"/>
  <c r="AQ12" i="1"/>
  <c r="AS12" i="1" s="1"/>
  <c r="AR12" i="1"/>
  <c r="AT12" i="1" s="1"/>
  <c r="AU12" i="1"/>
  <c r="AW12" i="1" s="1"/>
  <c r="AV12" i="1"/>
  <c r="AX12" i="1" s="1"/>
  <c r="G13" i="1"/>
  <c r="I13" i="1" s="1"/>
  <c r="H13" i="1"/>
  <c r="J13" i="1" s="1"/>
  <c r="K13" i="1"/>
  <c r="M13" i="1" s="1"/>
  <c r="L13" i="1"/>
  <c r="N13" i="1" s="1"/>
  <c r="O13" i="1"/>
  <c r="Q13" i="1" s="1"/>
  <c r="P13" i="1"/>
  <c r="R13" i="1" s="1"/>
  <c r="S13" i="1"/>
  <c r="U13" i="1" s="1"/>
  <c r="T13" i="1"/>
  <c r="V13" i="1" s="1"/>
  <c r="W13" i="1"/>
  <c r="Y13" i="1" s="1"/>
  <c r="X13" i="1"/>
  <c r="Z13" i="1" s="1"/>
  <c r="AA13" i="1"/>
  <c r="AC13" i="1" s="1"/>
  <c r="AB13" i="1"/>
  <c r="AD13" i="1" s="1"/>
  <c r="AE13" i="1"/>
  <c r="AG13" i="1" s="1"/>
  <c r="AF13" i="1"/>
  <c r="AH13" i="1" s="1"/>
  <c r="AI13" i="1"/>
  <c r="AK13" i="1" s="1"/>
  <c r="AJ13" i="1"/>
  <c r="AL13" i="1" s="1"/>
  <c r="AM13" i="1"/>
  <c r="AO13" i="1" s="1"/>
  <c r="AN13" i="1"/>
  <c r="AP13" i="1" s="1"/>
  <c r="AQ13" i="1"/>
  <c r="AS13" i="1" s="1"/>
  <c r="AR13" i="1"/>
  <c r="AT13" i="1" s="1"/>
  <c r="AU13" i="1"/>
  <c r="AW13" i="1" s="1"/>
  <c r="AV13" i="1"/>
  <c r="AX13" i="1" s="1"/>
  <c r="G14" i="1"/>
  <c r="I14" i="1" s="1"/>
  <c r="H14" i="1"/>
  <c r="J14" i="1" s="1"/>
  <c r="K14" i="1"/>
  <c r="M14" i="1" s="1"/>
  <c r="L14" i="1"/>
  <c r="N14" i="1" s="1"/>
  <c r="O14" i="1"/>
  <c r="Q14" i="1" s="1"/>
  <c r="P14" i="1"/>
  <c r="R14" i="1" s="1"/>
  <c r="S14" i="1"/>
  <c r="U14" i="1" s="1"/>
  <c r="T14" i="1"/>
  <c r="V14" i="1" s="1"/>
  <c r="W14" i="1"/>
  <c r="Y14" i="1" s="1"/>
  <c r="X14" i="1"/>
  <c r="Z14" i="1" s="1"/>
  <c r="AA14" i="1"/>
  <c r="AC14" i="1" s="1"/>
  <c r="AB14" i="1"/>
  <c r="AD14" i="1" s="1"/>
  <c r="AE14" i="1"/>
  <c r="AG14" i="1" s="1"/>
  <c r="AF14" i="1"/>
  <c r="AH14" i="1" s="1"/>
  <c r="AI14" i="1"/>
  <c r="AK14" i="1" s="1"/>
  <c r="AJ14" i="1"/>
  <c r="AL14" i="1" s="1"/>
  <c r="AM14" i="1"/>
  <c r="AO14" i="1" s="1"/>
  <c r="AN14" i="1"/>
  <c r="AP14" i="1" s="1"/>
  <c r="AQ14" i="1"/>
  <c r="AS14" i="1" s="1"/>
  <c r="AR14" i="1"/>
  <c r="AT14" i="1" s="1"/>
  <c r="AU14" i="1"/>
  <c r="AW14" i="1" s="1"/>
  <c r="AV14" i="1"/>
  <c r="AX14" i="1" s="1"/>
  <c r="G15" i="1"/>
  <c r="I15" i="1" s="1"/>
  <c r="H15" i="1"/>
  <c r="J15" i="1" s="1"/>
  <c r="K15" i="1"/>
  <c r="M15" i="1" s="1"/>
  <c r="L15" i="1"/>
  <c r="N15" i="1" s="1"/>
  <c r="O15" i="1"/>
  <c r="Q15" i="1" s="1"/>
  <c r="P15" i="1"/>
  <c r="R15" i="1" s="1"/>
  <c r="S15" i="1"/>
  <c r="U15" i="1" s="1"/>
  <c r="T15" i="1"/>
  <c r="V15" i="1" s="1"/>
  <c r="W15" i="1"/>
  <c r="Y15" i="1" s="1"/>
  <c r="X15" i="1"/>
  <c r="Z15" i="1" s="1"/>
  <c r="AA15" i="1"/>
  <c r="AC15" i="1" s="1"/>
  <c r="AB15" i="1"/>
  <c r="AD15" i="1" s="1"/>
  <c r="AE15" i="1"/>
  <c r="AG15" i="1" s="1"/>
  <c r="AF15" i="1"/>
  <c r="AH15" i="1" s="1"/>
  <c r="AI15" i="1"/>
  <c r="AK15" i="1" s="1"/>
  <c r="AJ15" i="1"/>
  <c r="AL15" i="1" s="1"/>
  <c r="AM15" i="1"/>
  <c r="AO15" i="1" s="1"/>
  <c r="AN15" i="1"/>
  <c r="AP15" i="1" s="1"/>
  <c r="AQ15" i="1"/>
  <c r="AS15" i="1" s="1"/>
  <c r="AR15" i="1"/>
  <c r="AT15" i="1" s="1"/>
  <c r="AU15" i="1"/>
  <c r="AW15" i="1" s="1"/>
  <c r="AV15" i="1"/>
  <c r="AX15" i="1" s="1"/>
  <c r="G16" i="1"/>
  <c r="I16" i="1" s="1"/>
  <c r="H16" i="1"/>
  <c r="J16" i="1" s="1"/>
  <c r="K16" i="1"/>
  <c r="M16" i="1" s="1"/>
  <c r="L16" i="1"/>
  <c r="N16" i="1" s="1"/>
  <c r="O16" i="1"/>
  <c r="Q16" i="1" s="1"/>
  <c r="P16" i="1"/>
  <c r="R16" i="1" s="1"/>
  <c r="S16" i="1"/>
  <c r="U16" i="1" s="1"/>
  <c r="T16" i="1"/>
  <c r="V16" i="1" s="1"/>
  <c r="W16" i="1"/>
  <c r="Y16" i="1" s="1"/>
  <c r="X16" i="1"/>
  <c r="Z16" i="1" s="1"/>
  <c r="AA16" i="1"/>
  <c r="AC16" i="1" s="1"/>
  <c r="AB16" i="1"/>
  <c r="AD16" i="1" s="1"/>
  <c r="AE16" i="1"/>
  <c r="AG16" i="1" s="1"/>
  <c r="AF16" i="1"/>
  <c r="AH16" i="1" s="1"/>
  <c r="AI16" i="1"/>
  <c r="AK16" i="1" s="1"/>
  <c r="AJ16" i="1"/>
  <c r="AL16" i="1" s="1"/>
  <c r="AM16" i="1"/>
  <c r="AO16" i="1" s="1"/>
  <c r="AN16" i="1"/>
  <c r="AP16" i="1" s="1"/>
  <c r="AQ16" i="1"/>
  <c r="AS16" i="1" s="1"/>
  <c r="AR16" i="1"/>
  <c r="AT16" i="1" s="1"/>
  <c r="AU16" i="1"/>
  <c r="AW16" i="1" s="1"/>
  <c r="AV16" i="1"/>
  <c r="AX16" i="1" s="1"/>
  <c r="G17" i="1"/>
  <c r="I17" i="1" s="1"/>
  <c r="H17" i="1"/>
  <c r="J17" i="1" s="1"/>
  <c r="K17" i="1"/>
  <c r="M17" i="1" s="1"/>
  <c r="L17" i="1"/>
  <c r="N17" i="1" s="1"/>
  <c r="O17" i="1"/>
  <c r="Q17" i="1" s="1"/>
  <c r="P17" i="1"/>
  <c r="R17" i="1" s="1"/>
  <c r="S17" i="1"/>
  <c r="U17" i="1" s="1"/>
  <c r="T17" i="1"/>
  <c r="V17" i="1" s="1"/>
  <c r="W17" i="1"/>
  <c r="Y17" i="1" s="1"/>
  <c r="X17" i="1"/>
  <c r="Z17" i="1" s="1"/>
  <c r="AA17" i="1"/>
  <c r="AC17" i="1" s="1"/>
  <c r="AB17" i="1"/>
  <c r="AD17" i="1" s="1"/>
  <c r="AE17" i="1"/>
  <c r="AG17" i="1" s="1"/>
  <c r="AF17" i="1"/>
  <c r="AH17" i="1" s="1"/>
  <c r="AI17" i="1"/>
  <c r="AK17" i="1" s="1"/>
  <c r="AJ17" i="1"/>
  <c r="AL17" i="1" s="1"/>
  <c r="AM17" i="1"/>
  <c r="AO17" i="1" s="1"/>
  <c r="AN17" i="1"/>
  <c r="AP17" i="1" s="1"/>
  <c r="AQ17" i="1"/>
  <c r="AS17" i="1" s="1"/>
  <c r="AR17" i="1"/>
  <c r="AT17" i="1" s="1"/>
  <c r="AU17" i="1"/>
  <c r="AW17" i="1" s="1"/>
  <c r="AV17" i="1"/>
  <c r="AX17" i="1" s="1"/>
  <c r="G18" i="1"/>
  <c r="I18" i="1" s="1"/>
  <c r="H18" i="1"/>
  <c r="J18" i="1" s="1"/>
  <c r="K18" i="1"/>
  <c r="M18" i="1" s="1"/>
  <c r="L18" i="1"/>
  <c r="N18" i="1" s="1"/>
  <c r="O18" i="1"/>
  <c r="Q18" i="1" s="1"/>
  <c r="P18" i="1"/>
  <c r="R18" i="1" s="1"/>
  <c r="S18" i="1"/>
  <c r="U18" i="1" s="1"/>
  <c r="T18" i="1"/>
  <c r="V18" i="1" s="1"/>
  <c r="W18" i="1"/>
  <c r="Y18" i="1" s="1"/>
  <c r="X18" i="1"/>
  <c r="Z18" i="1" s="1"/>
  <c r="AA18" i="1"/>
  <c r="AC18" i="1" s="1"/>
  <c r="AB18" i="1"/>
  <c r="AD18" i="1" s="1"/>
  <c r="AE18" i="1"/>
  <c r="AG18" i="1" s="1"/>
  <c r="AF18" i="1"/>
  <c r="AH18" i="1" s="1"/>
  <c r="AI18" i="1"/>
  <c r="AK18" i="1" s="1"/>
  <c r="AJ18" i="1"/>
  <c r="AL18" i="1" s="1"/>
  <c r="AM18" i="1"/>
  <c r="AO18" i="1" s="1"/>
  <c r="AN18" i="1"/>
  <c r="AP18" i="1" s="1"/>
  <c r="AQ18" i="1"/>
  <c r="AS18" i="1" s="1"/>
  <c r="AR18" i="1"/>
  <c r="AT18" i="1" s="1"/>
  <c r="AU18" i="1"/>
  <c r="AW18" i="1" s="1"/>
  <c r="AV18" i="1"/>
  <c r="AX18" i="1" s="1"/>
  <c r="G19" i="1"/>
  <c r="I19" i="1" s="1"/>
  <c r="H19" i="1"/>
  <c r="J19" i="1" s="1"/>
  <c r="K19" i="1"/>
  <c r="M19" i="1" s="1"/>
  <c r="L19" i="1"/>
  <c r="N19" i="1" s="1"/>
  <c r="O19" i="1"/>
  <c r="Q19" i="1" s="1"/>
  <c r="P19" i="1"/>
  <c r="R19" i="1" s="1"/>
  <c r="S19" i="1"/>
  <c r="U19" i="1" s="1"/>
  <c r="T19" i="1"/>
  <c r="V19" i="1" s="1"/>
  <c r="W19" i="1"/>
  <c r="Y19" i="1" s="1"/>
  <c r="X19" i="1"/>
  <c r="Z19" i="1" s="1"/>
  <c r="AA19" i="1"/>
  <c r="AC19" i="1" s="1"/>
  <c r="AB19" i="1"/>
  <c r="AD19" i="1" s="1"/>
  <c r="AE19" i="1"/>
  <c r="AG19" i="1" s="1"/>
  <c r="AF19" i="1"/>
  <c r="AH19" i="1" s="1"/>
  <c r="AI19" i="1"/>
  <c r="AK19" i="1" s="1"/>
  <c r="AJ19" i="1"/>
  <c r="AL19" i="1" s="1"/>
  <c r="AM19" i="1"/>
  <c r="AO19" i="1" s="1"/>
  <c r="AN19" i="1"/>
  <c r="AP19" i="1" s="1"/>
  <c r="AQ19" i="1"/>
  <c r="AS19" i="1" s="1"/>
  <c r="AR19" i="1"/>
  <c r="AT19" i="1" s="1"/>
  <c r="AU19" i="1"/>
  <c r="AW19" i="1" s="1"/>
  <c r="AV19" i="1"/>
  <c r="AX19" i="1" s="1"/>
  <c r="G20" i="1"/>
  <c r="I20" i="1" s="1"/>
  <c r="H20" i="1"/>
  <c r="J20" i="1" s="1"/>
  <c r="K20" i="1"/>
  <c r="M20" i="1" s="1"/>
  <c r="L20" i="1"/>
  <c r="N20" i="1" s="1"/>
  <c r="O20" i="1"/>
  <c r="Q20" i="1" s="1"/>
  <c r="P20" i="1"/>
  <c r="R20" i="1" s="1"/>
  <c r="S20" i="1"/>
  <c r="U20" i="1" s="1"/>
  <c r="T20" i="1"/>
  <c r="V20" i="1" s="1"/>
  <c r="W20" i="1"/>
  <c r="Y20" i="1" s="1"/>
  <c r="X20" i="1"/>
  <c r="Z20" i="1" s="1"/>
  <c r="AA20" i="1"/>
  <c r="AC20" i="1" s="1"/>
  <c r="AB20" i="1"/>
  <c r="AD20" i="1" s="1"/>
  <c r="AE20" i="1"/>
  <c r="AG20" i="1" s="1"/>
  <c r="AF20" i="1"/>
  <c r="AH20" i="1" s="1"/>
  <c r="AI20" i="1"/>
  <c r="AK20" i="1" s="1"/>
  <c r="AJ20" i="1"/>
  <c r="AL20" i="1" s="1"/>
  <c r="AM20" i="1"/>
  <c r="AO20" i="1" s="1"/>
  <c r="AN20" i="1"/>
  <c r="AP20" i="1" s="1"/>
  <c r="AQ20" i="1"/>
  <c r="AS20" i="1" s="1"/>
  <c r="AR20" i="1"/>
  <c r="AT20" i="1" s="1"/>
  <c r="AU20" i="1"/>
  <c r="AW20" i="1" s="1"/>
  <c r="AV20" i="1"/>
  <c r="AX20" i="1" s="1"/>
  <c r="G21" i="1"/>
  <c r="I21" i="1" s="1"/>
  <c r="H21" i="1"/>
  <c r="J21" i="1" s="1"/>
  <c r="K21" i="1"/>
  <c r="M21" i="1" s="1"/>
  <c r="L21" i="1"/>
  <c r="N21" i="1" s="1"/>
  <c r="O21" i="1"/>
  <c r="Q21" i="1" s="1"/>
  <c r="P21" i="1"/>
  <c r="R21" i="1" s="1"/>
  <c r="S21" i="1"/>
  <c r="U21" i="1" s="1"/>
  <c r="T21" i="1"/>
  <c r="V21" i="1" s="1"/>
  <c r="W21" i="1"/>
  <c r="Y21" i="1" s="1"/>
  <c r="X21" i="1"/>
  <c r="Z21" i="1" s="1"/>
  <c r="AA21" i="1"/>
  <c r="AC21" i="1" s="1"/>
  <c r="AB21" i="1"/>
  <c r="AD21" i="1" s="1"/>
  <c r="AE21" i="1"/>
  <c r="AG21" i="1" s="1"/>
  <c r="AF21" i="1"/>
  <c r="AH21" i="1" s="1"/>
  <c r="AI21" i="1"/>
  <c r="AK21" i="1" s="1"/>
  <c r="AJ21" i="1"/>
  <c r="AL21" i="1" s="1"/>
  <c r="AM21" i="1"/>
  <c r="AO21" i="1" s="1"/>
  <c r="AN21" i="1"/>
  <c r="AP21" i="1" s="1"/>
  <c r="AQ21" i="1"/>
  <c r="AS21" i="1" s="1"/>
  <c r="AR21" i="1"/>
  <c r="AT21" i="1" s="1"/>
  <c r="AU21" i="1"/>
  <c r="AW21" i="1" s="1"/>
  <c r="AV21" i="1"/>
  <c r="AX21" i="1" s="1"/>
  <c r="G22" i="1"/>
  <c r="I22" i="1" s="1"/>
  <c r="H22" i="1"/>
  <c r="J22" i="1" s="1"/>
  <c r="K22" i="1"/>
  <c r="M22" i="1" s="1"/>
  <c r="L22" i="1"/>
  <c r="N22" i="1" s="1"/>
  <c r="O22" i="1"/>
  <c r="Q22" i="1" s="1"/>
  <c r="P22" i="1"/>
  <c r="R22" i="1" s="1"/>
  <c r="S22" i="1"/>
  <c r="U22" i="1" s="1"/>
  <c r="T22" i="1"/>
  <c r="V22" i="1" s="1"/>
  <c r="W22" i="1"/>
  <c r="Y22" i="1" s="1"/>
  <c r="X22" i="1"/>
  <c r="Z22" i="1" s="1"/>
  <c r="AA22" i="1"/>
  <c r="AC22" i="1" s="1"/>
  <c r="AB22" i="1"/>
  <c r="AD22" i="1" s="1"/>
  <c r="AE22" i="1"/>
  <c r="AG22" i="1" s="1"/>
  <c r="AF22" i="1"/>
  <c r="AH22" i="1" s="1"/>
  <c r="AI22" i="1"/>
  <c r="AK22" i="1" s="1"/>
  <c r="AJ22" i="1"/>
  <c r="AL22" i="1" s="1"/>
  <c r="AM22" i="1"/>
  <c r="AO22" i="1" s="1"/>
  <c r="AN22" i="1"/>
  <c r="AP22" i="1" s="1"/>
  <c r="AQ22" i="1"/>
  <c r="AS22" i="1" s="1"/>
  <c r="AR22" i="1"/>
  <c r="AT22" i="1" s="1"/>
  <c r="AU22" i="1"/>
  <c r="AW22" i="1" s="1"/>
  <c r="AV22" i="1"/>
  <c r="AX22" i="1" s="1"/>
  <c r="G23" i="1"/>
  <c r="I23" i="1" s="1"/>
  <c r="H23" i="1"/>
  <c r="J23" i="1" s="1"/>
  <c r="K23" i="1"/>
  <c r="M23" i="1" s="1"/>
  <c r="L23" i="1"/>
  <c r="N23" i="1" s="1"/>
  <c r="O23" i="1"/>
  <c r="Q23" i="1" s="1"/>
  <c r="P23" i="1"/>
  <c r="R23" i="1" s="1"/>
  <c r="S23" i="1"/>
  <c r="U23" i="1" s="1"/>
  <c r="T23" i="1"/>
  <c r="V23" i="1" s="1"/>
  <c r="W23" i="1"/>
  <c r="Y23" i="1" s="1"/>
  <c r="X23" i="1"/>
  <c r="Z23" i="1" s="1"/>
  <c r="AA23" i="1"/>
  <c r="AC23" i="1" s="1"/>
  <c r="AB23" i="1"/>
  <c r="AD23" i="1" s="1"/>
  <c r="AE23" i="1"/>
  <c r="AG23" i="1" s="1"/>
  <c r="AF23" i="1"/>
  <c r="AH23" i="1" s="1"/>
  <c r="AI23" i="1"/>
  <c r="AK23" i="1" s="1"/>
  <c r="AJ23" i="1"/>
  <c r="AL23" i="1" s="1"/>
  <c r="AM23" i="1"/>
  <c r="AO23" i="1" s="1"/>
  <c r="AN23" i="1"/>
  <c r="AP23" i="1" s="1"/>
  <c r="AQ23" i="1"/>
  <c r="AS23" i="1" s="1"/>
  <c r="AR23" i="1"/>
  <c r="AT23" i="1" s="1"/>
  <c r="AU23" i="1"/>
  <c r="AW23" i="1" s="1"/>
  <c r="AV23" i="1"/>
  <c r="AX23" i="1" s="1"/>
  <c r="G24" i="1"/>
  <c r="I24" i="1" s="1"/>
  <c r="H24" i="1"/>
  <c r="J24" i="1" s="1"/>
  <c r="K24" i="1"/>
  <c r="M24" i="1" s="1"/>
  <c r="L24" i="1"/>
  <c r="N24" i="1" s="1"/>
  <c r="O24" i="1"/>
  <c r="Q24" i="1" s="1"/>
  <c r="P24" i="1"/>
  <c r="R24" i="1" s="1"/>
  <c r="S24" i="1"/>
  <c r="U24" i="1" s="1"/>
  <c r="T24" i="1"/>
  <c r="V24" i="1" s="1"/>
  <c r="W24" i="1"/>
  <c r="Y24" i="1" s="1"/>
  <c r="X24" i="1"/>
  <c r="Z24" i="1" s="1"/>
  <c r="AA24" i="1"/>
  <c r="AC24" i="1" s="1"/>
  <c r="AB24" i="1"/>
  <c r="AD24" i="1" s="1"/>
  <c r="AE24" i="1"/>
  <c r="AG24" i="1" s="1"/>
  <c r="AF24" i="1"/>
  <c r="AH24" i="1" s="1"/>
  <c r="AI24" i="1"/>
  <c r="AK24" i="1" s="1"/>
  <c r="AJ24" i="1"/>
  <c r="AL24" i="1" s="1"/>
  <c r="AM24" i="1"/>
  <c r="AO24" i="1" s="1"/>
  <c r="AN24" i="1"/>
  <c r="AP24" i="1" s="1"/>
  <c r="AQ24" i="1"/>
  <c r="AS24" i="1" s="1"/>
  <c r="AR24" i="1"/>
  <c r="AT24" i="1" s="1"/>
  <c r="AU24" i="1"/>
  <c r="AW24" i="1" s="1"/>
  <c r="AV24" i="1"/>
  <c r="AX24" i="1" s="1"/>
  <c r="G25" i="1"/>
  <c r="I25" i="1" s="1"/>
  <c r="H25" i="1"/>
  <c r="J25" i="1" s="1"/>
  <c r="K25" i="1"/>
  <c r="M25" i="1" s="1"/>
  <c r="L25" i="1"/>
  <c r="N25" i="1" s="1"/>
  <c r="O25" i="1"/>
  <c r="Q25" i="1" s="1"/>
  <c r="P25" i="1"/>
  <c r="R25" i="1" s="1"/>
  <c r="S25" i="1"/>
  <c r="U25" i="1" s="1"/>
  <c r="T25" i="1"/>
  <c r="V25" i="1" s="1"/>
  <c r="W25" i="1"/>
  <c r="Y25" i="1" s="1"/>
  <c r="X25" i="1"/>
  <c r="Z25" i="1" s="1"/>
  <c r="AA25" i="1"/>
  <c r="AC25" i="1" s="1"/>
  <c r="AB25" i="1"/>
  <c r="AD25" i="1" s="1"/>
  <c r="AE25" i="1"/>
  <c r="AG25" i="1" s="1"/>
  <c r="AF25" i="1"/>
  <c r="AH25" i="1" s="1"/>
  <c r="AI25" i="1"/>
  <c r="AK25" i="1" s="1"/>
  <c r="AJ25" i="1"/>
  <c r="AL25" i="1" s="1"/>
  <c r="AM25" i="1"/>
  <c r="AO25" i="1" s="1"/>
  <c r="AN25" i="1"/>
  <c r="AP25" i="1" s="1"/>
  <c r="AQ25" i="1"/>
  <c r="AS25" i="1" s="1"/>
  <c r="AR25" i="1"/>
  <c r="AT25" i="1" s="1"/>
  <c r="AU25" i="1"/>
  <c r="AW25" i="1" s="1"/>
  <c r="AV25" i="1"/>
  <c r="AX25" i="1" s="1"/>
  <c r="G26" i="1"/>
  <c r="I26" i="1" s="1"/>
  <c r="H26" i="1"/>
  <c r="J26" i="1" s="1"/>
  <c r="K26" i="1"/>
  <c r="M26" i="1" s="1"/>
  <c r="L26" i="1"/>
  <c r="N26" i="1" s="1"/>
  <c r="O26" i="1"/>
  <c r="Q26" i="1" s="1"/>
  <c r="P26" i="1"/>
  <c r="R26" i="1" s="1"/>
  <c r="S26" i="1"/>
  <c r="U26" i="1" s="1"/>
  <c r="T26" i="1"/>
  <c r="V26" i="1" s="1"/>
  <c r="W26" i="1"/>
  <c r="Y26" i="1" s="1"/>
  <c r="X26" i="1"/>
  <c r="Z26" i="1" s="1"/>
  <c r="AA26" i="1"/>
  <c r="AC26" i="1" s="1"/>
  <c r="AB26" i="1"/>
  <c r="AD26" i="1" s="1"/>
  <c r="AE26" i="1"/>
  <c r="AG26" i="1" s="1"/>
  <c r="AF26" i="1"/>
  <c r="AH26" i="1" s="1"/>
  <c r="AI26" i="1"/>
  <c r="AK26" i="1" s="1"/>
  <c r="AJ26" i="1"/>
  <c r="AL26" i="1" s="1"/>
  <c r="AM26" i="1"/>
  <c r="AO26" i="1" s="1"/>
  <c r="AN26" i="1"/>
  <c r="AP26" i="1" s="1"/>
  <c r="AQ26" i="1"/>
  <c r="AS26" i="1" s="1"/>
  <c r="AR26" i="1"/>
  <c r="AT26" i="1" s="1"/>
  <c r="AU26" i="1"/>
  <c r="AW26" i="1" s="1"/>
  <c r="AV26" i="1"/>
  <c r="AX26" i="1" s="1"/>
  <c r="G27" i="1"/>
  <c r="I27" i="1" s="1"/>
  <c r="H27" i="1"/>
  <c r="J27" i="1" s="1"/>
  <c r="K27" i="1"/>
  <c r="M27" i="1" s="1"/>
  <c r="L27" i="1"/>
  <c r="N27" i="1" s="1"/>
  <c r="O27" i="1"/>
  <c r="Q27" i="1" s="1"/>
  <c r="P27" i="1"/>
  <c r="R27" i="1" s="1"/>
  <c r="S27" i="1"/>
  <c r="U27" i="1" s="1"/>
  <c r="T27" i="1"/>
  <c r="V27" i="1" s="1"/>
  <c r="W27" i="1"/>
  <c r="Y27" i="1" s="1"/>
  <c r="X27" i="1"/>
  <c r="Z27" i="1" s="1"/>
  <c r="AA27" i="1"/>
  <c r="AC27" i="1" s="1"/>
  <c r="AB27" i="1"/>
  <c r="AD27" i="1" s="1"/>
  <c r="AE27" i="1"/>
  <c r="AG27" i="1" s="1"/>
  <c r="AF27" i="1"/>
  <c r="AH27" i="1" s="1"/>
  <c r="AI27" i="1"/>
  <c r="AK27" i="1" s="1"/>
  <c r="AJ27" i="1"/>
  <c r="AL27" i="1" s="1"/>
  <c r="AM27" i="1"/>
  <c r="AO27" i="1" s="1"/>
  <c r="AN27" i="1"/>
  <c r="AP27" i="1" s="1"/>
  <c r="AQ27" i="1"/>
  <c r="AS27" i="1" s="1"/>
  <c r="AR27" i="1"/>
  <c r="AT27" i="1" s="1"/>
  <c r="AU27" i="1"/>
  <c r="AW27" i="1" s="1"/>
  <c r="AV27" i="1"/>
  <c r="AX27" i="1" s="1"/>
  <c r="G28" i="1"/>
  <c r="I28" i="1" s="1"/>
  <c r="H28" i="1"/>
  <c r="J28" i="1" s="1"/>
  <c r="K28" i="1"/>
  <c r="M28" i="1" s="1"/>
  <c r="L28" i="1"/>
  <c r="N28" i="1" s="1"/>
  <c r="O28" i="1"/>
  <c r="Q28" i="1" s="1"/>
  <c r="P28" i="1"/>
  <c r="R28" i="1" s="1"/>
  <c r="S28" i="1"/>
  <c r="U28" i="1" s="1"/>
  <c r="T28" i="1"/>
  <c r="V28" i="1" s="1"/>
  <c r="W28" i="1"/>
  <c r="Y28" i="1" s="1"/>
  <c r="X28" i="1"/>
  <c r="Z28" i="1" s="1"/>
  <c r="AA28" i="1"/>
  <c r="AC28" i="1" s="1"/>
  <c r="AB28" i="1"/>
  <c r="AD28" i="1" s="1"/>
  <c r="AE28" i="1"/>
  <c r="AG28" i="1" s="1"/>
  <c r="AF28" i="1"/>
  <c r="AH28" i="1" s="1"/>
  <c r="AI28" i="1"/>
  <c r="AK28" i="1" s="1"/>
  <c r="AJ28" i="1"/>
  <c r="AL28" i="1" s="1"/>
  <c r="AM28" i="1"/>
  <c r="AO28" i="1" s="1"/>
  <c r="AN28" i="1"/>
  <c r="AP28" i="1" s="1"/>
  <c r="AQ28" i="1"/>
  <c r="AS28" i="1" s="1"/>
  <c r="AR28" i="1"/>
  <c r="AT28" i="1" s="1"/>
  <c r="AU28" i="1"/>
  <c r="AW28" i="1" s="1"/>
  <c r="AV28" i="1"/>
  <c r="AX28" i="1" s="1"/>
  <c r="G29" i="1"/>
  <c r="I29" i="1" s="1"/>
  <c r="H29" i="1"/>
  <c r="J29" i="1" s="1"/>
  <c r="K29" i="1"/>
  <c r="M29" i="1" s="1"/>
  <c r="L29" i="1"/>
  <c r="N29" i="1" s="1"/>
  <c r="O29" i="1"/>
  <c r="Q29" i="1" s="1"/>
  <c r="P29" i="1"/>
  <c r="R29" i="1" s="1"/>
  <c r="S29" i="1"/>
  <c r="U29" i="1" s="1"/>
  <c r="T29" i="1"/>
  <c r="V29" i="1" s="1"/>
  <c r="W29" i="1"/>
  <c r="Y29" i="1" s="1"/>
  <c r="X29" i="1"/>
  <c r="Z29" i="1" s="1"/>
  <c r="AA29" i="1"/>
  <c r="AC29" i="1" s="1"/>
  <c r="AB29" i="1"/>
  <c r="AD29" i="1" s="1"/>
  <c r="AE29" i="1"/>
  <c r="AG29" i="1" s="1"/>
  <c r="AF29" i="1"/>
  <c r="AH29" i="1" s="1"/>
  <c r="AI29" i="1"/>
  <c r="AK29" i="1" s="1"/>
  <c r="AJ29" i="1"/>
  <c r="AL29" i="1" s="1"/>
  <c r="AM29" i="1"/>
  <c r="AO29" i="1" s="1"/>
  <c r="AN29" i="1"/>
  <c r="AP29" i="1" s="1"/>
  <c r="AQ29" i="1"/>
  <c r="AS29" i="1" s="1"/>
  <c r="AR29" i="1"/>
  <c r="AT29" i="1" s="1"/>
  <c r="AU29" i="1"/>
  <c r="AW29" i="1" s="1"/>
  <c r="AV29" i="1"/>
  <c r="AX29" i="1" s="1"/>
  <c r="G30" i="1"/>
  <c r="I30" i="1" s="1"/>
  <c r="H30" i="1"/>
  <c r="J30" i="1" s="1"/>
  <c r="K30" i="1"/>
  <c r="M30" i="1" s="1"/>
  <c r="L30" i="1"/>
  <c r="N30" i="1" s="1"/>
  <c r="O30" i="1"/>
  <c r="Q30" i="1" s="1"/>
  <c r="P30" i="1"/>
  <c r="R30" i="1" s="1"/>
  <c r="S30" i="1"/>
  <c r="U30" i="1" s="1"/>
  <c r="T30" i="1"/>
  <c r="V30" i="1" s="1"/>
  <c r="W30" i="1"/>
  <c r="Y30" i="1" s="1"/>
  <c r="X30" i="1"/>
  <c r="Z30" i="1" s="1"/>
  <c r="AA30" i="1"/>
  <c r="AC30" i="1" s="1"/>
  <c r="AB30" i="1"/>
  <c r="AD30" i="1" s="1"/>
  <c r="AE30" i="1"/>
  <c r="AG30" i="1" s="1"/>
  <c r="AF30" i="1"/>
  <c r="AH30" i="1" s="1"/>
  <c r="AI30" i="1"/>
  <c r="AK30" i="1" s="1"/>
  <c r="AJ30" i="1"/>
  <c r="AL30" i="1" s="1"/>
  <c r="AM30" i="1"/>
  <c r="AO30" i="1" s="1"/>
  <c r="AN30" i="1"/>
  <c r="AP30" i="1" s="1"/>
  <c r="AQ30" i="1"/>
  <c r="AS30" i="1" s="1"/>
  <c r="AR30" i="1"/>
  <c r="AT30" i="1" s="1"/>
  <c r="AU30" i="1"/>
  <c r="AW30" i="1" s="1"/>
  <c r="AV30" i="1"/>
  <c r="AX30" i="1" s="1"/>
  <c r="G31" i="1"/>
  <c r="I31" i="1" s="1"/>
  <c r="H31" i="1"/>
  <c r="J31" i="1" s="1"/>
  <c r="K31" i="1"/>
  <c r="M31" i="1" s="1"/>
  <c r="L31" i="1"/>
  <c r="N31" i="1" s="1"/>
  <c r="O31" i="1"/>
  <c r="Q31" i="1" s="1"/>
  <c r="P31" i="1"/>
  <c r="R31" i="1" s="1"/>
  <c r="S31" i="1"/>
  <c r="U31" i="1" s="1"/>
  <c r="T31" i="1"/>
  <c r="V31" i="1" s="1"/>
  <c r="W31" i="1"/>
  <c r="Y31" i="1" s="1"/>
  <c r="X31" i="1"/>
  <c r="Z31" i="1" s="1"/>
  <c r="AA31" i="1"/>
  <c r="AC31" i="1" s="1"/>
  <c r="AB31" i="1"/>
  <c r="AD31" i="1" s="1"/>
  <c r="AE31" i="1"/>
  <c r="AG31" i="1" s="1"/>
  <c r="AF31" i="1"/>
  <c r="AH31" i="1" s="1"/>
  <c r="AI31" i="1"/>
  <c r="AK31" i="1" s="1"/>
  <c r="AJ31" i="1"/>
  <c r="AL31" i="1" s="1"/>
  <c r="AM31" i="1"/>
  <c r="AO31" i="1" s="1"/>
  <c r="AN31" i="1"/>
  <c r="AP31" i="1" s="1"/>
  <c r="AQ31" i="1"/>
  <c r="AS31" i="1" s="1"/>
  <c r="AR31" i="1"/>
  <c r="AT31" i="1" s="1"/>
  <c r="AU31" i="1"/>
  <c r="AW31" i="1" s="1"/>
  <c r="AV31" i="1"/>
  <c r="AX31" i="1" s="1"/>
  <c r="G32" i="1"/>
  <c r="I32" i="1" s="1"/>
  <c r="H32" i="1"/>
  <c r="J32" i="1" s="1"/>
  <c r="K32" i="1"/>
  <c r="M32" i="1" s="1"/>
  <c r="L32" i="1"/>
  <c r="N32" i="1" s="1"/>
  <c r="O32" i="1"/>
  <c r="Q32" i="1" s="1"/>
  <c r="P32" i="1"/>
  <c r="R32" i="1" s="1"/>
  <c r="S32" i="1"/>
  <c r="U32" i="1" s="1"/>
  <c r="T32" i="1"/>
  <c r="V32" i="1" s="1"/>
  <c r="W32" i="1"/>
  <c r="Y32" i="1" s="1"/>
  <c r="X32" i="1"/>
  <c r="Z32" i="1" s="1"/>
  <c r="AA32" i="1"/>
  <c r="AC32" i="1" s="1"/>
  <c r="AB32" i="1"/>
  <c r="AD32" i="1" s="1"/>
  <c r="AE32" i="1"/>
  <c r="AG32" i="1" s="1"/>
  <c r="AF32" i="1"/>
  <c r="AH32" i="1" s="1"/>
  <c r="AI32" i="1"/>
  <c r="AK32" i="1" s="1"/>
  <c r="AJ32" i="1"/>
  <c r="AL32" i="1" s="1"/>
  <c r="AM32" i="1"/>
  <c r="AO32" i="1" s="1"/>
  <c r="AN32" i="1"/>
  <c r="AP32" i="1" s="1"/>
  <c r="AQ32" i="1"/>
  <c r="AS32" i="1" s="1"/>
  <c r="AR32" i="1"/>
  <c r="AT32" i="1" s="1"/>
  <c r="AU32" i="1"/>
  <c r="AW32" i="1" s="1"/>
  <c r="AV32" i="1"/>
  <c r="AX32" i="1" s="1"/>
  <c r="G33" i="1"/>
  <c r="I33" i="1" s="1"/>
  <c r="H33" i="1"/>
  <c r="J33" i="1" s="1"/>
  <c r="K33" i="1"/>
  <c r="M33" i="1" s="1"/>
  <c r="L33" i="1"/>
  <c r="N33" i="1" s="1"/>
  <c r="O33" i="1"/>
  <c r="Q33" i="1" s="1"/>
  <c r="P33" i="1"/>
  <c r="R33" i="1" s="1"/>
  <c r="S33" i="1"/>
  <c r="U33" i="1" s="1"/>
  <c r="T33" i="1"/>
  <c r="V33" i="1" s="1"/>
  <c r="W33" i="1"/>
  <c r="Y33" i="1" s="1"/>
  <c r="X33" i="1"/>
  <c r="Z33" i="1" s="1"/>
  <c r="AA33" i="1"/>
  <c r="AC33" i="1" s="1"/>
  <c r="AB33" i="1"/>
  <c r="AD33" i="1" s="1"/>
  <c r="AE33" i="1"/>
  <c r="AG33" i="1" s="1"/>
  <c r="AF33" i="1"/>
  <c r="AH33" i="1" s="1"/>
  <c r="AI33" i="1"/>
  <c r="AK33" i="1" s="1"/>
  <c r="AJ33" i="1"/>
  <c r="AL33" i="1" s="1"/>
  <c r="AM33" i="1"/>
  <c r="AO33" i="1" s="1"/>
  <c r="AN33" i="1"/>
  <c r="AP33" i="1" s="1"/>
  <c r="AQ33" i="1"/>
  <c r="AS33" i="1" s="1"/>
  <c r="AR33" i="1"/>
  <c r="AT33" i="1" s="1"/>
  <c r="AU33" i="1"/>
  <c r="AW33" i="1" s="1"/>
  <c r="AV33" i="1"/>
  <c r="AX33" i="1" s="1"/>
  <c r="G34" i="1"/>
  <c r="I34" i="1" s="1"/>
  <c r="H34" i="1"/>
  <c r="J34" i="1" s="1"/>
  <c r="K34" i="1"/>
  <c r="M34" i="1" s="1"/>
  <c r="L34" i="1"/>
  <c r="N34" i="1" s="1"/>
  <c r="O34" i="1"/>
  <c r="Q34" i="1" s="1"/>
  <c r="P34" i="1"/>
  <c r="R34" i="1" s="1"/>
  <c r="S34" i="1"/>
  <c r="U34" i="1" s="1"/>
  <c r="T34" i="1"/>
  <c r="V34" i="1" s="1"/>
  <c r="W34" i="1"/>
  <c r="Y34" i="1" s="1"/>
  <c r="X34" i="1"/>
  <c r="Z34" i="1" s="1"/>
  <c r="AA34" i="1"/>
  <c r="AC34" i="1" s="1"/>
  <c r="AB34" i="1"/>
  <c r="AD34" i="1" s="1"/>
  <c r="AE34" i="1"/>
  <c r="AG34" i="1" s="1"/>
  <c r="AF34" i="1"/>
  <c r="AH34" i="1" s="1"/>
  <c r="AI34" i="1"/>
  <c r="AK34" i="1" s="1"/>
  <c r="AJ34" i="1"/>
  <c r="AL34" i="1" s="1"/>
  <c r="AM34" i="1"/>
  <c r="AO34" i="1" s="1"/>
  <c r="AN34" i="1"/>
  <c r="AP34" i="1" s="1"/>
  <c r="AQ34" i="1"/>
  <c r="AS34" i="1" s="1"/>
  <c r="AR34" i="1"/>
  <c r="AT34" i="1" s="1"/>
  <c r="AU34" i="1"/>
  <c r="AW34" i="1" s="1"/>
  <c r="AV34" i="1"/>
  <c r="AX34" i="1" s="1"/>
  <c r="G35" i="1"/>
  <c r="I35" i="1" s="1"/>
  <c r="H35" i="1"/>
  <c r="J35" i="1" s="1"/>
  <c r="K35" i="1"/>
  <c r="M35" i="1" s="1"/>
  <c r="L35" i="1"/>
  <c r="N35" i="1" s="1"/>
  <c r="O35" i="1"/>
  <c r="Q35" i="1" s="1"/>
  <c r="P35" i="1"/>
  <c r="R35" i="1" s="1"/>
  <c r="S35" i="1"/>
  <c r="U35" i="1" s="1"/>
  <c r="T35" i="1"/>
  <c r="V35" i="1" s="1"/>
  <c r="W35" i="1"/>
  <c r="Y35" i="1" s="1"/>
  <c r="X35" i="1"/>
  <c r="Z35" i="1" s="1"/>
  <c r="AA35" i="1"/>
  <c r="AC35" i="1" s="1"/>
  <c r="AB35" i="1"/>
  <c r="AD35" i="1" s="1"/>
  <c r="AE35" i="1"/>
  <c r="AG35" i="1" s="1"/>
  <c r="AF35" i="1"/>
  <c r="AH35" i="1" s="1"/>
  <c r="AI35" i="1"/>
  <c r="AK35" i="1" s="1"/>
  <c r="AJ35" i="1"/>
  <c r="AL35" i="1" s="1"/>
  <c r="AM35" i="1"/>
  <c r="AO35" i="1" s="1"/>
  <c r="AN35" i="1"/>
  <c r="AP35" i="1" s="1"/>
  <c r="AQ35" i="1"/>
  <c r="AS35" i="1" s="1"/>
  <c r="AR35" i="1"/>
  <c r="AT35" i="1" s="1"/>
  <c r="AU35" i="1"/>
  <c r="AW35" i="1" s="1"/>
  <c r="AV35" i="1"/>
  <c r="AX35" i="1" s="1"/>
  <c r="G36" i="1"/>
  <c r="I36" i="1" s="1"/>
  <c r="H36" i="1"/>
  <c r="J36" i="1" s="1"/>
  <c r="K36" i="1"/>
  <c r="M36" i="1" s="1"/>
  <c r="L36" i="1"/>
  <c r="N36" i="1" s="1"/>
  <c r="O36" i="1"/>
  <c r="Q36" i="1" s="1"/>
  <c r="P36" i="1"/>
  <c r="R36" i="1" s="1"/>
  <c r="S36" i="1"/>
  <c r="U36" i="1" s="1"/>
  <c r="T36" i="1"/>
  <c r="V36" i="1" s="1"/>
  <c r="W36" i="1"/>
  <c r="Y36" i="1" s="1"/>
  <c r="X36" i="1"/>
  <c r="Z36" i="1" s="1"/>
  <c r="AA36" i="1"/>
  <c r="AC36" i="1" s="1"/>
  <c r="AB36" i="1"/>
  <c r="AD36" i="1" s="1"/>
  <c r="AE36" i="1"/>
  <c r="AG36" i="1" s="1"/>
  <c r="AF36" i="1"/>
  <c r="AH36" i="1" s="1"/>
  <c r="AI36" i="1"/>
  <c r="AK36" i="1" s="1"/>
  <c r="AJ36" i="1"/>
  <c r="AL36" i="1" s="1"/>
  <c r="AM36" i="1"/>
  <c r="AO36" i="1" s="1"/>
  <c r="AN36" i="1"/>
  <c r="AP36" i="1" s="1"/>
  <c r="AQ36" i="1"/>
  <c r="AS36" i="1" s="1"/>
  <c r="AR36" i="1"/>
  <c r="AT36" i="1" s="1"/>
  <c r="AU36" i="1"/>
  <c r="AW36" i="1" s="1"/>
  <c r="AV36" i="1"/>
  <c r="AX36" i="1" s="1"/>
  <c r="G37" i="1"/>
  <c r="I37" i="1" s="1"/>
  <c r="H37" i="1"/>
  <c r="J37" i="1" s="1"/>
  <c r="K37" i="1"/>
  <c r="M37" i="1" s="1"/>
  <c r="L37" i="1"/>
  <c r="N37" i="1" s="1"/>
  <c r="O37" i="1"/>
  <c r="Q37" i="1" s="1"/>
  <c r="P37" i="1"/>
  <c r="R37" i="1" s="1"/>
  <c r="S37" i="1"/>
  <c r="U37" i="1" s="1"/>
  <c r="T37" i="1"/>
  <c r="V37" i="1" s="1"/>
  <c r="W37" i="1"/>
  <c r="Y37" i="1" s="1"/>
  <c r="X37" i="1"/>
  <c r="Z37" i="1" s="1"/>
  <c r="AA37" i="1"/>
  <c r="AC37" i="1" s="1"/>
  <c r="AB37" i="1"/>
  <c r="AD37" i="1" s="1"/>
  <c r="AE37" i="1"/>
  <c r="AG37" i="1" s="1"/>
  <c r="AF37" i="1"/>
  <c r="AH37" i="1" s="1"/>
  <c r="AI37" i="1"/>
  <c r="AK37" i="1" s="1"/>
  <c r="AJ37" i="1"/>
  <c r="AL37" i="1" s="1"/>
  <c r="AM37" i="1"/>
  <c r="AO37" i="1" s="1"/>
  <c r="AN37" i="1"/>
  <c r="AP37" i="1" s="1"/>
  <c r="AQ37" i="1"/>
  <c r="AS37" i="1" s="1"/>
  <c r="AR37" i="1"/>
  <c r="AT37" i="1" s="1"/>
  <c r="AU37" i="1"/>
  <c r="AW37" i="1" s="1"/>
  <c r="AV37" i="1"/>
  <c r="AX37" i="1" s="1"/>
  <c r="G38" i="1"/>
  <c r="I38" i="1" s="1"/>
  <c r="H38" i="1"/>
  <c r="J38" i="1" s="1"/>
  <c r="K38" i="1"/>
  <c r="M38" i="1" s="1"/>
  <c r="L38" i="1"/>
  <c r="N38" i="1" s="1"/>
  <c r="O38" i="1"/>
  <c r="Q38" i="1" s="1"/>
  <c r="P38" i="1"/>
  <c r="R38" i="1" s="1"/>
  <c r="S38" i="1"/>
  <c r="U38" i="1" s="1"/>
  <c r="T38" i="1"/>
  <c r="V38" i="1" s="1"/>
  <c r="W38" i="1"/>
  <c r="Y38" i="1" s="1"/>
  <c r="X38" i="1"/>
  <c r="Z38" i="1" s="1"/>
  <c r="AA38" i="1"/>
  <c r="AC38" i="1" s="1"/>
  <c r="AB38" i="1"/>
  <c r="AD38" i="1" s="1"/>
  <c r="AE38" i="1"/>
  <c r="AG38" i="1" s="1"/>
  <c r="AF38" i="1"/>
  <c r="AH38" i="1" s="1"/>
  <c r="AI38" i="1"/>
  <c r="AK38" i="1" s="1"/>
  <c r="AJ38" i="1"/>
  <c r="AL38" i="1" s="1"/>
  <c r="AM38" i="1"/>
  <c r="AO38" i="1" s="1"/>
  <c r="AN38" i="1"/>
  <c r="AP38" i="1" s="1"/>
  <c r="AQ38" i="1"/>
  <c r="AS38" i="1" s="1"/>
  <c r="AR38" i="1"/>
  <c r="AT38" i="1" s="1"/>
  <c r="AU38" i="1"/>
  <c r="AW38" i="1" s="1"/>
  <c r="AV38" i="1"/>
  <c r="AX38" i="1" s="1"/>
  <c r="G39" i="1"/>
  <c r="I39" i="1" s="1"/>
  <c r="H39" i="1"/>
  <c r="J39" i="1" s="1"/>
  <c r="K39" i="1"/>
  <c r="M39" i="1" s="1"/>
  <c r="L39" i="1"/>
  <c r="N39" i="1" s="1"/>
  <c r="O39" i="1"/>
  <c r="Q39" i="1" s="1"/>
  <c r="P39" i="1"/>
  <c r="R39" i="1" s="1"/>
  <c r="S39" i="1"/>
  <c r="U39" i="1" s="1"/>
  <c r="T39" i="1"/>
  <c r="V39" i="1" s="1"/>
  <c r="W39" i="1"/>
  <c r="Y39" i="1" s="1"/>
  <c r="X39" i="1"/>
  <c r="Z39" i="1" s="1"/>
  <c r="AA39" i="1"/>
  <c r="AC39" i="1" s="1"/>
  <c r="AB39" i="1"/>
  <c r="AD39" i="1" s="1"/>
  <c r="AE39" i="1"/>
  <c r="AG39" i="1" s="1"/>
  <c r="AF39" i="1"/>
  <c r="AH39" i="1" s="1"/>
  <c r="AI39" i="1"/>
  <c r="AK39" i="1" s="1"/>
  <c r="AJ39" i="1"/>
  <c r="AL39" i="1" s="1"/>
  <c r="AM39" i="1"/>
  <c r="AO39" i="1" s="1"/>
  <c r="AN39" i="1"/>
  <c r="AP39" i="1" s="1"/>
  <c r="AQ39" i="1"/>
  <c r="AS39" i="1" s="1"/>
  <c r="AR39" i="1"/>
  <c r="AT39" i="1" s="1"/>
  <c r="AU39" i="1"/>
  <c r="AW39" i="1" s="1"/>
  <c r="AV39" i="1"/>
  <c r="AX39" i="1" s="1"/>
  <c r="G40" i="1"/>
  <c r="I40" i="1" s="1"/>
  <c r="H40" i="1"/>
  <c r="J40" i="1" s="1"/>
  <c r="K40" i="1"/>
  <c r="M40" i="1" s="1"/>
  <c r="L40" i="1"/>
  <c r="N40" i="1" s="1"/>
  <c r="O40" i="1"/>
  <c r="Q40" i="1" s="1"/>
  <c r="P40" i="1"/>
  <c r="R40" i="1" s="1"/>
  <c r="S40" i="1"/>
  <c r="U40" i="1" s="1"/>
  <c r="T40" i="1"/>
  <c r="V40" i="1" s="1"/>
  <c r="W40" i="1"/>
  <c r="Y40" i="1" s="1"/>
  <c r="X40" i="1"/>
  <c r="Z40" i="1" s="1"/>
  <c r="AA40" i="1"/>
  <c r="AC40" i="1" s="1"/>
  <c r="AB40" i="1"/>
  <c r="AD40" i="1" s="1"/>
  <c r="AE40" i="1"/>
  <c r="AG40" i="1" s="1"/>
  <c r="AF40" i="1"/>
  <c r="AH40" i="1" s="1"/>
  <c r="AI40" i="1"/>
  <c r="AK40" i="1" s="1"/>
  <c r="AJ40" i="1"/>
  <c r="AL40" i="1" s="1"/>
  <c r="AM40" i="1"/>
  <c r="AO40" i="1" s="1"/>
  <c r="AN40" i="1"/>
  <c r="AP40" i="1" s="1"/>
  <c r="AQ40" i="1"/>
  <c r="AS40" i="1" s="1"/>
  <c r="AR40" i="1"/>
  <c r="AT40" i="1" s="1"/>
  <c r="AU40" i="1"/>
  <c r="AW40" i="1" s="1"/>
  <c r="AV40" i="1"/>
  <c r="AX40" i="1" s="1"/>
  <c r="G41" i="1"/>
  <c r="I41" i="1" s="1"/>
  <c r="H41" i="1"/>
  <c r="J41" i="1" s="1"/>
  <c r="K41" i="1"/>
  <c r="M41" i="1" s="1"/>
  <c r="L41" i="1"/>
  <c r="N41" i="1" s="1"/>
  <c r="O41" i="1"/>
  <c r="Q41" i="1" s="1"/>
  <c r="P41" i="1"/>
  <c r="R41" i="1" s="1"/>
  <c r="S41" i="1"/>
  <c r="U41" i="1" s="1"/>
  <c r="T41" i="1"/>
  <c r="V41" i="1" s="1"/>
  <c r="W41" i="1"/>
  <c r="Y41" i="1" s="1"/>
  <c r="X41" i="1"/>
  <c r="Z41" i="1" s="1"/>
  <c r="AA41" i="1"/>
  <c r="AC41" i="1" s="1"/>
  <c r="AB41" i="1"/>
  <c r="AD41" i="1" s="1"/>
  <c r="AE41" i="1"/>
  <c r="AG41" i="1" s="1"/>
  <c r="AF41" i="1"/>
  <c r="AH41" i="1" s="1"/>
  <c r="AI41" i="1"/>
  <c r="AK41" i="1" s="1"/>
  <c r="AJ41" i="1"/>
  <c r="AL41" i="1" s="1"/>
  <c r="AM41" i="1"/>
  <c r="AO41" i="1" s="1"/>
  <c r="AN41" i="1"/>
  <c r="AP41" i="1" s="1"/>
  <c r="AQ41" i="1"/>
  <c r="AS41" i="1" s="1"/>
  <c r="AR41" i="1"/>
  <c r="AT41" i="1" s="1"/>
  <c r="AU41" i="1"/>
  <c r="AW41" i="1" s="1"/>
  <c r="AV41" i="1"/>
  <c r="AX41" i="1" s="1"/>
  <c r="G42" i="1"/>
  <c r="I42" i="1" s="1"/>
  <c r="H42" i="1"/>
  <c r="J42" i="1" s="1"/>
  <c r="K42" i="1"/>
  <c r="M42" i="1" s="1"/>
  <c r="L42" i="1"/>
  <c r="N42" i="1" s="1"/>
  <c r="O42" i="1"/>
  <c r="Q42" i="1" s="1"/>
  <c r="P42" i="1"/>
  <c r="R42" i="1" s="1"/>
  <c r="S42" i="1"/>
  <c r="U42" i="1" s="1"/>
  <c r="T42" i="1"/>
  <c r="V42" i="1" s="1"/>
  <c r="W42" i="1"/>
  <c r="Y42" i="1" s="1"/>
  <c r="X42" i="1"/>
  <c r="Z42" i="1" s="1"/>
  <c r="AA42" i="1"/>
  <c r="AC42" i="1" s="1"/>
  <c r="AB42" i="1"/>
  <c r="AD42" i="1" s="1"/>
  <c r="AE42" i="1"/>
  <c r="AG42" i="1" s="1"/>
  <c r="AF42" i="1"/>
  <c r="AH42" i="1" s="1"/>
  <c r="AI42" i="1"/>
  <c r="AK42" i="1" s="1"/>
  <c r="AJ42" i="1"/>
  <c r="AL42" i="1" s="1"/>
  <c r="AM42" i="1"/>
  <c r="AO42" i="1" s="1"/>
  <c r="AN42" i="1"/>
  <c r="AP42" i="1" s="1"/>
  <c r="AQ42" i="1"/>
  <c r="AS42" i="1" s="1"/>
  <c r="AR42" i="1"/>
  <c r="AT42" i="1" s="1"/>
  <c r="AU42" i="1"/>
  <c r="AW42" i="1" s="1"/>
  <c r="AV42" i="1"/>
  <c r="AX42" i="1" s="1"/>
  <c r="G43" i="1"/>
  <c r="I43" i="1" s="1"/>
  <c r="H43" i="1"/>
  <c r="J43" i="1" s="1"/>
  <c r="K43" i="1"/>
  <c r="M43" i="1" s="1"/>
  <c r="L43" i="1"/>
  <c r="N43" i="1" s="1"/>
  <c r="O43" i="1"/>
  <c r="Q43" i="1" s="1"/>
  <c r="P43" i="1"/>
  <c r="R43" i="1" s="1"/>
  <c r="S43" i="1"/>
  <c r="U43" i="1" s="1"/>
  <c r="T43" i="1"/>
  <c r="V43" i="1" s="1"/>
  <c r="W43" i="1"/>
  <c r="Y43" i="1" s="1"/>
  <c r="X43" i="1"/>
  <c r="Z43" i="1" s="1"/>
  <c r="AA43" i="1"/>
  <c r="AC43" i="1" s="1"/>
  <c r="AB43" i="1"/>
  <c r="AD43" i="1" s="1"/>
  <c r="AE43" i="1"/>
  <c r="AG43" i="1" s="1"/>
  <c r="AF43" i="1"/>
  <c r="AH43" i="1" s="1"/>
  <c r="AI43" i="1"/>
  <c r="AK43" i="1" s="1"/>
  <c r="AJ43" i="1"/>
  <c r="AL43" i="1" s="1"/>
  <c r="AM43" i="1"/>
  <c r="AO43" i="1" s="1"/>
  <c r="AN43" i="1"/>
  <c r="AP43" i="1" s="1"/>
  <c r="AQ43" i="1"/>
  <c r="AS43" i="1" s="1"/>
  <c r="AR43" i="1"/>
  <c r="AT43" i="1" s="1"/>
  <c r="AU43" i="1"/>
  <c r="AW43" i="1" s="1"/>
  <c r="AV43" i="1"/>
  <c r="AX43" i="1" s="1"/>
  <c r="G44" i="1"/>
  <c r="I44" i="1" s="1"/>
  <c r="H44" i="1"/>
  <c r="J44" i="1" s="1"/>
  <c r="K44" i="1"/>
  <c r="M44" i="1" s="1"/>
  <c r="L44" i="1"/>
  <c r="N44" i="1" s="1"/>
  <c r="O44" i="1"/>
  <c r="Q44" i="1" s="1"/>
  <c r="P44" i="1"/>
  <c r="R44" i="1" s="1"/>
  <c r="S44" i="1"/>
  <c r="U44" i="1" s="1"/>
  <c r="T44" i="1"/>
  <c r="V44" i="1" s="1"/>
  <c r="W44" i="1"/>
  <c r="Y44" i="1" s="1"/>
  <c r="X44" i="1"/>
  <c r="Z44" i="1" s="1"/>
  <c r="AA44" i="1"/>
  <c r="AC44" i="1" s="1"/>
  <c r="AB44" i="1"/>
  <c r="AD44" i="1" s="1"/>
  <c r="AE44" i="1"/>
  <c r="AG44" i="1" s="1"/>
  <c r="AF44" i="1"/>
  <c r="AH44" i="1" s="1"/>
  <c r="AI44" i="1"/>
  <c r="AK44" i="1" s="1"/>
  <c r="AJ44" i="1"/>
  <c r="AL44" i="1" s="1"/>
  <c r="AM44" i="1"/>
  <c r="AO44" i="1" s="1"/>
  <c r="AN44" i="1"/>
  <c r="AP44" i="1" s="1"/>
  <c r="AQ44" i="1"/>
  <c r="AS44" i="1" s="1"/>
  <c r="AR44" i="1"/>
  <c r="AT44" i="1" s="1"/>
  <c r="AU44" i="1"/>
  <c r="AW44" i="1" s="1"/>
  <c r="AV44" i="1"/>
  <c r="AX44" i="1" s="1"/>
  <c r="G45" i="1"/>
  <c r="I45" i="1" s="1"/>
  <c r="H45" i="1"/>
  <c r="J45" i="1" s="1"/>
  <c r="K45" i="1"/>
  <c r="M45" i="1" s="1"/>
  <c r="L45" i="1"/>
  <c r="N45" i="1" s="1"/>
  <c r="O45" i="1"/>
  <c r="Q45" i="1" s="1"/>
  <c r="P45" i="1"/>
  <c r="R45" i="1" s="1"/>
  <c r="S45" i="1"/>
  <c r="U45" i="1" s="1"/>
  <c r="T45" i="1"/>
  <c r="V45" i="1" s="1"/>
  <c r="W45" i="1"/>
  <c r="Y45" i="1" s="1"/>
  <c r="X45" i="1"/>
  <c r="Z45" i="1" s="1"/>
  <c r="AA45" i="1"/>
  <c r="AC45" i="1" s="1"/>
  <c r="AB45" i="1"/>
  <c r="AD45" i="1" s="1"/>
  <c r="AE45" i="1"/>
  <c r="AG45" i="1" s="1"/>
  <c r="AF45" i="1"/>
  <c r="AH45" i="1" s="1"/>
  <c r="AI45" i="1"/>
  <c r="AK45" i="1" s="1"/>
  <c r="AJ45" i="1"/>
  <c r="AL45" i="1" s="1"/>
  <c r="AM45" i="1"/>
  <c r="AO45" i="1" s="1"/>
  <c r="AN45" i="1"/>
  <c r="AP45" i="1" s="1"/>
  <c r="AQ45" i="1"/>
  <c r="AS45" i="1" s="1"/>
  <c r="AR45" i="1"/>
  <c r="AT45" i="1" s="1"/>
  <c r="AU45" i="1"/>
  <c r="AW45" i="1" s="1"/>
  <c r="AV45" i="1"/>
  <c r="AX45" i="1" s="1"/>
  <c r="G46" i="1"/>
  <c r="I46" i="1" s="1"/>
  <c r="H46" i="1"/>
  <c r="J46" i="1" s="1"/>
  <c r="K46" i="1"/>
  <c r="M46" i="1" s="1"/>
  <c r="L46" i="1"/>
  <c r="N46" i="1" s="1"/>
  <c r="O46" i="1"/>
  <c r="Q46" i="1" s="1"/>
  <c r="P46" i="1"/>
  <c r="R46" i="1" s="1"/>
  <c r="S46" i="1"/>
  <c r="U46" i="1" s="1"/>
  <c r="T46" i="1"/>
  <c r="V46" i="1" s="1"/>
  <c r="W46" i="1"/>
  <c r="Y46" i="1" s="1"/>
  <c r="X46" i="1"/>
  <c r="Z46" i="1" s="1"/>
  <c r="AA46" i="1"/>
  <c r="AC46" i="1" s="1"/>
  <c r="AB46" i="1"/>
  <c r="AD46" i="1" s="1"/>
  <c r="AE46" i="1"/>
  <c r="AG46" i="1" s="1"/>
  <c r="AF46" i="1"/>
  <c r="AH46" i="1" s="1"/>
  <c r="AI46" i="1"/>
  <c r="AK46" i="1" s="1"/>
  <c r="AJ46" i="1"/>
  <c r="AL46" i="1" s="1"/>
  <c r="AM46" i="1"/>
  <c r="AO46" i="1" s="1"/>
  <c r="AN46" i="1"/>
  <c r="AP46" i="1" s="1"/>
  <c r="AQ46" i="1"/>
  <c r="AS46" i="1" s="1"/>
  <c r="AR46" i="1"/>
  <c r="AT46" i="1" s="1"/>
  <c r="AU46" i="1"/>
  <c r="AW46" i="1" s="1"/>
  <c r="AV46" i="1"/>
  <c r="AX46" i="1" s="1"/>
  <c r="G47" i="1"/>
  <c r="I47" i="1" s="1"/>
  <c r="H47" i="1"/>
  <c r="J47" i="1" s="1"/>
  <c r="K47" i="1"/>
  <c r="M47" i="1" s="1"/>
  <c r="L47" i="1"/>
  <c r="N47" i="1" s="1"/>
  <c r="O47" i="1"/>
  <c r="Q47" i="1" s="1"/>
  <c r="P47" i="1"/>
  <c r="R47" i="1" s="1"/>
  <c r="S47" i="1"/>
  <c r="U47" i="1" s="1"/>
  <c r="T47" i="1"/>
  <c r="V47" i="1" s="1"/>
  <c r="W47" i="1"/>
  <c r="Y47" i="1" s="1"/>
  <c r="X47" i="1"/>
  <c r="Z47" i="1" s="1"/>
  <c r="AA47" i="1"/>
  <c r="AC47" i="1" s="1"/>
  <c r="AB47" i="1"/>
  <c r="AD47" i="1" s="1"/>
  <c r="AE47" i="1"/>
  <c r="AG47" i="1" s="1"/>
  <c r="AF47" i="1"/>
  <c r="AH47" i="1" s="1"/>
  <c r="AI47" i="1"/>
  <c r="AK47" i="1" s="1"/>
  <c r="AJ47" i="1"/>
  <c r="AL47" i="1" s="1"/>
  <c r="AM47" i="1"/>
  <c r="AO47" i="1" s="1"/>
  <c r="AN47" i="1"/>
  <c r="AP47" i="1" s="1"/>
  <c r="AQ47" i="1"/>
  <c r="AS47" i="1" s="1"/>
  <c r="AR47" i="1"/>
  <c r="AT47" i="1" s="1"/>
  <c r="AU47" i="1"/>
  <c r="AW47" i="1" s="1"/>
  <c r="AV47" i="1"/>
  <c r="AX47" i="1" s="1"/>
  <c r="G48" i="1"/>
  <c r="I48" i="1" s="1"/>
  <c r="H48" i="1"/>
  <c r="J48" i="1" s="1"/>
  <c r="K48" i="1"/>
  <c r="M48" i="1" s="1"/>
  <c r="L48" i="1"/>
  <c r="N48" i="1" s="1"/>
  <c r="O48" i="1"/>
  <c r="Q48" i="1" s="1"/>
  <c r="P48" i="1"/>
  <c r="R48" i="1" s="1"/>
  <c r="S48" i="1"/>
  <c r="U48" i="1" s="1"/>
  <c r="T48" i="1"/>
  <c r="V48" i="1" s="1"/>
  <c r="W48" i="1"/>
  <c r="Y48" i="1" s="1"/>
  <c r="X48" i="1"/>
  <c r="Z48" i="1" s="1"/>
  <c r="AA48" i="1"/>
  <c r="AC48" i="1" s="1"/>
  <c r="AB48" i="1"/>
  <c r="AD48" i="1" s="1"/>
  <c r="AE48" i="1"/>
  <c r="AG48" i="1" s="1"/>
  <c r="AF48" i="1"/>
  <c r="AH48" i="1" s="1"/>
  <c r="AI48" i="1"/>
  <c r="AK48" i="1" s="1"/>
  <c r="AJ48" i="1"/>
  <c r="AL48" i="1" s="1"/>
  <c r="AM48" i="1"/>
  <c r="AO48" i="1" s="1"/>
  <c r="AN48" i="1"/>
  <c r="AP48" i="1" s="1"/>
  <c r="AQ48" i="1"/>
  <c r="AS48" i="1" s="1"/>
  <c r="AR48" i="1"/>
  <c r="AT48" i="1" s="1"/>
  <c r="AU48" i="1"/>
  <c r="AW48" i="1" s="1"/>
  <c r="AV48" i="1"/>
  <c r="AX48" i="1" s="1"/>
  <c r="G49" i="1"/>
  <c r="I49" i="1" s="1"/>
  <c r="H49" i="1"/>
  <c r="J49" i="1" s="1"/>
  <c r="K49" i="1"/>
  <c r="M49" i="1" s="1"/>
  <c r="L49" i="1"/>
  <c r="N49" i="1" s="1"/>
  <c r="O49" i="1"/>
  <c r="Q49" i="1" s="1"/>
  <c r="P49" i="1"/>
  <c r="R49" i="1" s="1"/>
  <c r="S49" i="1"/>
  <c r="U49" i="1" s="1"/>
  <c r="T49" i="1"/>
  <c r="V49" i="1" s="1"/>
  <c r="W49" i="1"/>
  <c r="Y49" i="1" s="1"/>
  <c r="X49" i="1"/>
  <c r="Z49" i="1" s="1"/>
  <c r="AA49" i="1"/>
  <c r="AC49" i="1" s="1"/>
  <c r="AB49" i="1"/>
  <c r="AD49" i="1" s="1"/>
  <c r="AE49" i="1"/>
  <c r="AG49" i="1" s="1"/>
  <c r="AF49" i="1"/>
  <c r="AH49" i="1" s="1"/>
  <c r="AI49" i="1"/>
  <c r="AK49" i="1" s="1"/>
  <c r="AJ49" i="1"/>
  <c r="AL49" i="1" s="1"/>
  <c r="AM49" i="1"/>
  <c r="AO49" i="1" s="1"/>
  <c r="AN49" i="1"/>
  <c r="AP49" i="1" s="1"/>
  <c r="AQ49" i="1"/>
  <c r="AS49" i="1" s="1"/>
  <c r="AR49" i="1"/>
  <c r="AT49" i="1" s="1"/>
  <c r="AU49" i="1"/>
  <c r="AW49" i="1" s="1"/>
  <c r="AV49" i="1"/>
  <c r="AX49" i="1" s="1"/>
  <c r="G50" i="1"/>
  <c r="I50" i="1" s="1"/>
  <c r="H50" i="1"/>
  <c r="J50" i="1" s="1"/>
  <c r="K50" i="1"/>
  <c r="M50" i="1" s="1"/>
  <c r="L50" i="1"/>
  <c r="N50" i="1" s="1"/>
  <c r="O50" i="1"/>
  <c r="Q50" i="1" s="1"/>
  <c r="P50" i="1"/>
  <c r="R50" i="1" s="1"/>
  <c r="S50" i="1"/>
  <c r="U50" i="1" s="1"/>
  <c r="T50" i="1"/>
  <c r="V50" i="1" s="1"/>
  <c r="W50" i="1"/>
  <c r="Y50" i="1" s="1"/>
  <c r="X50" i="1"/>
  <c r="Z50" i="1" s="1"/>
  <c r="AA50" i="1"/>
  <c r="AC50" i="1" s="1"/>
  <c r="AB50" i="1"/>
  <c r="AD50" i="1" s="1"/>
  <c r="AE50" i="1"/>
  <c r="AG50" i="1" s="1"/>
  <c r="AF50" i="1"/>
  <c r="AH50" i="1" s="1"/>
  <c r="AI50" i="1"/>
  <c r="AK50" i="1" s="1"/>
  <c r="AJ50" i="1"/>
  <c r="AL50" i="1" s="1"/>
  <c r="AM50" i="1"/>
  <c r="AO50" i="1" s="1"/>
  <c r="AN50" i="1"/>
  <c r="AP50" i="1" s="1"/>
  <c r="AQ50" i="1"/>
  <c r="AS50" i="1" s="1"/>
  <c r="AR50" i="1"/>
  <c r="AT50" i="1" s="1"/>
  <c r="AU50" i="1"/>
  <c r="AW50" i="1" s="1"/>
  <c r="AV50" i="1"/>
  <c r="AX50" i="1" s="1"/>
  <c r="AV3" i="1"/>
  <c r="AX3" i="1" s="1"/>
  <c r="AU3" i="1"/>
  <c r="AW3" i="1" s="1"/>
  <c r="AR3" i="1"/>
  <c r="AT3" i="1" s="1"/>
  <c r="AQ3" i="1"/>
  <c r="AS3" i="1" s="1"/>
  <c r="AN3" i="1"/>
  <c r="AP3" i="1" s="1"/>
  <c r="AM3" i="1"/>
  <c r="AO3" i="1" s="1"/>
  <c r="AJ3" i="1"/>
  <c r="AL3" i="1" s="1"/>
  <c r="AI3" i="1"/>
  <c r="AK3" i="1" s="1"/>
  <c r="AF3" i="1"/>
  <c r="AH3" i="1" s="1"/>
  <c r="AE3" i="1"/>
  <c r="AG3" i="1" s="1"/>
  <c r="AB3" i="1"/>
  <c r="AD3" i="1" s="1"/>
  <c r="AA3" i="1"/>
  <c r="AC3" i="1" s="1"/>
  <c r="X3" i="1"/>
  <c r="Z3" i="1" s="1"/>
  <c r="W3" i="1"/>
  <c r="Y3" i="1" s="1"/>
  <c r="T3" i="1"/>
  <c r="V3" i="1" s="1"/>
  <c r="S3" i="1"/>
  <c r="U3" i="1" s="1"/>
  <c r="P3" i="1"/>
  <c r="R3" i="1" s="1"/>
  <c r="O3" i="1"/>
  <c r="Q3" i="1" s="1"/>
  <c r="L3" i="1"/>
  <c r="N3" i="1" s="1"/>
  <c r="K3" i="1"/>
  <c r="M3" i="1" s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E3" i="1"/>
  <c r="D3" i="1"/>
  <c r="H3" i="1"/>
  <c r="J3" i="1" s="1"/>
  <c r="G3" i="1"/>
  <c r="I3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" i="1"/>
  <c r="A18" i="6" l="1"/>
  <c r="A19" i="6" s="1"/>
  <c r="G18" i="6"/>
  <c r="G19" i="6" s="1"/>
  <c r="AL52" i="1"/>
  <c r="AO52" i="1"/>
  <c r="AP52" i="1"/>
  <c r="AH52" i="1"/>
  <c r="AT52" i="1"/>
  <c r="AW52" i="1"/>
  <c r="AX52" i="1"/>
  <c r="AS52" i="1"/>
  <c r="AG52" i="1"/>
  <c r="AK52" i="1"/>
  <c r="Y52" i="1" l="1"/>
  <c r="N52" i="1"/>
  <c r="Q52" i="1"/>
  <c r="AD52" i="1"/>
  <c r="U52" i="1"/>
  <c r="V52" i="1"/>
  <c r="M52" i="1"/>
  <c r="J52" i="1"/>
  <c r="Z52" i="1"/>
  <c r="I52" i="1"/>
  <c r="AC52" i="1"/>
  <c r="R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tc={C77713D8-E9A3-4A41-8575-C590706519DC}</author>
    <author>tc={5F918898-3A40-439D-BD61-F227AA370EC8}</author>
    <author>tc={5B790A6D-E02A-44C0-A98E-E674D0E54B6E}</author>
    <author>tc={CE9A6815-6767-4730-BD2D-9B6EFC76D9CD}</author>
    <author>tc={C3C07388-C0AE-4033-ACDA-DFEF858A638F}</author>
    <author>tc={BAB72679-596C-4031-9042-3FA4ABD09265}</author>
  </authors>
  <commentList>
    <comment ref="A3" authorId="0" shapeId="0" xr:uid="{C77713D8-E9A3-4A41-8575-C590706519DC}">
      <text>
        <t>[Threaded comment]
Your version of Excel allows you to read this threaded comment; however, any edits to it will get removed if the file is opened in a newer version of Excel. Learn more: https://go.microsoft.com/fwlink/?linkid=870924
Comment:
    A+B Tube</t>
      </text>
    </comment>
    <comment ref="A4" authorId="1" shapeId="0" xr:uid="{5F918898-3A40-439D-BD61-F227AA370EC8}">
      <text>
        <t>[Threaded comment]
Your version of Excel allows you to read this threaded comment; however, any edits to it will get removed if the file is opened in a newer version of Excel. Learn more: https://go.microsoft.com/fwlink/?linkid=870924
Comment:
    C+D Tube</t>
      </text>
    </comment>
    <comment ref="A17" authorId="2" shapeId="0" xr:uid="{5B790A6D-E02A-44C0-A98E-E674D0E54B6E}">
      <text>
        <t>[Threaded comment]
Your version of Excel allows you to read this threaded comment; however, any edits to it will get removed if the file is opened in a newer version of Excel. Learn more: https://go.microsoft.com/fwlink/?linkid=870924
Comment:
    A+B Tube</t>
      </text>
    </comment>
    <comment ref="A18" authorId="3" shapeId="0" xr:uid="{CE9A6815-6767-4730-BD2D-9B6EFC76D9CD}">
      <text>
        <t>[Threaded comment]
Your version of Excel allows you to read this threaded comment; however, any edits to it will get removed if the file is opened in a newer version of Excel. Learn more: https://go.microsoft.com/fwlink/?linkid=870924
Comment:
    C+D Tube</t>
      </text>
    </comment>
    <comment ref="A21" authorId="4" shapeId="0" xr:uid="{C3C07388-C0AE-4033-ACDA-DFEF858A638F}">
      <text>
        <t>[Threaded comment]
Your version of Excel allows you to read this threaded comment; however, any edits to it will get removed if the file is opened in a newer version of Excel. Learn more: https://go.microsoft.com/fwlink/?linkid=870924
Comment:
    A+B Tube</t>
      </text>
    </comment>
    <comment ref="A22" authorId="5" shapeId="0" xr:uid="{BAB72679-596C-4031-9042-3FA4ABD09265}">
      <text>
        <t>[Threaded comment]
Your version of Excel allows you to read this threaded comment; however, any edits to it will get removed if the file is opened in a newer version of Excel. Learn more: https://go.microsoft.com/fwlink/?linkid=870924
Comment:
    C+D Tube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tc={3D899D96-BA60-4C69-B943-54091F051612}</author>
    <author>tc={CD263D3E-D66D-48B3-B008-14A0D08B7E6F}</author>
    <author>tc={B3799EBE-C37D-4C32-93EA-4B53CF37465E}</author>
    <author>tc={469F2142-4595-40F7-95AD-9ABD7DD394FE}</author>
    <author>tc={142D6C17-3B0D-43D1-A6F6-A68171DBCEFC}</author>
    <author>tc={2209DC0A-7045-4BD2-B714-23F226761FAD}</author>
  </authors>
  <commentList>
    <comment ref="A3" authorId="0" shapeId="0" xr:uid="{3D899D96-BA60-4C69-B943-54091F051612}">
      <text>
        <t>[Threaded comment]
Your version of Excel allows you to read this threaded comment; however, any edits to it will get removed if the file is opened in a newer version of Excel. Learn more: https://go.microsoft.com/fwlink/?linkid=870924
Comment:
    A+B Tube</t>
      </text>
    </comment>
    <comment ref="A4" authorId="1" shapeId="0" xr:uid="{CD263D3E-D66D-48B3-B008-14A0D08B7E6F}">
      <text>
        <t>[Threaded comment]
Your version of Excel allows you to read this threaded comment; however, any edits to it will get removed if the file is opened in a newer version of Excel. Learn more: https://go.microsoft.com/fwlink/?linkid=870924
Comment:
    C+D Tube</t>
      </text>
    </comment>
    <comment ref="A17" authorId="2" shapeId="0" xr:uid="{B3799EBE-C37D-4C32-93EA-4B53CF37465E}">
      <text>
        <t>[Threaded comment]
Your version of Excel allows you to read this threaded comment; however, any edits to it will get removed if the file is opened in a newer version of Excel. Learn more: https://go.microsoft.com/fwlink/?linkid=870924
Comment:
    A+B Tube</t>
      </text>
    </comment>
    <comment ref="A18" authorId="3" shapeId="0" xr:uid="{469F2142-4595-40F7-95AD-9ABD7DD39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C+D Tube</t>
      </text>
    </comment>
    <comment ref="A21" authorId="4" shapeId="0" xr:uid="{142D6C17-3B0D-43D1-A6F6-A68171DBCEFC}">
      <text>
        <t>[Threaded comment]
Your version of Excel allows you to read this threaded comment; however, any edits to it will get removed if the file is opened in a newer version of Excel. Learn more: https://go.microsoft.com/fwlink/?linkid=870924
Comment:
    A+B Tube</t>
      </text>
    </comment>
    <comment ref="A22" authorId="5" shapeId="0" xr:uid="{2209DC0A-7045-4BD2-B714-23F226761FAD}">
      <text>
        <t>[Threaded comment]
Your version of Excel allows you to read this threaded comment; however, any edits to it will get removed if the file is opened in a newer version of Excel. Learn more: https://go.microsoft.com/fwlink/?linkid=870924
Comment:
    C+D Tube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C8C7E6-5256-4C4C-8045-DD78E09427BC}" keepAlive="1" name="Query - Parts List and Volumes" description="Connection to the 'Parts List and Volumes' query in the workbook." type="5" refreshedVersion="7" background="1" refreshOnLoad="1" saveData="1">
    <dbPr connection="Provider=Microsoft.Mashup.OleDb.1;Data Source=$Workbook$;Location=&quot;Parts List and Volumes&quot;;Extended Properties=&quot;&quot;" command="SELECT * FROM [Parts List and Volumes]"/>
  </connection>
</connections>
</file>

<file path=xl/sharedStrings.xml><?xml version="1.0" encoding="utf-8"?>
<sst xmlns="http://schemas.openxmlformats.org/spreadsheetml/2006/main" count="2232" uniqueCount="448">
  <si>
    <t>Platform</t>
  </si>
  <si>
    <t>Customer Part Number</t>
  </si>
  <si>
    <t>Tube Diamter</t>
  </si>
  <si>
    <t>cyc time</t>
  </si>
  <si>
    <t>Actual Volume</t>
  </si>
  <si>
    <t>Customer Quoted Vol</t>
  </si>
  <si>
    <t>% to Actual</t>
  </si>
  <si>
    <t>% to Tool Note</t>
  </si>
  <si>
    <t>seconds</t>
  </si>
  <si>
    <t>Maximum run time per shift - breaks (7.5 hours)</t>
  </si>
  <si>
    <t>percent</t>
  </si>
  <si>
    <t>Expected/Planned Efficiency (with PFD)</t>
  </si>
  <si>
    <t>shifts</t>
  </si>
  <si>
    <t>shifts per week (some customers want to see 10 shifts)</t>
  </si>
  <si>
    <t>Weeks</t>
  </si>
  <si>
    <t>weeks per year</t>
  </si>
  <si>
    <t>Plan for:</t>
  </si>
  <si>
    <t>Change over per shift 2 @ 20 minutes</t>
  </si>
  <si>
    <t>10 minute cleanup and TPM 10 min</t>
  </si>
  <si>
    <t>Shift meeting 5 min</t>
  </si>
  <si>
    <t>Preventative Maintenance Time (2 PM's per month @ 8 hrs).</t>
  </si>
  <si>
    <t>Averaged Equipment Emerg. Downtime</t>
  </si>
  <si>
    <t>Bad tube/material average - sporadic / no good data</t>
  </si>
  <si>
    <t>Time alloted for quality checks (10 min)</t>
  </si>
  <si>
    <t>Total non run-time per shift</t>
  </si>
  <si>
    <t xml:space="preserve"> </t>
  </si>
  <si>
    <t xml:space="preserve">Seconds available per shift </t>
  </si>
  <si>
    <t>Seconds of run time available per year</t>
  </si>
  <si>
    <t>CNC Machine #</t>
  </si>
  <si>
    <t>TI Part Number</t>
  </si>
  <si>
    <t># of Bends</t>
  </si>
  <si>
    <t>Customer</t>
  </si>
  <si>
    <t>Customer Program</t>
  </si>
  <si>
    <t>Internal TI Part Number</t>
  </si>
  <si>
    <t>2022 Actual</t>
  </si>
  <si>
    <t>2023 Actual</t>
  </si>
  <si>
    <t>2024 Actual</t>
  </si>
  <si>
    <t>2025 Actual</t>
  </si>
  <si>
    <t>2026 Actual</t>
  </si>
  <si>
    <t>2027 Actual</t>
  </si>
  <si>
    <t>2028 Actual</t>
  </si>
  <si>
    <t>2029 Actual</t>
  </si>
  <si>
    <t>2030 Actual</t>
  </si>
  <si>
    <t>Ford</t>
  </si>
  <si>
    <t>LC24 2263 AA</t>
  </si>
  <si>
    <t>NE000268AAF20</t>
  </si>
  <si>
    <t>LC24 2264 AA</t>
  </si>
  <si>
    <t>NE000269AAF20</t>
  </si>
  <si>
    <t>LC24 2234 AC</t>
  </si>
  <si>
    <t>NF000862ACF20</t>
  </si>
  <si>
    <t>LC24 2234 BC</t>
  </si>
  <si>
    <t>NF000863ACF20</t>
  </si>
  <si>
    <t>LC24 2234 CC</t>
  </si>
  <si>
    <t>NF000864ACF20</t>
  </si>
  <si>
    <t>LC24 2234 DC</t>
  </si>
  <si>
    <t>NF000865ACF20</t>
  </si>
  <si>
    <t>NF000866ABF20</t>
  </si>
  <si>
    <t>LC24 2234 FB</t>
  </si>
  <si>
    <t>NF000867ABF20</t>
  </si>
  <si>
    <t>LC24 9G700 AD</t>
  </si>
  <si>
    <t>NI000618ACF20</t>
  </si>
  <si>
    <t>LC24 9G700 BE</t>
  </si>
  <si>
    <t>NI000619ADF20</t>
  </si>
  <si>
    <t>LC24 9G700 CE</t>
  </si>
  <si>
    <t>NI000620ADF20</t>
  </si>
  <si>
    <t>LC24 9G700 DD</t>
  </si>
  <si>
    <t>NI000621ACF20</t>
  </si>
  <si>
    <t>LC24 9G700 DE</t>
  </si>
  <si>
    <t>NI000621ADF20</t>
  </si>
  <si>
    <t>LC24 9G700 ED</t>
  </si>
  <si>
    <t>NI000622ACF20</t>
  </si>
  <si>
    <t>LC24 9G700 EE</t>
  </si>
  <si>
    <t>NI000622ADF20</t>
  </si>
  <si>
    <t>LC24 9G700 FD</t>
  </si>
  <si>
    <t>NI000623ACF20</t>
  </si>
  <si>
    <t>LC24 9G700 GE</t>
  </si>
  <si>
    <t>NI000624ADF20</t>
  </si>
  <si>
    <t>LC24 9G700 JD</t>
  </si>
  <si>
    <t>NI000625ACF20</t>
  </si>
  <si>
    <t>LC24 9G700 JE</t>
  </si>
  <si>
    <t>NI000625ADF20</t>
  </si>
  <si>
    <t>LC24 2C017 AA</t>
  </si>
  <si>
    <t>NJ000153AAF20</t>
  </si>
  <si>
    <t>LC24 2C017 BA</t>
  </si>
  <si>
    <t>NJ000154AAF20</t>
  </si>
  <si>
    <t>LC24 9G291 AB</t>
  </si>
  <si>
    <t>PE000117AAF20</t>
  </si>
  <si>
    <t>LC24 9S296 AA</t>
  </si>
  <si>
    <t>PF000127AAF20</t>
  </si>
  <si>
    <t>LC24 9S296 BA</t>
  </si>
  <si>
    <t>PF000128AAF20</t>
  </si>
  <si>
    <t>LC24 9B050 AB</t>
  </si>
  <si>
    <t>PK000445ABF20</t>
  </si>
  <si>
    <t>F5X</t>
  </si>
  <si>
    <t>BU94 9C047 AC</t>
  </si>
  <si>
    <t>PA000421ABF20</t>
  </si>
  <si>
    <t>BU94 9C047 BC</t>
  </si>
  <si>
    <t>PA000422ABF20</t>
  </si>
  <si>
    <t>CU94 9S273 BB</t>
  </si>
  <si>
    <t>PA008811ABF20</t>
  </si>
  <si>
    <t>GU94 9A322 JB</t>
  </si>
  <si>
    <t>PE000089AAF20</t>
  </si>
  <si>
    <t>LU94 9G321 BA</t>
  </si>
  <si>
    <t>PE000118AAF20</t>
  </si>
  <si>
    <t>LU94 9G321 CA</t>
  </si>
  <si>
    <t>PE000119AAF20</t>
  </si>
  <si>
    <t>LU94 9G321 DA</t>
  </si>
  <si>
    <t>PE000120AAF20</t>
  </si>
  <si>
    <t>LU94 9G321 EA</t>
  </si>
  <si>
    <t>PE000121AAF20</t>
  </si>
  <si>
    <t>LU94 9G321 FA</t>
  </si>
  <si>
    <t>PE000122AAF20</t>
  </si>
  <si>
    <t>LU94 9G321 GA</t>
  </si>
  <si>
    <t>PE000123AAF20</t>
  </si>
  <si>
    <t>LU94 9G321 HA</t>
  </si>
  <si>
    <t>PE000124AAF20</t>
  </si>
  <si>
    <t>LU94 9G321 JA</t>
  </si>
  <si>
    <t>PE000125AAF20</t>
  </si>
  <si>
    <t>BU94 9A322 BB</t>
  </si>
  <si>
    <t>PE000201AAF20</t>
  </si>
  <si>
    <t>BU94 9A322 CB</t>
  </si>
  <si>
    <t>PE000202AAF20</t>
  </si>
  <si>
    <t>BU94 9A322 DB</t>
  </si>
  <si>
    <t>PE000203AAF20</t>
  </si>
  <si>
    <t>BU94 9A322 EB</t>
  </si>
  <si>
    <t>PE000204AAF20</t>
  </si>
  <si>
    <t>BU94 9A322 FB</t>
  </si>
  <si>
    <t>PE000205AAF20</t>
  </si>
  <si>
    <t>BU94 9A322 GB</t>
  </si>
  <si>
    <t>PE000206AAF20</t>
  </si>
  <si>
    <t>BU94 9A322 HB</t>
  </si>
  <si>
    <t>PE000207AAF20</t>
  </si>
  <si>
    <t>CU94 9S273 AA</t>
  </si>
  <si>
    <t>PK000262AAF20</t>
  </si>
  <si>
    <t>LU94 9B050 AB</t>
  </si>
  <si>
    <t>PK000447ABF20</t>
  </si>
  <si>
    <t>LU94 9C047 CD</t>
  </si>
  <si>
    <t>PK000448ADF20</t>
  </si>
  <si>
    <t>LU94 9C047 DE</t>
  </si>
  <si>
    <t>PK000449ADF20</t>
  </si>
  <si>
    <t>LU94 9C047 EA</t>
  </si>
  <si>
    <t>PK000450AAF20</t>
  </si>
  <si>
    <t>LU94 9C047 FA</t>
  </si>
  <si>
    <t>PK000451AAF20</t>
  </si>
  <si>
    <t>Mercedes</t>
  </si>
  <si>
    <t>BR167</t>
  </si>
  <si>
    <t>A167 420 73 00</t>
  </si>
  <si>
    <t>NBAA0021CAF20</t>
  </si>
  <si>
    <t>A167 420 54 00</t>
  </si>
  <si>
    <t>NBAA0022BAF20</t>
  </si>
  <si>
    <t>A167 420 65 00</t>
  </si>
  <si>
    <t>NBAA0023BAF20</t>
  </si>
  <si>
    <t>A167 420 66 00</t>
  </si>
  <si>
    <t>NBAA0024BAF20</t>
  </si>
  <si>
    <t>EVA-II</t>
  </si>
  <si>
    <t>A295 420 0800</t>
  </si>
  <si>
    <t>NBAA3543AAF20</t>
  </si>
  <si>
    <t>A296 420 1200</t>
  </si>
  <si>
    <t>NBAA3544AAF20</t>
  </si>
  <si>
    <t>A296 420 1300</t>
  </si>
  <si>
    <t>NBAA3545AAF20</t>
  </si>
  <si>
    <t>A297 420 2500</t>
  </si>
  <si>
    <t>NBAA3546AAF20</t>
  </si>
  <si>
    <t>A297 420 2700</t>
  </si>
  <si>
    <t>NBAA3548AAF20</t>
  </si>
  <si>
    <t>A297 420 4300</t>
  </si>
  <si>
    <t>NBAA3550AAF20</t>
  </si>
  <si>
    <t>A297 420 4500</t>
  </si>
  <si>
    <t>NBAA3551AAF20</t>
  </si>
  <si>
    <t>A297 420 3500</t>
  </si>
  <si>
    <t>NBAA3553AAF20</t>
  </si>
  <si>
    <t>A294 420 1200</t>
  </si>
  <si>
    <t>NBAA3541AAF20</t>
  </si>
  <si>
    <t>A294 420 1300</t>
  </si>
  <si>
    <t>NBAA3542AAF20</t>
  </si>
  <si>
    <t>A297 420 2600</t>
  </si>
  <si>
    <t>NBAA3547AAF20</t>
  </si>
  <si>
    <t>A297 420 2800</t>
  </si>
  <si>
    <t>NBAA3549AAF20</t>
  </si>
  <si>
    <t>A295 420 1300</t>
  </si>
  <si>
    <t>NBAA3552AAF20</t>
  </si>
  <si>
    <t>A297 420 3600</t>
  </si>
  <si>
    <t>NBAA3554AAF20</t>
  </si>
  <si>
    <t>A297 420 3700</t>
  </si>
  <si>
    <t>NBAA3555AAF20</t>
  </si>
  <si>
    <t>A297 420 3800</t>
  </si>
  <si>
    <t>NBAA3556AAF20</t>
  </si>
  <si>
    <t>A167 420 55 00</t>
  </si>
  <si>
    <t>NBAA0025BAF20</t>
  </si>
  <si>
    <t>A167 420 86 00</t>
  </si>
  <si>
    <t>NBAA0030DAF20</t>
  </si>
  <si>
    <t>A167 420 56 00</t>
  </si>
  <si>
    <t>NBAA0027BAF20</t>
  </si>
  <si>
    <t>A167 420 87 00</t>
  </si>
  <si>
    <t>NBAA0031DAF20</t>
  </si>
  <si>
    <t>A167 420 82 00</t>
  </si>
  <si>
    <t>NA000039DAF20</t>
  </si>
  <si>
    <t>A167 420 75 00</t>
  </si>
  <si>
    <t>NA000040CAF20</t>
  </si>
  <si>
    <t>A167 420 69 00</t>
  </si>
  <si>
    <t>NA000041BAF20</t>
  </si>
  <si>
    <t>A167 420 70 00</t>
  </si>
  <si>
    <t>NA000042BAF20</t>
  </si>
  <si>
    <t>A167 420 67 00</t>
  </si>
  <si>
    <t>NBAA0028BAF20</t>
  </si>
  <si>
    <t>A167 420 68 00</t>
  </si>
  <si>
    <t>NBAA0029BAF20</t>
  </si>
  <si>
    <t>A167 470 29 03</t>
  </si>
  <si>
    <t>NFLT0001CBF20</t>
  </si>
  <si>
    <t>A167 470 31 03</t>
  </si>
  <si>
    <t>NFLT0002CAF20</t>
  </si>
  <si>
    <t>A167 470 33 03</t>
  </si>
  <si>
    <t>NFLT0003BAF20</t>
  </si>
  <si>
    <t>A167 470 22 03</t>
  </si>
  <si>
    <t>NFLT0005CBF20</t>
  </si>
  <si>
    <t>A167 470 78 03</t>
  </si>
  <si>
    <t>NFLT0004DAF20</t>
  </si>
  <si>
    <t>A167 470 28 05</t>
  </si>
  <si>
    <t>NFLT0023AAF20</t>
  </si>
  <si>
    <t>A167 470 70 03</t>
  </si>
  <si>
    <t>NFLT0013DAF20</t>
  </si>
  <si>
    <t>A167 470 20 03</t>
  </si>
  <si>
    <t>NFLT0007CAF20</t>
  </si>
  <si>
    <t>A167 470 27 05</t>
  </si>
  <si>
    <t>NFLT0022AAF20</t>
  </si>
  <si>
    <t>A167 470 30 03</t>
  </si>
  <si>
    <t>NFLT0009BAF20</t>
  </si>
  <si>
    <t>A167 470 32 03</t>
  </si>
  <si>
    <t>NFLT0010BAF20</t>
  </si>
  <si>
    <t>A167 420 81 00</t>
  </si>
  <si>
    <t>NFLT0011BAF20</t>
  </si>
  <si>
    <t>A167 420 83 00</t>
  </si>
  <si>
    <t>NFLT0012BAF20</t>
  </si>
  <si>
    <t>A167 420 84 00</t>
  </si>
  <si>
    <t>NBAA0047CAF20</t>
  </si>
  <si>
    <t>A167 420 85 00</t>
  </si>
  <si>
    <t>NBAA0048CAF20</t>
  </si>
  <si>
    <t>A167 470 69 03</t>
  </si>
  <si>
    <t>NFLT0014DAF20</t>
  </si>
  <si>
    <t>A167 470 51 04</t>
  </si>
  <si>
    <t>NF020658AAF20</t>
  </si>
  <si>
    <t>A167 470 50 04</t>
  </si>
  <si>
    <t>NF020657AAF20</t>
  </si>
  <si>
    <t>A167 470 49 04</t>
  </si>
  <si>
    <t>NF020656AAF20</t>
  </si>
  <si>
    <t>A167 470 47 04</t>
  </si>
  <si>
    <t>NF020654AAF20</t>
  </si>
  <si>
    <t>A167 470 48 04</t>
  </si>
  <si>
    <t>NF020655AAF20</t>
  </si>
  <si>
    <t>A167 470 52 04</t>
  </si>
  <si>
    <t>NF020659AAF20</t>
  </si>
  <si>
    <t>BMW</t>
  </si>
  <si>
    <t>7-915-325-02</t>
  </si>
  <si>
    <t>NFAA1610AAF20</t>
  </si>
  <si>
    <t>NFAA1611AAF20</t>
  </si>
  <si>
    <t>7-915-329-01</t>
  </si>
  <si>
    <t>NFAA1612AAF20</t>
  </si>
  <si>
    <t>7-915-331-02</t>
  </si>
  <si>
    <t>NFAA1617AAF20</t>
  </si>
  <si>
    <t>7-915-333-02</t>
  </si>
  <si>
    <t>NFAA1618AAF20</t>
  </si>
  <si>
    <t>7-915-335-02</t>
  </si>
  <si>
    <t>NFAA1619AAF20</t>
  </si>
  <si>
    <t>7-915-337-01</t>
  </si>
  <si>
    <t>NFAA1620AAF20</t>
  </si>
  <si>
    <t>7-915-339-01</t>
  </si>
  <si>
    <t>NFAA1621AAF20</t>
  </si>
  <si>
    <t>6-871-435-01</t>
  </si>
  <si>
    <t>NFAA0187AAF20</t>
  </si>
  <si>
    <t>6-871-439-03</t>
  </si>
  <si>
    <t>NFAA0189ACF20</t>
  </si>
  <si>
    <t>6-871-441-03</t>
  </si>
  <si>
    <t>NFAA0190ACF20</t>
  </si>
  <si>
    <t>6-874-633-01</t>
  </si>
  <si>
    <t>6-874-635-02</t>
  </si>
  <si>
    <t>NFAA0196ABF20</t>
  </si>
  <si>
    <t>6-896-407-01</t>
  </si>
  <si>
    <t>NFAA0286AAF20</t>
  </si>
  <si>
    <t>6-896-409-01</t>
  </si>
  <si>
    <t>NFAA0287AAF20</t>
  </si>
  <si>
    <t>6-896-403-01</t>
  </si>
  <si>
    <t>NFAA0298AAF20</t>
  </si>
  <si>
    <t>6-896-405-01</t>
  </si>
  <si>
    <t>NFAA0299AAF20</t>
  </si>
  <si>
    <t>6-897-400-01</t>
  </si>
  <si>
    <t>NFAA0300AAF20</t>
  </si>
  <si>
    <t>6-871-307-02</t>
  </si>
  <si>
    <t>NFAA0208ABF20</t>
  </si>
  <si>
    <t>6-871-309-02</t>
  </si>
  <si>
    <t>NFAA0209ABF20</t>
  </si>
  <si>
    <t>6-871-311-01</t>
  </si>
  <si>
    <t>NFAA0210AAF20</t>
  </si>
  <si>
    <t>6-871-313-01</t>
  </si>
  <si>
    <t>NFAA0211AAF20</t>
  </si>
  <si>
    <t>6-871-315-01</t>
  </si>
  <si>
    <t>NFAA0212AAF20</t>
  </si>
  <si>
    <t>6-871-317-01</t>
  </si>
  <si>
    <t>NFAA0213AAF20</t>
  </si>
  <si>
    <t>6-871-319-01</t>
  </si>
  <si>
    <t>NFAA0214AAF20</t>
  </si>
  <si>
    <t>6-871-321-03</t>
  </si>
  <si>
    <t>NFAA0215ACF20</t>
  </si>
  <si>
    <t>6-871-323-03</t>
  </si>
  <si>
    <t>NFAA0216ACF20</t>
  </si>
  <si>
    <t>6-871-325-04</t>
  </si>
  <si>
    <t>NFAA0217ADF20</t>
  </si>
  <si>
    <t>6-871-327-04</t>
  </si>
  <si>
    <t>NFAA0218ADF20</t>
  </si>
  <si>
    <t>6-895-879-01</t>
  </si>
  <si>
    <t>NFAA0281AAF20</t>
  </si>
  <si>
    <t>Rivian</t>
  </si>
  <si>
    <t>PT00000725</t>
  </si>
  <si>
    <t>NJ000693ABF20</t>
  </si>
  <si>
    <t>PT00000727</t>
  </si>
  <si>
    <t>NJ000694AAF20</t>
  </si>
  <si>
    <t>PT00043959</t>
  </si>
  <si>
    <t>PT00043960</t>
  </si>
  <si>
    <t>NJ000674ABF20</t>
  </si>
  <si>
    <t>PT00043961</t>
  </si>
  <si>
    <t>NJ000689ABF20</t>
  </si>
  <si>
    <t>PT00043962</t>
  </si>
  <si>
    <t>PT00043963</t>
  </si>
  <si>
    <t>NJ000690AAF20</t>
  </si>
  <si>
    <t>PT00045073</t>
  </si>
  <si>
    <t>NJ000663ABF20</t>
  </si>
  <si>
    <t>PT00050045</t>
  </si>
  <si>
    <t>PT00050048</t>
  </si>
  <si>
    <t>NJ000691ABF20</t>
  </si>
  <si>
    <t>PT00050049</t>
  </si>
  <si>
    <t>NJ000675ABF20</t>
  </si>
  <si>
    <t>PT00050050</t>
  </si>
  <si>
    <t>NJ000692ABF20</t>
  </si>
  <si>
    <t>PT00060326</t>
  </si>
  <si>
    <t>PT00060324</t>
  </si>
  <si>
    <t>PT00160898</t>
  </si>
  <si>
    <t>PT00133951</t>
  </si>
  <si>
    <t>PT00133952</t>
  </si>
  <si>
    <t>PT00058307</t>
  </si>
  <si>
    <t>PT00060327</t>
  </si>
  <si>
    <t>PT00060325</t>
  </si>
  <si>
    <t>PT00046471</t>
  </si>
  <si>
    <t>PT00046530</t>
  </si>
  <si>
    <t>PT00054001</t>
  </si>
  <si>
    <t>PT00054002</t>
  </si>
  <si>
    <t>PT00054003</t>
  </si>
  <si>
    <t>PT00054004</t>
  </si>
  <si>
    <t>PT00056123</t>
  </si>
  <si>
    <t>PT00056126</t>
  </si>
  <si>
    <t>PT00080218</t>
  </si>
  <si>
    <t>PT00043732</t>
  </si>
  <si>
    <t>PT00043734</t>
  </si>
  <si>
    <t>PT00043737</t>
  </si>
  <si>
    <t>PT00043735</t>
  </si>
  <si>
    <t>PT00046526</t>
  </si>
  <si>
    <t>PT00046528</t>
  </si>
  <si>
    <t>PT00046470</t>
  </si>
  <si>
    <t>PT00046472</t>
  </si>
  <si>
    <t>PT00113118</t>
  </si>
  <si>
    <t>PT00113116</t>
  </si>
  <si>
    <t>PT00113117</t>
  </si>
  <si>
    <t>PT00113115</t>
  </si>
  <si>
    <t>Volvo</t>
  </si>
  <si>
    <t>V431</t>
  </si>
  <si>
    <t>PB000464AAF20</t>
  </si>
  <si>
    <t>PB000461AAF20</t>
  </si>
  <si>
    <t>PB000462AAF20</t>
  </si>
  <si>
    <t>PB000463AAF20</t>
  </si>
  <si>
    <t>PB000099CAF20</t>
  </si>
  <si>
    <t>2022 Quoted</t>
  </si>
  <si>
    <t>2023 Quoted</t>
  </si>
  <si>
    <t>2024 Quoted</t>
  </si>
  <si>
    <t>2025 Quoted</t>
  </si>
  <si>
    <t>2026 Quoted</t>
  </si>
  <si>
    <t>2027 Quoted</t>
  </si>
  <si>
    <t>2028 Quoted</t>
  </si>
  <si>
    <t>2029 Quoted</t>
  </si>
  <si>
    <t>2030 Quoted</t>
  </si>
  <si>
    <t>List of Programs</t>
  </si>
  <si>
    <t>EVAII</t>
  </si>
  <si>
    <t>Tube Diameter</t>
  </si>
  <si>
    <t xml:space="preserve">CNC - Dengler Capacity Assumptions - Planning </t>
  </si>
  <si>
    <t xml:space="preserve">CNC - Wafios Capacity Assumptions - Planning </t>
  </si>
  <si>
    <t>Change over per shift 2 @ 10 minutes</t>
  </si>
  <si>
    <t>Time alloted for quality checks (5 min)</t>
  </si>
  <si>
    <t>8 per subassembly</t>
  </si>
  <si>
    <t>3</t>
  </si>
  <si>
    <t>16</t>
  </si>
  <si>
    <t>17</t>
  </si>
  <si>
    <t>7</t>
  </si>
  <si>
    <t>6</t>
  </si>
  <si>
    <t>5</t>
  </si>
  <si>
    <t>NJ000767AAF21</t>
  </si>
  <si>
    <t>NJ000771AAF20</t>
  </si>
  <si>
    <t>NJ000748AAF20</t>
  </si>
  <si>
    <t>NJ000749AAF20</t>
  </si>
  <si>
    <t>NJ000751AAF20</t>
  </si>
  <si>
    <t>NJ000750AAF20</t>
  </si>
  <si>
    <t>NJ000754AAF20</t>
  </si>
  <si>
    <t>Target Utilization</t>
  </si>
  <si>
    <t>32312547</t>
  </si>
  <si>
    <t>32312587</t>
  </si>
  <si>
    <t>32312586</t>
  </si>
  <si>
    <t>32312546</t>
  </si>
  <si>
    <t>31478133</t>
  </si>
  <si>
    <t>NJ000676ACF20</t>
  </si>
  <si>
    <t>NJ000662ACF20</t>
  </si>
  <si>
    <t>NJ000677ACF20</t>
  </si>
  <si>
    <t>NJ000769AAF20</t>
  </si>
  <si>
    <t>NJ000776AAF20</t>
  </si>
  <si>
    <t>NJ000777AAF20</t>
  </si>
  <si>
    <t>NJ000766AAF20</t>
  </si>
  <si>
    <t>NJ000770AAF20</t>
  </si>
  <si>
    <t>NJ000759AAF20</t>
  </si>
  <si>
    <t>NJ000758AAF20</t>
  </si>
  <si>
    <t>NJ000760ABF20</t>
  </si>
  <si>
    <t>NJ000761ABF20</t>
  </si>
  <si>
    <t>NJ000762ABF20</t>
  </si>
  <si>
    <t>NJ000763ABF20</t>
  </si>
  <si>
    <t>NJ000764AAF20</t>
  </si>
  <si>
    <t>NJ000765AAF20</t>
  </si>
  <si>
    <t>NJ000756AAF20</t>
  </si>
  <si>
    <t>NJ000752ABF20</t>
  </si>
  <si>
    <t>NJ000753ABF20</t>
  </si>
  <si>
    <t>LC24 2234 EC</t>
  </si>
  <si>
    <t>9C24 9S296 DD</t>
  </si>
  <si>
    <t>PA000413ABF20</t>
  </si>
  <si>
    <t>9C24 9S296 ED</t>
  </si>
  <si>
    <t>PA000414ABF20</t>
  </si>
  <si>
    <t>7-915-327-03</t>
  </si>
  <si>
    <t xml:space="preserve">NFAA0195AAF20 </t>
  </si>
  <si>
    <t>G05_G06_G07_G09</t>
  </si>
  <si>
    <t>G01_G02</t>
  </si>
  <si>
    <t>G05_G06_G07</t>
  </si>
  <si>
    <t>G05_G06</t>
  </si>
  <si>
    <t>RPV_700_900</t>
  </si>
  <si>
    <t>RPV_500</t>
  </si>
  <si>
    <t>RPV_500_700_900</t>
  </si>
  <si>
    <t>RPV_700</t>
  </si>
  <si>
    <t>_R1S_T</t>
  </si>
  <si>
    <t>_R1T</t>
  </si>
  <si>
    <t>_R1S</t>
  </si>
  <si>
    <t>G07_G09</t>
  </si>
  <si>
    <t>_VN127</t>
  </si>
  <si>
    <t>NJ000768ABF20</t>
  </si>
  <si>
    <t>_BR167</t>
  </si>
  <si>
    <t>COMMENTS:</t>
  </si>
  <si>
    <t xml:space="preserve">   Rivian volumes will leave this machine in september of 2022 and go to CAD-075</t>
  </si>
  <si>
    <t>Cycle times on 4 Head Dengler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</si>
</sst>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8"/>
      <color theme="0"/>
      <name val="Calibri"/>
      <family val="2"/>
      <scheme val="minor"/>
    </font>
    <font>
      <sz val="8"/>
      <color theme="1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165"/>
        <bgColor indexed="64"/>
      </patternFill>
    </fill>
    <fill>
      <patternFill patternType="solid">
        <fgColor rgb="FFBED6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>
      <alignment wrapText="1"/>
    </xf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101">
    <xf numFmtId="0" fontId="0" fillId="0" borderId="0" xfId="0"/>
    <xf numFmtId="3" fontId="4" fillId="0" borderId="19" xfId="9" applyNumberFormat="1" applyFont="1" applyBorder="1" applyAlignment="1">
      <alignment horizontal="center" vertical="center" wrapText="1"/>
    </xf>
    <xf numFmtId="0" fontId="4" fillId="0" borderId="22" xfId="9" applyFont="1" applyBorder="1" applyAlignment="1">
      <alignment horizontal="center" vertical="center" wrapText="1"/>
    </xf>
    <xf numFmtId="3" fontId="4" fillId="0" borderId="22" xfId="9" applyNumberFormat="1" applyFont="1" applyBorder="1" applyAlignment="1">
      <alignment horizontal="center" vertical="center" wrapText="1"/>
    </xf>
    <xf numFmtId="3" fontId="4" fillId="3" borderId="19" xfId="9" applyNumberFormat="1" applyFont="1" applyFill="1" applyBorder="1" applyAlignment="1">
      <alignment horizontal="center" vertical="center" wrapText="1"/>
    </xf>
    <xf numFmtId="3" fontId="4" fillId="3" borderId="22" xfId="9" applyNumberFormat="1" applyFont="1" applyFill="1" applyBorder="1" applyAlignment="1">
      <alignment horizontal="center" vertical="center" wrapText="1"/>
    </xf>
    <xf numFmtId="3" fontId="8" fillId="4" borderId="4" xfId="9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 wrapText="1"/>
    </xf>
    <xf numFmtId="0" fontId="4" fillId="0" borderId="20" xfId="9" applyFont="1" applyBorder="1" applyAlignment="1">
      <alignment horizontal="center" vertical="center" wrapText="1"/>
    </xf>
    <xf numFmtId="0" fontId="4" fillId="0" borderId="27" xfId="9" applyFont="1" applyBorder="1" applyAlignment="1">
      <alignment horizontal="center" vertical="center" wrapText="1"/>
    </xf>
    <xf numFmtId="0" fontId="4" fillId="0" borderId="27" xfId="9" applyFont="1" applyBorder="1" applyAlignment="1">
      <alignment horizontal="center" vertical="center" wrapText="1"/>
    </xf>
    <xf numFmtId="0" fontId="4" fillId="0" borderId="0" xfId="9" applyFont="1" applyAlignment="1">
      <alignment horizontal="center" vertical="center" wrapText="1"/>
    </xf>
    <xf numFmtId="0" fontId="4" fillId="0" borderId="20" xfId="9" applyFont="1" applyBorder="1" applyAlignment="1">
      <alignment horizontal="center" vertical="center" wrapText="1"/>
    </xf>
    <xf numFmtId="0" fontId="0" fillId="0" borderId="0" xfId="0" applyNumberFormat="1"/>
    <xf numFmtId="1" fontId="0" fillId="0" borderId="0" xfId="0" applyNumberFormat="1"/>
    <xf numFmtId="0" fontId="15" fillId="7" borderId="14" xfId="0" applyFont="1" applyFill="1" applyBorder="1"/>
    <xf numFmtId="0" fontId="17" fillId="6" borderId="14" xfId="0" applyFont="1" applyFill="1" applyBorder="1"/>
    <xf numFmtId="165" fontId="17" fillId="6" borderId="14" xfId="0" applyNumberFormat="1" applyFont="1" applyFill="1" applyBorder="1"/>
    <xf numFmtId="164" fontId="17" fillId="6" borderId="14" xfId="1" applyNumberFormat="1" applyFont="1" applyFill="1" applyBorder="1"/>
    <xf numFmtId="164" fontId="14" fillId="5" borderId="14" xfId="1" applyNumberFormat="1" applyFont="1" applyFill="1" applyBorder="1"/>
    <xf numFmtId="1" fontId="5" fillId="0" borderId="10" xfId="5" applyNumberFormat="1" applyFont="1" applyBorder="1" applyAlignment="1" applyProtection="1">
      <alignment horizontal="center" vertical="center"/>
    </xf>
    <xf numFmtId="0" fontId="0" fillId="0" borderId="14" xfId="0" applyNumberFormat="1" applyBorder="1" applyAlignment="1">
      <alignment horizontal="center"/>
    </xf>
    <xf numFmtId="0" fontId="0" fillId="0" borderId="0" xfId="0" applyProtection="1">
      <protection locked="0"/>
    </xf>
    <xf numFmtId="0" fontId="5" fillId="0" borderId="9" xfId="4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5" fillId="0" borderId="10" xfId="3" applyFont="1" applyBorder="1" applyAlignment="1" applyProtection="1">
      <alignment horizontal="center" vertical="center"/>
      <protection locked="0"/>
    </xf>
    <xf numFmtId="0" fontId="5" fillId="0" borderId="15" xfId="3" applyFont="1" applyBorder="1" applyAlignment="1" applyProtection="1">
      <alignment horizontal="center" vertical="center"/>
      <protection locked="0"/>
    </xf>
    <xf numFmtId="0" fontId="10" fillId="5" borderId="4" xfId="0" applyFont="1" applyFill="1" applyBorder="1" applyAlignment="1" applyProtection="1">
      <alignment horizontal="center" vertical="center" wrapText="1"/>
    </xf>
    <xf numFmtId="0" fontId="10" fillId="5" borderId="4" xfId="0" applyFont="1" applyFill="1" applyBorder="1" applyAlignment="1" applyProtection="1">
      <alignment horizontal="center" vertical="center"/>
    </xf>
    <xf numFmtId="0" fontId="10" fillId="5" borderId="3" xfId="0" applyFont="1" applyFill="1" applyBorder="1" applyAlignment="1" applyProtection="1">
      <alignment horizontal="center" vertical="center" wrapText="1"/>
    </xf>
    <xf numFmtId="0" fontId="3" fillId="6" borderId="5" xfId="3" applyFill="1" applyBorder="1" applyAlignment="1" applyProtection="1">
      <alignment horizontal="center"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0" fontId="3" fillId="6" borderId="7" xfId="0" applyFont="1" applyFill="1" applyBorder="1" applyAlignment="1" applyProtection="1">
      <alignment horizontal="center" vertical="center" wrapText="1"/>
    </xf>
    <xf numFmtId="0" fontId="3" fillId="6" borderId="8" xfId="0" applyFont="1" applyFill="1" applyBorder="1" applyAlignment="1" applyProtection="1">
      <alignment horizontal="center" vertical="center" wrapText="1"/>
    </xf>
    <xf numFmtId="0" fontId="10" fillId="5" borderId="5" xfId="3" applyFont="1" applyFill="1" applyBorder="1" applyAlignment="1" applyProtection="1">
      <alignment horizontal="center" vertical="center" wrapText="1"/>
    </xf>
    <xf numFmtId="0" fontId="10" fillId="5" borderId="6" xfId="0" applyFont="1" applyFill="1" applyBorder="1" applyAlignment="1" applyProtection="1">
      <alignment horizontal="center" vertical="center" wrapText="1"/>
    </xf>
    <xf numFmtId="0" fontId="10" fillId="5" borderId="7" xfId="0" applyFont="1" applyFill="1" applyBorder="1" applyAlignment="1" applyProtection="1">
      <alignment horizontal="center" vertical="center" wrapText="1"/>
    </xf>
    <xf numFmtId="0" fontId="10" fillId="5" borderId="8" xfId="0" applyFont="1" applyFill="1" applyBorder="1" applyAlignment="1" applyProtection="1">
      <alignment horizontal="center" vertical="center" wrapText="1"/>
    </xf>
    <xf numFmtId="0" fontId="10" fillId="5" borderId="5" xfId="0" applyFont="1" applyFill="1" applyBorder="1" applyAlignment="1" applyProtection="1">
      <alignment horizontal="center" vertical="center" wrapText="1"/>
    </xf>
    <xf numFmtId="0" fontId="5" fillId="0" borderId="9" xfId="3" applyFont="1" applyBorder="1" applyAlignment="1" applyProtection="1">
      <alignment horizontal="center" vertical="center"/>
    </xf>
    <xf numFmtId="164" fontId="5" fillId="6" borderId="11" xfId="1" applyNumberFormat="1" applyFont="1" applyFill="1" applyBorder="1" applyAlignment="1" applyProtection="1">
      <alignment horizontal="center" vertical="center"/>
    </xf>
    <xf numFmtId="164" fontId="5" fillId="6" borderId="12" xfId="1" applyNumberFormat="1" applyFont="1" applyFill="1" applyBorder="1" applyAlignment="1" applyProtection="1">
      <alignment horizontal="center" vertical="center"/>
    </xf>
    <xf numFmtId="10" fontId="5" fillId="6" borderId="10" xfId="7" applyNumberFormat="1" applyFont="1" applyFill="1" applyBorder="1" applyAlignment="1" applyProtection="1">
      <alignment horizontal="center" vertical="center" wrapText="1"/>
    </xf>
    <xf numFmtId="10" fontId="5" fillId="6" borderId="13" xfId="7" applyNumberFormat="1" applyFont="1" applyFill="1" applyBorder="1" applyAlignment="1" applyProtection="1">
      <alignment horizontal="center" vertical="center" wrapText="1"/>
    </xf>
    <xf numFmtId="164" fontId="11" fillId="5" borderId="11" xfId="1" applyNumberFormat="1" applyFont="1" applyFill="1" applyBorder="1" applyAlignment="1" applyProtection="1">
      <alignment horizontal="center" vertical="center"/>
    </xf>
    <xf numFmtId="164" fontId="11" fillId="5" borderId="12" xfId="1" applyNumberFormat="1" applyFont="1" applyFill="1" applyBorder="1" applyAlignment="1" applyProtection="1">
      <alignment horizontal="center" vertical="center"/>
    </xf>
    <xf numFmtId="10" fontId="11" fillId="5" borderId="9" xfId="7" applyNumberFormat="1" applyFont="1" applyFill="1" applyBorder="1" applyAlignment="1" applyProtection="1">
      <alignment horizontal="center" vertical="center" wrapText="1"/>
    </xf>
    <xf numFmtId="10" fontId="11" fillId="5" borderId="13" xfId="7" applyNumberFormat="1" applyFont="1" applyFill="1" applyBorder="1" applyAlignment="1" applyProtection="1">
      <alignment horizontal="center" vertical="center" wrapText="1"/>
    </xf>
    <xf numFmtId="10" fontId="5" fillId="6" borderId="9" xfId="7" applyNumberFormat="1" applyFont="1" applyFill="1" applyBorder="1" applyAlignment="1" applyProtection="1">
      <alignment horizontal="center" vertical="center" wrapText="1"/>
    </xf>
    <xf numFmtId="164" fontId="12" fillId="5" borderId="11" xfId="1" applyNumberFormat="1" applyFont="1" applyFill="1" applyBorder="1" applyAlignment="1" applyProtection="1">
      <alignment horizontal="center"/>
    </xf>
    <xf numFmtId="164" fontId="12" fillId="5" borderId="9" xfId="1" applyNumberFormat="1" applyFont="1" applyFill="1" applyBorder="1" applyAlignment="1" applyProtection="1">
      <alignment horizontal="center"/>
    </xf>
    <xf numFmtId="10" fontId="11" fillId="5" borderId="9" xfId="2" applyNumberFormat="1" applyFont="1" applyFill="1" applyBorder="1" applyAlignment="1" applyProtection="1">
      <alignment horizontal="center"/>
    </xf>
    <xf numFmtId="10" fontId="11" fillId="5" borderId="13" xfId="2" applyNumberFormat="1" applyFont="1" applyFill="1" applyBorder="1" applyAlignment="1" applyProtection="1">
      <alignment horizontal="center"/>
    </xf>
    <xf numFmtId="9" fontId="6" fillId="0" borderId="4" xfId="8" applyNumberFormat="1" applyFont="1" applyBorder="1" applyAlignment="1" applyProtection="1">
      <alignment horizontal="center"/>
    </xf>
    <xf numFmtId="0" fontId="0" fillId="0" borderId="14" xfId="0" applyBorder="1" applyProtection="1">
      <protection locked="0"/>
    </xf>
    <xf numFmtId="0" fontId="0" fillId="0" borderId="14" xfId="0" applyBorder="1" applyProtection="1"/>
    <xf numFmtId="0" fontId="0" fillId="0" borderId="14" xfId="0" applyBorder="1" applyAlignment="1" applyProtection="1">
      <alignment horizontal="center"/>
    </xf>
    <xf numFmtId="9" fontId="0" fillId="0" borderId="14" xfId="2" applyFont="1" applyBorder="1" applyProtection="1">
      <protection locked="0"/>
    </xf>
    <xf numFmtId="43" fontId="11" fillId="5" borderId="11" xfId="1" applyFont="1" applyFill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4" fillId="0" borderId="23" xfId="9" applyFont="1" applyBorder="1" applyAlignment="1">
      <alignment horizontal="center" vertical="center" wrapText="1"/>
    </xf>
    <xf numFmtId="0" fontId="4" fillId="0" borderId="27" xfId="9" applyFont="1" applyBorder="1" applyAlignment="1">
      <alignment horizontal="center" vertical="center" wrapText="1"/>
    </xf>
    <xf numFmtId="0" fontId="4" fillId="0" borderId="28" xfId="9" applyFont="1" applyBorder="1" applyAlignment="1">
      <alignment horizontal="center" vertical="center" wrapText="1"/>
    </xf>
    <xf numFmtId="0" fontId="4" fillId="0" borderId="0" xfId="9" applyFont="1" applyAlignment="1">
      <alignment horizontal="center" vertical="center" wrapText="1"/>
    </xf>
    <xf numFmtId="0" fontId="4" fillId="0" borderId="21" xfId="9" applyFont="1" applyBorder="1" applyAlignment="1">
      <alignment horizontal="center" vertical="center" wrapText="1"/>
    </xf>
    <xf numFmtId="0" fontId="4" fillId="2" borderId="24" xfId="9" applyFont="1" applyFill="1" applyBorder="1" applyAlignment="1">
      <alignment horizontal="center"/>
    </xf>
    <xf numFmtId="0" fontId="4" fillId="2" borderId="25" xfId="9" applyFont="1" applyFill="1" applyBorder="1" applyAlignment="1">
      <alignment horizontal="center"/>
    </xf>
    <xf numFmtId="0" fontId="4" fillId="2" borderId="26" xfId="9" applyFont="1" applyFill="1" applyBorder="1" applyAlignment="1">
      <alignment horizontal="center"/>
    </xf>
    <xf numFmtId="0" fontId="4" fillId="0" borderId="20" xfId="9" applyFont="1" applyBorder="1" applyAlignment="1">
      <alignment horizontal="center" vertical="center" wrapText="1"/>
    </xf>
    <xf numFmtId="0" fontId="4" fillId="2" borderId="16" xfId="9" applyFont="1" applyFill="1" applyBorder="1" applyAlignment="1">
      <alignment horizontal="center" vertical="center" wrapText="1"/>
    </xf>
    <xf numFmtId="0" fontId="4" fillId="2" borderId="17" xfId="9" applyFont="1" applyFill="1" applyBorder="1" applyAlignment="1">
      <alignment horizontal="center" vertical="center" wrapText="1"/>
    </xf>
    <xf numFmtId="0" fontId="4" fillId="2" borderId="18" xfId="9" applyFont="1" applyFill="1" applyBorder="1" applyAlignment="1">
      <alignment horizontal="center" vertical="center" wrapText="1"/>
    </xf>
    <xf numFmtId="0" fontId="7" fillId="0" borderId="20" xfId="9" applyFont="1" applyBorder="1" applyAlignment="1">
      <alignment horizontal="center" vertical="center" wrapText="1"/>
    </xf>
    <xf numFmtId="0" fontId="7" fillId="0" borderId="21" xfId="9" applyFont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9" fillId="5" borderId="1" xfId="0" applyFont="1" applyFill="1" applyBorder="1" applyAlignment="1" applyProtection="1">
      <alignment horizontal="center"/>
    </xf>
    <xf numFmtId="0" fontId="9" fillId="5" borderId="2" xfId="0" applyFont="1" applyFill="1" applyBorder="1" applyAlignment="1" applyProtection="1">
      <alignment horizontal="center"/>
    </xf>
    <xf numFmtId="0" fontId="9" fillId="5" borderId="3" xfId="0" applyFont="1" applyFill="1" applyBorder="1" applyAlignment="1" applyProtection="1">
      <alignment horizontal="center"/>
    </xf>
    <xf numFmtId="0" fontId="2" fillId="6" borderId="1" xfId="0" applyFont="1" applyFill="1" applyBorder="1" applyAlignment="1" applyProtection="1">
      <alignment horizontal="center"/>
    </xf>
    <xf numFmtId="0" fontId="2" fillId="6" borderId="2" xfId="0" applyFont="1" applyFill="1" applyBorder="1" applyAlignment="1" applyProtection="1">
      <alignment horizontal="center"/>
    </xf>
    <xf numFmtId="0" fontId="2" fillId="6" borderId="3" xfId="0" applyFont="1" applyFill="1" applyBorder="1" applyAlignment="1" applyProtection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9" fillId="5" borderId="1" xfId="0" applyFont="1" applyFill="1" applyBorder="1" applyAlignment="1" applyProtection="1">
      <alignment horizontal="center" vertical="center"/>
    </xf>
    <xf numFmtId="0" fontId="9" fillId="5" borderId="2" xfId="0" applyFont="1" applyFill="1" applyBorder="1" applyAlignment="1" applyProtection="1">
      <alignment horizontal="center" vertical="center"/>
    </xf>
    <xf numFmtId="0" fontId="9" fillId="5" borderId="3" xfId="0" applyFont="1" applyFill="1" applyBorder="1" applyAlignment="1" applyProtection="1">
      <alignment horizontal="center" vertical="center"/>
    </xf>
    <xf numFmtId="0" fontId="0" fillId="0" borderId="29" xfId="0" applyBorder="1" applyAlignment="1" applyProtection="1">
      <alignment horizontal="center" vertical="center"/>
    </xf>
    <xf numFmtId="0" fontId="0" fillId="0" borderId="30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18" fillId="8" borderId="31" xfId="0" applyFont="1" applyFill="1" applyBorder="1" applyAlignment="1">
      <alignment horizontal="center"/>
    </xf>
    <xf numFmtId="0" fontId="0" fillId="0" borderId="14" xfId="0" applyBorder="1"/>
    <xf numFmtId="0" fontId="4" fillId="8" borderId="14" xfId="0" applyFont="1" applyFill="1" applyBorder="1" applyAlignment="1">
      <alignment vertical="center" wrapText="1"/>
    </xf>
    <xf numFmtId="0" fontId="4" fillId="8" borderId="14" xfId="0" applyFont="1" applyFill="1" applyBorder="1" applyAlignment="1">
      <alignment horizontal="left" vertical="center" wrapText="1"/>
    </xf>
    <xf numFmtId="0" fontId="5" fillId="0" borderId="15" xfId="6" applyFont="1" applyBorder="1" applyAlignment="1">
      <alignment horizontal="center" vertical="center" wrapText="1"/>
    </xf>
    <xf numFmtId="1" fontId="0" fillId="8" borderId="14" xfId="0" applyNumberFormat="1" applyFill="1" applyBorder="1" applyAlignment="1" applyProtection="1">
      <alignment horizontal="center" vertical="center" wrapText="1"/>
      <protection locked="0"/>
    </xf>
    <xf numFmtId="1" fontId="0" fillId="0" borderId="14" xfId="0" applyNumberFormat="1" applyBorder="1" applyAlignment="1" applyProtection="1">
      <alignment horizontal="center" vertical="center" wrapText="1"/>
      <protection locked="0"/>
    </xf>
    <xf numFmtId="0" fontId="3" fillId="8" borderId="14" xfId="0" applyFont="1" applyFill="1" applyBorder="1" applyAlignment="1" applyProtection="1">
      <alignment horizontal="center"/>
      <protection locked="0"/>
    </xf>
    <xf numFmtId="0" fontId="3" fillId="8" borderId="14" xfId="10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5" fillId="0" borderId="14" xfId="6" applyFont="1" applyBorder="1" applyAlignment="1">
      <alignment horizontal="center" vertical="center" wrapText="1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 vertical="center"/>
      <protection locked="0"/>
    </xf>
  </cellXfs>
  <cellStyles count="11">
    <cellStyle name="Comma" xfId="1" builtinId="3"/>
    <cellStyle name="Normal" xfId="0" builtinId="0"/>
    <cellStyle name="Normal 137" xfId="5" xr:uid="{0DD4080D-5D0A-4496-B6BC-17310A47D2F1}"/>
    <cellStyle name="Normal 139" xfId="9" xr:uid="{983E4494-50A1-4424-B403-7BD7D3F8F517}"/>
    <cellStyle name="Normal 2 4" xfId="4" xr:uid="{51BE52A8-F093-4CC9-80DA-EDE3CC25089B}"/>
    <cellStyle name="Normal 3" xfId="8" xr:uid="{E9D59B55-8A55-45DD-AB46-539CAB956E01}"/>
    <cellStyle name="Normal 3 2 2" xfId="10" xr:uid="{3ED56403-3035-4D0E-956B-6AB70E032DC6}"/>
    <cellStyle name="Normal 4" xfId="3" xr:uid="{B9ADD591-03F7-4D11-A07B-9854FC4A0DD7}"/>
    <cellStyle name="Normal 4 2 2" xfId="6" xr:uid="{1B30BB3B-085B-4A33-ADB4-515754DCD89F}"/>
    <cellStyle name="Percent" xfId="2" builtinId="5"/>
    <cellStyle name="Percent 2" xfId="7" xr:uid="{AC53EA9B-D486-423C-B04E-D443C4F6160B}"/>
  </cellStyles>
  <dxfs count="2392"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rgb="FF5FFC08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4165"/>
      <color rgb="FFBED600"/>
      <color rgb="FF2B62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'Master Sheet'!$M$61:$W$61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('Master Sheet'!$J$52,'Master Sheet'!$N$52,'Master Sheet'!$R$52,'Master Sheet'!$V$52,'Master Sheet'!$Z$52,'Master Sheet'!$AD$52,'Master Sheet'!$AH$52,'Master Sheet'!$AL$52,'Master Sheet'!$AP$52,'Master Sheet'!$AT$52,'Master Sheet'!$AX$52)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8-4DDD-8DA3-656001854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'Master Sheet'!$M$60:$W$60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'Master Sheet'!$M$62:$W$62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1-461F-9BA2-E7A2989075F2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('Master Sheet'!$I$52,'Master Sheet'!$M$52,'Master Sheet'!$Q$52,'Master Sheet'!$U$52,'Master Sheet'!$Y$52,'Master Sheet'!$AC$52,'Master Sheet'!$AG$52,'Master Sheet'!$AK$52,'Master Sheet'!$AO$52,'Master Sheet'!$AS$52,'Master Sheet'!$AW$52)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5-4F66-87A8-466B5ED49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'CAD-026'!$M$61:$W$61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('CAD-026'!$J$52,'CAD-026'!$N$52,'CAD-026'!$R$52,'CAD-026'!$V$52,'CAD-026'!$Z$52,'CAD-026'!$AD$52,'CAD-026'!$AH$52,'CAD-026'!$AL$52,'CAD-026'!$AP$52,'CAD-026'!$AT$52,'CAD-026'!$AX$52)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C-4C43-9B63-24207A744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'CAD-026'!$M$60:$W$60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'CAD-026'!$M$62:$W$62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5C-4C43-9B63-24207A744502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('CAD-026'!$I$52,'CAD-026'!$M$52,'CAD-026'!$Q$52,'CAD-026'!$U$52,'CAD-026'!$Y$52,'CAD-026'!$AC$52,'CAD-026'!$AG$52,'CAD-026'!$AK$52,'CAD-026'!$AO$52,'CAD-026'!$AS$52,'CAD-026'!$AW$52)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5C-4C43-9B63-24207A744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'CAD-027'!$M$61:$W$61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('CAD-027'!$J$52,'CAD-027'!$N$52,'CAD-027'!$R$52,'CAD-027'!$V$52,'CAD-027'!$Z$52,'CAD-027'!$AD$52,'CAD-027'!$AH$52,'CAD-027'!$AL$52,'CAD-027'!$AP$52,'CAD-027'!$AT$52,'CAD-027'!$AX$52)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F-4399-BEAE-B201BCAB6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'CAD-027'!$M$60:$W$60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'CAD-027'!$M$62:$W$62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F-4399-BEAE-B201BCAB67C5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('CAD-027'!$I$52,'CAD-027'!$M$52,'CAD-027'!$Q$52,'CAD-027'!$U$52,'CAD-027'!$Y$52,'CAD-027'!$AC$52,'CAD-027'!$AG$52,'CAD-027'!$AK$52,'CAD-027'!$AO$52,'CAD-027'!$AS$52,'CAD-027'!$AW$52)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F-4399-BEAE-B201BCAB6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'CAD-037'!$M$61:$W$61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('CAD-037'!$J$52,'CAD-037'!$N$52,'CAD-037'!$R$52,'CAD-037'!$V$52,'CAD-037'!$Z$52,'CAD-037'!$AD$52,'CAD-037'!$AH$52,'CAD-037'!$AL$52,'CAD-037'!$AP$52,'CAD-037'!$AT$52,'CAD-037'!$AX$52)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2-4AA8-AF19-ACACF8DED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'CAD-037'!$M$60:$W$60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'CAD-037'!$M$62:$W$62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2-4AA8-AF19-ACACF8DED105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('CAD-037'!$I$52,'CAD-037'!$M$52,'CAD-037'!$Q$52,'CAD-037'!$U$52,'CAD-037'!$Y$52,'CAD-037'!$AC$52,'CAD-037'!$AG$52,'CAD-037'!$AK$52,'CAD-037'!$AO$52,'CAD-037'!$AS$52,'CAD-037'!$AW$52)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2-4AA8-AF19-ACACF8DED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'CAD-043'!$M$61:$W$61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('CAD-043'!$J$52,'CAD-043'!$N$52,'CAD-043'!$R$52,'CAD-043'!$V$52,'CAD-043'!$Z$52,'CAD-043'!$AD$52,'CAD-043'!$AH$52,'CAD-043'!$AL$52,'CAD-043'!$AP$52,'CAD-043'!$AT$52,'CAD-043'!$AX$52)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9-456B-9D68-FEE0EFDF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'CAD-043'!$M$60:$W$60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'CAD-043'!$M$62:$W$62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69-456B-9D68-FEE0EFDF24AA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('CAD-043'!$I$52,'CAD-043'!$M$52,'CAD-043'!$Q$52,'CAD-043'!$U$52,'CAD-043'!$Y$52,'CAD-043'!$AC$52,'CAD-043'!$AG$52,'CAD-043'!$AK$52,'CAD-043'!$AO$52,'CAD-043'!$AS$52,'CAD-043'!$AW$52)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69-456B-9D68-FEE0EFDF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'CAD-046'!$M$61:$W$61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('CAD-046'!$J$52,'CAD-046'!$N$52,'CAD-046'!$R$52,'CAD-046'!$V$52,'CAD-046'!$Z$52,'CAD-046'!$AD$52,'CAD-046'!$AH$52,'CAD-046'!$AL$52,'CAD-046'!$AP$52,'CAD-046'!$AT$52,'CAD-046'!$AX$52)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3-453B-906E-8F63B3F28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'CAD-046'!$M$60:$W$60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'CAD-046'!$M$62:$W$62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3-453B-906E-8F63B3F28B28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('CAD-046'!$I$52,'CAD-046'!$M$52,'CAD-046'!$Q$52,'CAD-046'!$U$52,'CAD-046'!$Y$52,'CAD-046'!$AC$52,'CAD-046'!$AG$52,'CAD-046'!$AK$52,'CAD-046'!$AO$52,'CAD-046'!$AS$52,'CAD-046'!$AW$52)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3-453B-906E-8F63B3F28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'CAD-048'!$M$61:$W$61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('CAD-048'!$J$52,'CAD-048'!$N$52,'CAD-048'!$R$52,'CAD-048'!$V$52,'CAD-048'!$Z$52,'CAD-048'!$AD$52,'CAD-048'!$AH$52,'CAD-048'!$AL$52,'CAD-048'!$AP$52,'CAD-048'!$AT$52,'CAD-048'!$AX$52)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2-4051-A5A9-4B9D991E8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'CAD-048'!$M$60:$W$60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'CAD-048'!$M$62:$W$62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2-4051-A5A9-4B9D991E807A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('CAD-048'!$I$52,'CAD-048'!$M$52,'CAD-048'!$Q$52,'CAD-048'!$U$52,'CAD-048'!$Y$52,'CAD-048'!$AC$52,'CAD-048'!$AG$52,'CAD-048'!$AK$52,'CAD-048'!$AO$52,'CAD-048'!$AS$52,'CAD-048'!$AW$52)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62-4051-A5A9-4B9D991E8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'CAD-049'!$M$61:$W$61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('CAD-049'!$J$52,'CAD-049'!$N$52,'CAD-049'!$R$52,'CAD-049'!$V$52,'CAD-049'!$Z$52,'CAD-049'!$AD$52,'CAD-049'!$AH$52,'CAD-049'!$AL$52,'CAD-049'!$AP$52,'CAD-049'!$AT$52,'CAD-049'!$AX$52)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7-4100-BA8A-8ED3E0123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'CAD-049'!$M$60:$W$60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'CAD-049'!$M$62:$W$62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7-4100-BA8A-8ED3E012315B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('CAD-049'!$I$52,'CAD-049'!$M$52,'CAD-049'!$Q$52,'CAD-049'!$U$52,'CAD-049'!$Y$52,'CAD-049'!$AC$52,'CAD-049'!$AG$52,'CAD-049'!$AK$52,'CAD-049'!$AO$52,'CAD-049'!$AS$52,'CAD-049'!$AW$52)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A7-4100-BA8A-8ED3E0123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'CAD-051'!$M$61:$W$61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('CAD-051'!$J$52,'CAD-051'!$N$52,'CAD-051'!$R$52,'CAD-051'!$V$52,'CAD-051'!$Z$52,'CAD-051'!$AD$52,'CAD-051'!$AH$52,'CAD-051'!$AL$52,'CAD-051'!$AP$52,'CAD-051'!$AT$52,'CAD-051'!$AX$52)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9-4254-B5D6-DED9D9332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'CAD-051'!$M$60:$W$60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'CAD-051'!$M$62:$W$62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9-4254-B5D6-DED9D9332A47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('CAD-051'!$I$52,'CAD-051'!$M$52,'CAD-051'!$Q$52,'CAD-051'!$U$52,'CAD-051'!$Y$52,'CAD-051'!$AC$52,'CAD-051'!$AG$52,'CAD-051'!$AK$52,'CAD-051'!$AO$52,'CAD-051'!$AS$52,'CAD-051'!$AW$52)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19-4254-B5D6-DED9D9332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'CAD-054'!$M$61:$W$61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('CAD-054'!$J$52,'CAD-054'!$N$52,'CAD-054'!$R$52,'CAD-054'!$V$52,'CAD-054'!$Z$52,'CAD-054'!$AD$52,'CAD-054'!$AH$52,'CAD-054'!$AL$52,'CAD-054'!$AP$52,'CAD-054'!$AT$52,'CAD-054'!$AX$52)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E-42CF-85A7-EABF8F9DC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'CAD-054'!$M$60:$W$60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'CAD-054'!$M$62:$W$62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E-42CF-85A7-EABF8F9DC86C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('CAD-054'!$I$52,'CAD-054'!$M$52,'CAD-054'!$Q$52,'CAD-054'!$U$52,'CAD-054'!$Y$52,'CAD-054'!$AC$52,'CAD-054'!$AG$52,'CAD-054'!$AK$52,'CAD-054'!$AO$52,'CAD-054'!$AS$52,'CAD-054'!$AW$52)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2E-42CF-85A7-EABF8F9DC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'CAD-056'!$M$61:$W$61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('CAD-056'!$J$52,'CAD-056'!$N$52,'CAD-056'!$R$52,'CAD-056'!$V$52,'CAD-056'!$Z$52,'CAD-056'!$AD$52,'CAD-056'!$AH$52,'CAD-056'!$AL$52,'CAD-056'!$AP$52,'CAD-056'!$AT$52,'CAD-056'!$AX$52)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D-4FBC-9347-F15ECF6D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'CAD-056'!$M$60:$W$60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'CAD-056'!$M$62:$W$62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D-4FBC-9347-F15ECF6D701C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('CAD-056'!$I$52,'CAD-056'!$M$52,'CAD-056'!$Q$52,'CAD-056'!$U$52,'CAD-056'!$Y$52,'CAD-056'!$AC$52,'CAD-056'!$AG$52,'CAD-056'!$AK$52,'CAD-056'!$AO$52,'CAD-056'!$AS$52,'CAD-056'!$AW$52)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4D-4FBC-9347-F15ECF6D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'CAD-059 (4HD)'!$M$61:$W$61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('CAD-059 (4HD)'!$J$52,'CAD-059 (4HD)'!$N$52,'CAD-059 (4HD)'!$R$52,'CAD-059 (4HD)'!$V$52,'CAD-059 (4HD)'!$Z$52,'CAD-059 (4HD)'!$AD$52,'CAD-059 (4HD)'!$AH$52,'CAD-059 (4HD)'!$AL$52,'CAD-059 (4HD)'!$AP$52,'CAD-059 (4HD)'!$AT$52,'CAD-059 (4HD)'!$AX$52)</c:f>
              <c:numCache>
                <c:formatCode>0%</c:formatCode>
                <c:ptCount val="11"/>
                <c:pt idx="0">
                  <c:v>1.2043763174939648</c:v>
                </c:pt>
                <c:pt idx="1">
                  <c:v>1.1927460916799153</c:v>
                </c:pt>
                <c:pt idx="2">
                  <c:v>1.1852685185185188</c:v>
                </c:pt>
                <c:pt idx="3">
                  <c:v>1.1852685185185188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8-4AC9-ABD3-45FB5E590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'CAD-059 (4HD)'!$M$60:$W$60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'CAD-059 (4HD)'!$M$62:$W$62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8-4AC9-ABD3-45FB5E5902A5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('CAD-059 (4HD)'!$I$52,'CAD-059 (4HD)'!$M$52,'CAD-059 (4HD)'!$Q$52,'CAD-059 (4HD)'!$U$52,'CAD-059 (4HD)'!$Y$52,'CAD-059 (4HD)'!$AC$52,'CAD-059 (4HD)'!$AG$52,'CAD-059 (4HD)'!$AK$52,'CAD-059 (4HD)'!$AO$52,'CAD-059 (4HD)'!$AS$52,'CAD-059 (4HD)'!$AW$52)</c:f>
              <c:numCache>
                <c:formatCode>0%</c:formatCode>
                <c:ptCount val="11"/>
                <c:pt idx="0">
                  <c:v>1.2219609388800565</c:v>
                </c:pt>
                <c:pt idx="1">
                  <c:v>1.1927460916799153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B8-4AC9-ABD3-45FB5E590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'CAD-063 (4HD)'!$M$61:$W$61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('CAD-063 (4HD)'!$J$52,'CAD-063 (4HD)'!$N$52,'CAD-063 (4HD)'!$R$52,'CAD-063 (4HD)'!$V$52,'CAD-063 (4HD)'!$Z$52,'CAD-063 (4HD)'!$AD$52,'CAD-063 (4HD)'!$AH$52,'CAD-063 (4HD)'!$AL$52,'CAD-063 (4HD)'!$AP$52,'CAD-063 (4HD)'!$AT$52,'CAD-063 (4HD)'!$AX$52)</c:f>
              <c:numCache>
                <c:formatCode>0%</c:formatCode>
                <c:ptCount val="11"/>
                <c:pt idx="0">
                  <c:v>0.90115532910301077</c:v>
                </c:pt>
                <c:pt idx="1">
                  <c:v>0.82134788968054506</c:v>
                </c:pt>
                <c:pt idx="2">
                  <c:v>0.72568919364350704</c:v>
                </c:pt>
                <c:pt idx="3">
                  <c:v>0.59843821564724387</c:v>
                </c:pt>
                <c:pt idx="4">
                  <c:v>0.12400282990927124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E-4366-983C-87AFA8112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'CAD-063 (4HD)'!$M$60:$W$60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'CAD-063 (4HD)'!$M$62:$W$62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E-4366-983C-87AFA81127F3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('CAD-063 (4HD)'!$I$52,'CAD-063 (4HD)'!$M$52,'CAD-063 (4HD)'!$Q$52,'CAD-063 (4HD)'!$U$52,'CAD-063 (4HD)'!$Y$52,'CAD-063 (4HD)'!$AC$52,'CAD-063 (4HD)'!$AG$52,'CAD-063 (4HD)'!$AK$52,'CAD-063 (4HD)'!$AO$52,'CAD-063 (4HD)'!$AS$52,'CAD-063 (4HD)'!$AW$52)</c:f>
              <c:numCache>
                <c:formatCode>0%</c:formatCode>
                <c:ptCount val="11"/>
                <c:pt idx="0">
                  <c:v>0.60727465406583048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5E-4366-983C-87AFA8112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'CAD-067 (SEM)'!$M$61:$W$61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('CAD-067 (SEM)'!$J$52,'CAD-067 (SEM)'!$N$52,'CAD-067 (SEM)'!$R$52,'CAD-067 (SEM)'!$V$52,'CAD-067 (SEM)'!$Z$52,'CAD-067 (SEM)'!$AD$52,'CAD-067 (SEM)'!$AH$52,'CAD-067 (SEM)'!$AL$52,'CAD-067 (SEM)'!$AP$52,'CAD-067 (SEM)'!$AT$52,'CAD-067 (SEM)'!$AX$52)</c:f>
              <c:numCache>
                <c:formatCode>0%</c:formatCode>
                <c:ptCount val="11"/>
                <c:pt idx="0">
                  <c:v>0.94142811534648374</c:v>
                </c:pt>
                <c:pt idx="1">
                  <c:v>1.8129803138130385</c:v>
                </c:pt>
                <c:pt idx="2">
                  <c:v>1.7030516806155105</c:v>
                </c:pt>
                <c:pt idx="3">
                  <c:v>1.7471558609833171</c:v>
                </c:pt>
                <c:pt idx="4">
                  <c:v>0.8505471138071895</c:v>
                </c:pt>
                <c:pt idx="5">
                  <c:v>0.89503545856150268</c:v>
                </c:pt>
                <c:pt idx="6">
                  <c:v>0.81645039927832253</c:v>
                </c:pt>
                <c:pt idx="7">
                  <c:v>0.12161953129600189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9-4B97-BE57-50E427DE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'CAD-067 (SEM)'!$M$60:$W$60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'CAD-067 (SEM)'!$M$62:$W$62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9-4B97-BE57-50E427DE5DAF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('CAD-067 (SEM)'!$I$52,'CAD-067 (SEM)'!$M$52,'CAD-067 (SEM)'!$Q$52,'CAD-067 (SEM)'!$U$52,'CAD-067 (SEM)'!$Y$52,'CAD-067 (SEM)'!$AC$52,'CAD-067 (SEM)'!$AG$52,'CAD-067 (SEM)'!$AK$52,'CAD-067 (SEM)'!$AO$52,'CAD-067 (SEM)'!$AS$52,'CAD-067 (SEM)'!$AW$52)</c:f>
              <c:numCache>
                <c:formatCode>0%</c:formatCode>
                <c:ptCount val="11"/>
                <c:pt idx="0">
                  <c:v>0.78202761437908486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9-4B97-BE57-50E427DE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'CAD-068 (4HD)'!$M$61:$W$61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('CAD-068 (4HD)'!$J$52,'CAD-068 (4HD)'!$N$52,'CAD-068 (4HD)'!$R$52,'CAD-068 (4HD)'!$V$52,'CAD-068 (4HD)'!$Z$52,'CAD-068 (4HD)'!$AD$52,'CAD-068 (4HD)'!$AH$52,'CAD-068 (4HD)'!$AL$52,'CAD-068 (4HD)'!$AP$52,'CAD-068 (4HD)'!$AT$52,'CAD-068 (4HD)'!$AX$52)</c:f>
              <c:numCache>
                <c:formatCode>0%</c:formatCode>
                <c:ptCount val="11"/>
                <c:pt idx="0">
                  <c:v>1.0710607158629217</c:v>
                </c:pt>
                <c:pt idx="1">
                  <c:v>1.0710607158629217</c:v>
                </c:pt>
                <c:pt idx="2">
                  <c:v>2.0241136003650708</c:v>
                </c:pt>
                <c:pt idx="3">
                  <c:v>2.0241136003650708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B-4C3E-BB50-B187C62B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'CAD-068 (4HD)'!$M$60:$W$60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'CAD-068 (4HD)'!$M$62:$W$62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0B-4C3E-BB50-B187C62B391D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('CAD-068 (4HD)'!$I$52,'CAD-068 (4HD)'!$M$52,'CAD-068 (4HD)'!$Q$52,'CAD-068 (4HD)'!$U$52,'CAD-068 (4HD)'!$Y$52,'CAD-068 (4HD)'!$AC$52,'CAD-068 (4HD)'!$AG$52,'CAD-068 (4HD)'!$AK$52,'CAD-068 (4HD)'!$AO$52,'CAD-068 (4HD)'!$AS$52,'CAD-068 (4HD)'!$AW$52)</c:f>
              <c:numCache>
                <c:formatCode>0%</c:formatCode>
                <c:ptCount val="11"/>
                <c:pt idx="0">
                  <c:v>0.3054140199022552</c:v>
                </c:pt>
                <c:pt idx="1">
                  <c:v>1.0710607158629217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0B-4C3E-BB50-B187C62B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'CAD-069 (4HD)'!$M$61:$W$61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('CAD-069 (4HD)'!$J$52,'CAD-069 (4HD)'!$N$52,'CAD-069 (4HD)'!$R$52,'CAD-069 (4HD)'!$V$52,'CAD-069 (4HD)'!$Z$52,'CAD-069 (4HD)'!$AD$52,'CAD-069 (4HD)'!$AH$52,'CAD-069 (4HD)'!$AL$52,'CAD-069 (4HD)'!$AP$52,'CAD-069 (4HD)'!$AT$52,'CAD-069 (4HD)'!$AX$52)</c:f>
              <c:numCache>
                <c:formatCode>0%</c:formatCode>
                <c:ptCount val="11"/>
                <c:pt idx="0">
                  <c:v>0.98433051728198806</c:v>
                </c:pt>
                <c:pt idx="1">
                  <c:v>0.98433051728198806</c:v>
                </c:pt>
                <c:pt idx="2">
                  <c:v>0.70393982070305605</c:v>
                </c:pt>
                <c:pt idx="3">
                  <c:v>0.23678250161926631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9-4B06-8B14-A2D7F6202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'CAD-069 (4HD)'!$M$60:$W$60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'CAD-069 (4HD)'!$M$62:$W$62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9-4B06-8B14-A2D7F6202FFE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('CAD-069 (4HD)'!$I$52,'CAD-069 (4HD)'!$M$52,'CAD-069 (4HD)'!$Q$52,'CAD-069 (4HD)'!$U$52,'CAD-069 (4HD)'!$Y$52,'CAD-069 (4HD)'!$AC$52,'CAD-069 (4HD)'!$AG$52,'CAD-069 (4HD)'!$AK$52,'CAD-069 (4HD)'!$AO$52,'CAD-069 (4HD)'!$AS$52,'CAD-069 (4HD)'!$AW$52)</c:f>
              <c:numCache>
                <c:formatCode>0%</c:formatCode>
                <c:ptCount val="11"/>
                <c:pt idx="0">
                  <c:v>0.9964035035035036</c:v>
                </c:pt>
                <c:pt idx="1">
                  <c:v>0.98433051728198806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A9-4B06-8B14-A2D7F6202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'CAD-070 (4HW)'!$M$61:$W$61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('CAD-070 (4HW)'!$J$52,'CAD-070 (4HW)'!$N$52,'CAD-070 (4HW)'!$R$52,'CAD-070 (4HW)'!$V$52,'CAD-070 (4HW)'!$Z$52,'CAD-070 (4HW)'!$AD$52,'CAD-070 (4HW)'!$AH$52,'CAD-070 (4HW)'!$AL$52,'CAD-070 (4HW)'!$AP$52,'CAD-070 (4HW)'!$AT$52,'CAD-070 (4HW)'!$AX$52)</c:f>
              <c:numCache>
                <c:formatCode>0%</c:formatCode>
                <c:ptCount val="11"/>
                <c:pt idx="0">
                  <c:v>1.5841612821504221</c:v>
                </c:pt>
                <c:pt idx="1">
                  <c:v>1.443865984017437</c:v>
                </c:pt>
                <c:pt idx="2">
                  <c:v>1.27570540429395</c:v>
                </c:pt>
                <c:pt idx="3">
                  <c:v>1.0520080394255547</c:v>
                </c:pt>
                <c:pt idx="4">
                  <c:v>0.2179873720714543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5-4054-8A5B-322B85E5C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'CAD-070 (4HW)'!$M$60:$W$60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'CAD-070 (4HW)'!$M$62:$W$62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45-4054-8A5B-322B85E5CFAA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('CAD-070 (4HW)'!$I$52,'CAD-070 (4HW)'!$M$52,'CAD-070 (4HW)'!$Q$52,'CAD-070 (4HW)'!$U$52,'CAD-070 (4HW)'!$Y$52,'CAD-070 (4HW)'!$AC$52,'CAD-070 (4HW)'!$AG$52,'CAD-070 (4HW)'!$AK$52,'CAD-070 (4HW)'!$AO$52,'CAD-070 (4HW)'!$AS$52,'CAD-070 (4HW)'!$AW$52)</c:f>
              <c:numCache>
                <c:formatCode>0%</c:formatCode>
                <c:ptCount val="11"/>
                <c:pt idx="0">
                  <c:v>1.2652297297297297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45-4054-8A5B-322B85E5C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'CAD-071 (4HW)'!$M$61:$W$61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('CAD-071 (4HW)'!$J$52,'CAD-071 (4HW)'!$N$52,'CAD-071 (4HW)'!$R$52,'CAD-071 (4HW)'!$V$52,'CAD-071 (4HW)'!$Z$52,'CAD-071 (4HW)'!$AD$52,'CAD-071 (4HW)'!$AH$52,'CAD-071 (4HW)'!$AL$52,'CAD-071 (4HW)'!$AP$52,'CAD-071 (4HW)'!$AT$52,'CAD-071 (4HW)'!$AX$52)</c:f>
              <c:numCache>
                <c:formatCode>0%</c:formatCode>
                <c:ptCount val="11"/>
                <c:pt idx="0">
                  <c:v>0.99921574364775034</c:v>
                </c:pt>
                <c:pt idx="1">
                  <c:v>0.91072395166054876</c:v>
                </c:pt>
                <c:pt idx="2">
                  <c:v>0.80465602750793341</c:v>
                </c:pt>
                <c:pt idx="3">
                  <c:v>0.66355806525651684</c:v>
                </c:pt>
                <c:pt idx="4">
                  <c:v>0.13749636261436829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1-4E40-8929-40CFDA0DF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'CAD-071 (4HW)'!$M$60:$W$60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'CAD-071 (4HW)'!$M$62:$W$62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1-4E40-8929-40CFDA0DFBA9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('CAD-071 (4HW)'!$I$52,'CAD-071 (4HW)'!$M$52,'CAD-071 (4HW)'!$Q$52,'CAD-071 (4HW)'!$U$52,'CAD-071 (4HW)'!$Y$52,'CAD-071 (4HW)'!$AC$52,'CAD-071 (4HW)'!$AG$52,'CAD-071 (4HW)'!$AK$52,'CAD-071 (4HW)'!$AO$52,'CAD-071 (4HW)'!$AS$52,'CAD-071 (4HW)'!$AW$52)</c:f>
              <c:numCache>
                <c:formatCode>0%</c:formatCode>
                <c:ptCount val="11"/>
                <c:pt idx="0">
                  <c:v>0.81643717467467469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91-4E40-8929-40CFDA0DF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'CAD-073 (SEW)'!$M$61:$W$61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('CAD-073 (SEW)'!$J$52,'CAD-073 (SEW)'!$N$52,'CAD-073 (SEW)'!$R$52,'CAD-073 (SEW)'!$V$52,'CAD-073 (SEW)'!$Z$52,'CAD-073 (SEW)'!$AD$52,'CAD-073 (SEW)'!$AH$52,'CAD-073 (SEW)'!$AL$52,'CAD-073 (SEW)'!$AP$52,'CAD-073 (SEW)'!$AT$52,'CAD-073 (SEW)'!$AX$52)</c:f>
              <c:numCache>
                <c:formatCode>0%</c:formatCode>
                <c:ptCount val="11"/>
                <c:pt idx="0">
                  <c:v>0.94142811534648374</c:v>
                </c:pt>
                <c:pt idx="1">
                  <c:v>1.8129803138130385</c:v>
                </c:pt>
                <c:pt idx="2">
                  <c:v>1.7030516806155105</c:v>
                </c:pt>
                <c:pt idx="3">
                  <c:v>1.7471558609833171</c:v>
                </c:pt>
                <c:pt idx="4">
                  <c:v>0.8505471138071895</c:v>
                </c:pt>
                <c:pt idx="5">
                  <c:v>0.89503545856150268</c:v>
                </c:pt>
                <c:pt idx="6">
                  <c:v>0.81645039927832253</c:v>
                </c:pt>
                <c:pt idx="7">
                  <c:v>0.12161953129600189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C-4E49-8110-ECE1D356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'CAD-073 (SEW)'!$M$60:$W$60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'CAD-073 (SEW)'!$M$62:$W$62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7C-4E49-8110-ECE1D3563478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('CAD-073 (SEW)'!$I$52,'CAD-073 (SEW)'!$M$52,'CAD-073 (SEW)'!$Q$52,'CAD-073 (SEW)'!$U$52,'CAD-073 (SEW)'!$Y$52,'CAD-073 (SEW)'!$AC$52,'CAD-073 (SEW)'!$AG$52,'CAD-073 (SEW)'!$AK$52,'CAD-073 (SEW)'!$AO$52,'CAD-073 (SEW)'!$AS$52,'CAD-073 (SEW)'!$AW$52)</c:f>
              <c:numCache>
                <c:formatCode>0%</c:formatCode>
                <c:ptCount val="11"/>
                <c:pt idx="0">
                  <c:v>0.78202761437908486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7C-4E49-8110-ECE1D3563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'CAD-074 (4HD)'!$M$61:$W$61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('CAD-074 (4HD)'!$J$52,'CAD-074 (4HD)'!$N$52,'CAD-074 (4HD)'!$R$52,'CAD-074 (4HD)'!$V$52,'CAD-074 (4HD)'!$Z$52,'CAD-074 (4HD)'!$AD$52,'CAD-074 (4HD)'!$AH$52,'CAD-074 (4HD)'!$AL$52,'CAD-074 (4HD)'!$AP$52,'CAD-074 (4HD)'!$AT$52,'CAD-074 (4HD)'!$AX$52)</c:f>
              <c:numCache>
                <c:formatCode>0%</c:formatCode>
                <c:ptCount val="11"/>
                <c:pt idx="0">
                  <c:v>0.80887565580681042</c:v>
                </c:pt>
                <c:pt idx="1">
                  <c:v>1.9965592829875041</c:v>
                </c:pt>
                <c:pt idx="2">
                  <c:v>2.3848073505967413</c:v>
                </c:pt>
                <c:pt idx="3">
                  <c:v>2.4518308991107771</c:v>
                </c:pt>
                <c:pt idx="4">
                  <c:v>2.1679892104457403</c:v>
                </c:pt>
                <c:pt idx="5">
                  <c:v>1.9737274995289407</c:v>
                </c:pt>
                <c:pt idx="6">
                  <c:v>1.9007512493964551</c:v>
                </c:pt>
                <c:pt idx="7">
                  <c:v>0.83094055820526402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2-46EE-A349-C612CF430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'CAD-074 (4HD)'!$M$60:$W$60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'CAD-074 (4HD)'!$M$62:$W$62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72-46EE-A349-C612CF4307E9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('CAD-074 (4HD)'!$I$52,'CAD-074 (4HD)'!$M$52,'CAD-074 (4HD)'!$Q$52,'CAD-074 (4HD)'!$U$52,'CAD-074 (4HD)'!$Y$52,'CAD-074 (4HD)'!$AC$52,'CAD-074 (4HD)'!$AG$52,'CAD-074 (4HD)'!$AK$52,'CAD-074 (4HD)'!$AO$52,'CAD-074 (4HD)'!$AS$52,'CAD-074 (4HD)'!$AW$52)</c:f>
              <c:numCache>
                <c:formatCode>0%</c:formatCode>
                <c:ptCount val="11"/>
                <c:pt idx="0">
                  <c:v>0.4694728552081493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72-46EE-A349-C612CF430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Capacity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'CAD-075 (2HD)'!$M$61:$W$61</c:f>
              <c:numCache>
                <c:formatCode>General</c:formatCode>
                <c:ptCount val="11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</c:numCache>
            </c:numRef>
          </c:cat>
          <c:val>
            <c:numRef>
              <c:f>('CAD-075 (2HD)'!$J$52,'CAD-075 (2HD)'!$N$52,'CAD-075 (2HD)'!$R$52,'CAD-075 (2HD)'!$V$52,'CAD-075 (2HD)'!$Z$52,'CAD-075 (2HD)'!$AD$52,'CAD-075 (2HD)'!$AH$52,'CAD-075 (2HD)'!$AL$52,'CAD-075 (2HD)'!$AP$52,'CAD-075 (2HD)'!$AT$52,'CAD-075 (2HD)'!$AX$52)</c:f>
              <c:numCache>
                <c:formatCode>0%</c:formatCode>
                <c:ptCount val="11"/>
                <c:pt idx="0">
                  <c:v>0.56141021387032752</c:v>
                </c:pt>
                <c:pt idx="1">
                  <c:v>0.91501524790630262</c:v>
                </c:pt>
                <c:pt idx="2">
                  <c:v>0.88139576637189088</c:v>
                </c:pt>
                <c:pt idx="3">
                  <c:v>0.80436117701133469</c:v>
                </c:pt>
                <c:pt idx="4">
                  <c:v>0.37809868692221638</c:v>
                </c:pt>
                <c:pt idx="5">
                  <c:v>0.37809868692221638</c:v>
                </c:pt>
                <c:pt idx="6">
                  <c:v>0.37809868692221638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F-4E32-B9D4-C87481612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95023"/>
        <c:axId val="324754703"/>
      </c:barChart>
      <c:lineChart>
        <c:grouping val="standard"/>
        <c:varyColors val="0"/>
        <c:ser>
          <c:idx val="1"/>
          <c:order val="1"/>
          <c:tx>
            <c:strRef>
              <c:f>'CAD-075 (2HD)'!$M$60:$W$60</c:f>
              <c:strCache>
                <c:ptCount val="11"/>
                <c:pt idx="0">
                  <c:v>Target Utilization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'CAD-075 (2HD)'!$M$62:$W$62</c:f>
              <c:numCache>
                <c:formatCode>0%</c:formatCode>
                <c:ptCount val="1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F-4E32-B9D4-C87481612B84}"/>
            </c:ext>
          </c:extLst>
        </c:ser>
        <c:ser>
          <c:idx val="2"/>
          <c:order val="2"/>
          <c:tx>
            <c:v>Utilization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1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</c:numLit>
          </c:cat>
          <c:val>
            <c:numRef>
              <c:f>('CAD-075 (2HD)'!$I$52,'CAD-075 (2HD)'!$M$52,'CAD-075 (2HD)'!$Q$52,'CAD-075 (2HD)'!$U$52,'CAD-075 (2HD)'!$Y$52,'CAD-075 (2HD)'!$AC$52,'CAD-075 (2HD)'!$AG$52,'CAD-075 (2HD)'!$AK$52,'CAD-075 (2HD)'!$AO$52,'CAD-075 (2HD)'!$AS$52,'CAD-075 (2HD)'!$AW$52)</c:f>
              <c:numCache>
                <c:formatCode>0%</c:formatCode>
                <c:ptCount val="11"/>
                <c:pt idx="0">
                  <c:v>0.38729906376965206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DF-4E32-B9D4-C87481612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95023"/>
        <c:axId val="324754703"/>
      </c:lineChart>
      <c:catAx>
        <c:axId val="1345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754703"/>
        <c:crosses val="autoZero"/>
        <c:auto val="1"/>
        <c:lblAlgn val="ctr"/>
        <c:lblOffset val="100"/>
        <c:noMultiLvlLbl val="0"/>
      </c:catAx>
      <c:valAx>
        <c:axId val="3247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41A38-C8F0-4CED-951E-244C433CB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F5CC1-607C-47DF-858B-49210CCCB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F4707-BE87-413F-94A5-92CC2E86D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30E34-B3A3-4B00-966B-FF5540EAA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90487</xdr:rowOff>
    </xdr:from>
    <xdr:to>
      <xdr:col>7</xdr:col>
      <xdr:colOff>342900</xdr:colOff>
      <xdr:row>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EBD8A-1646-4E00-9B52-1BB290C29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90487</xdr:rowOff>
    </xdr:from>
    <xdr:to>
      <xdr:col>7</xdr:col>
      <xdr:colOff>342900</xdr:colOff>
      <xdr:row>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E9B4B-1FCF-4C41-B8D6-923EE21E4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90487</xdr:rowOff>
    </xdr:from>
    <xdr:to>
      <xdr:col>7</xdr:col>
      <xdr:colOff>342900</xdr:colOff>
      <xdr:row>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1BC0B-6AD9-4196-883A-954FBD7D0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90487</xdr:rowOff>
    </xdr:from>
    <xdr:to>
      <xdr:col>7</xdr:col>
      <xdr:colOff>342900</xdr:colOff>
      <xdr:row>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12E1C-6F80-41F9-B7C5-8C6F17770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90487</xdr:rowOff>
    </xdr:from>
    <xdr:to>
      <xdr:col>7</xdr:col>
      <xdr:colOff>342900</xdr:colOff>
      <xdr:row>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02E4A-6FC7-4E79-B8D8-8AA8809DC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90487</xdr:rowOff>
    </xdr:from>
    <xdr:to>
      <xdr:col>7</xdr:col>
      <xdr:colOff>342900</xdr:colOff>
      <xdr:row>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9EB5E-2CAF-4EFD-B738-9A6B902CA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90487</xdr:rowOff>
    </xdr:from>
    <xdr:to>
      <xdr:col>7</xdr:col>
      <xdr:colOff>342900</xdr:colOff>
      <xdr:row>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80909-F35F-4FAE-8B94-ABDAB8B3B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90487</xdr:rowOff>
    </xdr:from>
    <xdr:to>
      <xdr:col>7</xdr:col>
      <xdr:colOff>342900</xdr:colOff>
      <xdr:row>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E7122-CE12-4F85-9936-2BFB5DEC7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E6EB2-08C5-4C2F-BFF0-4F67F4AF3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DCBF5-34A8-48A7-B2B6-729CDABE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B7C85F-05A1-4B11-8180-4BED92553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DFBCF-48FE-4ECB-A0B0-139F61A7B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D74E11-49A1-4627-9FF7-A97BA77C0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BDD03-84B9-481B-A46E-14B7983E5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C2671-7487-43ED-8F1E-F6C9214B6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EDBCD-CA12-49BE-9C6A-21CD685B6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56</xdr:row>
      <xdr:rowOff>166687</xdr:rowOff>
    </xdr:from>
    <xdr:to>
      <xdr:col>8</xdr:col>
      <xdr:colOff>228600</xdr:colOff>
      <xdr:row>71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4058B-2DC5-4DA3-BC10-AF9137CCF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ockmeyer, Aaron" id="{1BFED462-DB98-4304-BA3A-54FF78F405DF}" userId="S::abrockmeyer@tifs.com::57ad78c3-ce50-4958-a867-6dd675560470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E058E2C-CDA2-46CE-BF57-B16CE75F285D}" autoFormatId="16" applyNumberFormats="0" applyBorderFormats="0" applyFontFormats="0" applyPatternFormats="0" applyAlignmentFormats="0" applyWidthHeightFormats="0">
  <queryTableRefresh nextId="31">
    <queryTableFields count="24">
      <queryTableField id="1" name="Customer" tableColumnId="1"/>
      <queryTableField id="2" name="Customer Program" tableColumnId="2"/>
      <queryTableField id="3" name="Customer Part Number" tableColumnId="3"/>
      <queryTableField id="4" name="Internal TI Part Number" tableColumnId="4"/>
      <queryTableField id="27" name="Tube Diameter" tableColumnId="26"/>
      <queryTableField id="28" name="# of Bends" tableColumnId="27"/>
      <queryTableField id="5" name="2022 Actual" tableColumnId="5"/>
      <queryTableField id="6" name="2022 Quoted" tableColumnId="6"/>
      <queryTableField id="7" name="2023 Actual" tableColumnId="7"/>
      <queryTableField id="8" name="2023 Quoted" tableColumnId="8"/>
      <queryTableField id="9" name="2024 Actual" tableColumnId="9"/>
      <queryTableField id="10" name="2024 Quoted" tableColumnId="10"/>
      <queryTableField id="11" name="2025 Actual" tableColumnId="11"/>
      <queryTableField id="23" name="2025 Quoted" tableColumnId="23"/>
      <queryTableField id="13" name="2026 Actual" tableColumnId="13"/>
      <queryTableField id="14" name="2026 Quoted" tableColumnId="14"/>
      <queryTableField id="15" name="2027 Actual" tableColumnId="15"/>
      <queryTableField id="16" name="2027 Quoted" tableColumnId="16"/>
      <queryTableField id="17" name="2028 Actual" tableColumnId="17"/>
      <queryTableField id="18" name="2028 Quoted" tableColumnId="18"/>
      <queryTableField id="19" name="2029 Actual" tableColumnId="19"/>
      <queryTableField id="20" name="2029 Quoted" tableColumnId="20"/>
      <queryTableField id="21" name="2030 Actual" tableColumnId="21"/>
      <queryTableField id="22" name="2030 Quoted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9207A-88C4-4208-AA66-276F2713F38E}" name="Parts_List_and_Volumes" displayName="Parts_List_and_Volumes" ref="A1:X267" tableType="queryTable" totalsRowShown="0">
  <autoFilter ref="A1:X267" xr:uid="{6259207A-88C4-4208-AA66-276F2713F38E}"/>
  <tableColumns count="24">
    <tableColumn id="1" xr3:uid="{90577F72-BFAC-409B-BE3E-514E31250158}" uniqueName="1" name="Customer" queryTableFieldId="1" dataDxfId="2391"/>
    <tableColumn id="2" xr3:uid="{3D73C087-3CB6-4923-B726-49108EEB276E}" uniqueName="2" name="Customer Program" queryTableFieldId="2" dataDxfId="2390"/>
    <tableColumn id="3" xr3:uid="{DA70ED80-AA77-42CF-9D70-6E6B609C8121}" uniqueName="3" name="Customer Part Number" queryTableFieldId="3" dataDxfId="2389"/>
    <tableColumn id="4" xr3:uid="{B19BDE66-051B-45D7-8880-E0CB0AF7655D}" uniqueName="4" name="Internal TI Part Number" queryTableFieldId="4" dataDxfId="2388"/>
    <tableColumn id="26" xr3:uid="{11F73204-9DD1-4555-AAA2-3D16CFDD3A44}" uniqueName="26" name="Tube Diameter" queryTableFieldId="27" dataDxfId="2387"/>
    <tableColumn id="27" xr3:uid="{9030D284-7241-4C90-8FAA-905FB4DF3F80}" uniqueName="27" name="# of Bends" queryTableFieldId="28" dataDxfId="2386"/>
    <tableColumn id="5" xr3:uid="{EC7DDEBD-1DD2-493C-8183-8DD2771BA9C0}" uniqueName="5" name="2022 Actual" queryTableFieldId="5" dataDxfId="2385"/>
    <tableColumn id="6" xr3:uid="{BBA1F38C-4502-4023-9D9E-A7DC139F242C}" uniqueName="6" name="2022 Quoted" queryTableFieldId="6" dataDxfId="2384"/>
    <tableColumn id="7" xr3:uid="{7F471F4B-4899-46E1-9D0D-AC768459AE40}" uniqueName="7" name="2023 Actual" queryTableFieldId="7" dataDxfId="2383"/>
    <tableColumn id="8" xr3:uid="{B588A63D-FAB5-4B15-953D-E3FE49651FA2}" uniqueName="8" name="2023 Quoted" queryTableFieldId="8" dataDxfId="2382"/>
    <tableColumn id="9" xr3:uid="{2768E491-5093-4693-BF58-51CFCBD7ABA5}" uniqueName="9" name="2024 Actual" queryTableFieldId="9" dataDxfId="2381"/>
    <tableColumn id="10" xr3:uid="{F7DE63BE-8ADF-4789-AB60-3C0469636C4A}" uniqueName="10" name="2024 Quoted" queryTableFieldId="10" dataDxfId="2380"/>
    <tableColumn id="11" xr3:uid="{FBEC223D-72D3-4E66-B47D-74C01F1217FF}" uniqueName="11" name="2025 Actual" queryTableFieldId="11" dataDxfId="2379"/>
    <tableColumn id="23" xr3:uid="{1914E96B-DF15-45EC-9AE8-58847196CE06}" uniqueName="23" name="2025 Quoted" queryTableFieldId="23"/>
    <tableColumn id="13" xr3:uid="{43B77CD2-98E1-4AA3-A417-3A89E2EC333C}" uniqueName="13" name="2026 Actual" queryTableFieldId="13" dataDxfId="2378"/>
    <tableColumn id="14" xr3:uid="{526433DD-2097-4433-A953-C48A795B89CC}" uniqueName="14" name="2026 Quoted" queryTableFieldId="14" dataDxfId="2377"/>
    <tableColumn id="15" xr3:uid="{92EBA3E9-EBC8-433A-A2FC-46AC2BA1791A}" uniqueName="15" name="2027 Actual" queryTableFieldId="15" dataDxfId="2376"/>
    <tableColumn id="16" xr3:uid="{917D8EE1-EABD-400F-A0B8-53C852FB8CC9}" uniqueName="16" name="2027 Quoted" queryTableFieldId="16" dataDxfId="2375"/>
    <tableColumn id="17" xr3:uid="{A38CD513-99DE-404E-97BD-181BA36FC079}" uniqueName="17" name="2028 Actual" queryTableFieldId="17" dataDxfId="2374"/>
    <tableColumn id="18" xr3:uid="{7F033A9D-0BDA-450B-808A-EC39AAD1D344}" uniqueName="18" name="2028 Quoted" queryTableFieldId="18" dataDxfId="2373"/>
    <tableColumn id="19" xr3:uid="{0079F57A-7928-4B3D-ACD2-3EE63FDC5872}" uniqueName="19" name="2029 Actual" queryTableFieldId="19" dataDxfId="2372"/>
    <tableColumn id="20" xr3:uid="{E1ECD1CD-A818-44A6-B4A4-97C53785C946}" uniqueName="20" name="2029 Quoted" queryTableFieldId="20" dataDxfId="2371"/>
    <tableColumn id="21" xr3:uid="{994BFC92-940C-4668-A67A-DDFD40F657E6}" uniqueName="21" name="2030 Actual" queryTableFieldId="21" dataDxfId="2370"/>
    <tableColumn id="22" xr3:uid="{C8B8A9F2-2ECF-4893-A881-638AB31BF2CA}" uniqueName="22" name="2030 Quoted" queryTableFieldId="22" dataDxfId="236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2-02-16T19:34:12.90" personId="{1BFED462-DB98-4304-BA3A-54FF78F405DF}" id="{C77713D8-E9A3-4A41-8575-C590706519DC}">
    <text>A+B Tube</text>
  </threadedComment>
  <threadedComment ref="A4" dT="2022-02-16T19:34:19.63" personId="{1BFED462-DB98-4304-BA3A-54FF78F405DF}" id="{5F918898-3A40-439D-BD61-F227AA370EC8}">
    <text>C+D Tube</text>
  </threadedComment>
  <threadedComment ref="A17" dT="2022-02-16T19:40:28.00" personId="{1BFED462-DB98-4304-BA3A-54FF78F405DF}" id="{5B790A6D-E02A-44C0-A98E-E674D0E54B6E}">
    <text>A+B Tube</text>
  </threadedComment>
  <threadedComment ref="A18" dT="2022-02-16T19:40:36.69" personId="{1BFED462-DB98-4304-BA3A-54FF78F405DF}" id="{CE9A6815-6767-4730-BD2D-9B6EFC76D9CD}">
    <text>C+D Tube</text>
  </threadedComment>
  <threadedComment ref="A21" dT="2022-02-16T19:41:31.23" personId="{1BFED462-DB98-4304-BA3A-54FF78F405DF}" id="{C3C07388-C0AE-4033-ACDA-DFEF858A638F}">
    <text>A+B Tube</text>
  </threadedComment>
  <threadedComment ref="A22" dT="2022-02-16T19:41:39.08" personId="{1BFED462-DB98-4304-BA3A-54FF78F405DF}" id="{BAB72679-596C-4031-9042-3FA4ABD09265}">
    <text>C+D Tube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2-16T19:34:12.90" personId="{1BFED462-DB98-4304-BA3A-54FF78F405DF}" id="{3D899D96-BA60-4C69-B943-54091F051612}">
    <text>A+B Tube</text>
  </threadedComment>
  <threadedComment ref="A4" dT="2022-02-16T19:34:19.63" personId="{1BFED462-DB98-4304-BA3A-54FF78F405DF}" id="{CD263D3E-D66D-48B3-B008-14A0D08B7E6F}">
    <text>C+D Tube</text>
  </threadedComment>
  <threadedComment ref="A17" dT="2022-02-16T19:40:28.00" personId="{1BFED462-DB98-4304-BA3A-54FF78F405DF}" id="{B3799EBE-C37D-4C32-93EA-4B53CF37465E}">
    <text>A+B Tube</text>
  </threadedComment>
  <threadedComment ref="A18" dT="2022-02-16T19:40:36.69" personId="{1BFED462-DB98-4304-BA3A-54FF78F405DF}" id="{469F2142-4595-40F7-95AD-9ABD7DD394FE}">
    <text>C+D Tube</text>
  </threadedComment>
  <threadedComment ref="A21" dT="2022-02-16T19:41:31.23" personId="{1BFED462-DB98-4304-BA3A-54FF78F405DF}" id="{142D6C17-3B0D-43D1-A6F6-A68171DBCEFC}">
    <text>A+B Tube</text>
  </threadedComment>
  <threadedComment ref="A22" dT="2022-02-16T19:41:39.08" personId="{1BFED462-DB98-4304-BA3A-54FF78F405DF}" id="{2209DC0A-7045-4BD2-B714-23F226761FAD}">
    <text>C+D Tube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B957-2024-48DA-B6D6-8CA462004A36}">
  <sheetPr codeName="Sheet2"/>
  <dimension ref="A1:K19"/>
  <sheetViews>
    <sheetView workbookViewId="0">
      <selection activeCell="I20" sqref="I20"/>
    </sheetView>
  </sheetViews>
  <sheetFormatPr defaultRowHeight="15" x14ac:dyDescent="0.25"/>
  <cols>
    <col min="1" max="1" width="11.28515625" bestFit="1" customWidth="1"/>
    <col min="2" max="2" width="7.85546875" bestFit="1" customWidth="1"/>
    <col min="3" max="4" width="13.7109375" customWidth="1"/>
    <col min="5" max="5" width="15.140625" customWidth="1"/>
    <col min="7" max="7" width="11.28515625" bestFit="1" customWidth="1"/>
    <col min="8" max="8" width="7.85546875" bestFit="1" customWidth="1"/>
    <col min="9" max="10" width="13.7109375" customWidth="1"/>
    <col min="11" max="11" width="15.140625" customWidth="1"/>
  </cols>
  <sheetData>
    <row r="1" spans="1:11" ht="15" customHeight="1" x14ac:dyDescent="0.25">
      <c r="A1" s="69" t="s">
        <v>380</v>
      </c>
      <c r="B1" s="70"/>
      <c r="C1" s="70"/>
      <c r="D1" s="70"/>
      <c r="E1" s="71"/>
      <c r="G1" s="69" t="s">
        <v>381</v>
      </c>
      <c r="H1" s="70"/>
      <c r="I1" s="70"/>
      <c r="J1" s="70"/>
      <c r="K1" s="71"/>
    </row>
    <row r="2" spans="1:11" ht="15" customHeight="1" x14ac:dyDescent="0.25">
      <c r="A2" s="1">
        <f>7.5*60*60</f>
        <v>27000</v>
      </c>
      <c r="B2" s="8" t="s">
        <v>8</v>
      </c>
      <c r="C2" s="72" t="s">
        <v>9</v>
      </c>
      <c r="D2" s="72"/>
      <c r="E2" s="73"/>
      <c r="G2" s="1">
        <f>7.5*60*60</f>
        <v>27000</v>
      </c>
      <c r="H2" s="12" t="s">
        <v>8</v>
      </c>
      <c r="I2" s="72" t="s">
        <v>9</v>
      </c>
      <c r="J2" s="72"/>
      <c r="K2" s="73"/>
    </row>
    <row r="3" spans="1:11" ht="15" customHeight="1" x14ac:dyDescent="0.25">
      <c r="A3" s="2">
        <v>0.85</v>
      </c>
      <c r="B3" s="7" t="s">
        <v>10</v>
      </c>
      <c r="C3" s="63" t="s">
        <v>11</v>
      </c>
      <c r="D3" s="63"/>
      <c r="E3" s="60"/>
      <c r="G3" s="2">
        <v>0.85</v>
      </c>
      <c r="H3" s="11" t="s">
        <v>10</v>
      </c>
      <c r="I3" s="63" t="s">
        <v>11</v>
      </c>
      <c r="J3" s="63"/>
      <c r="K3" s="60"/>
    </row>
    <row r="4" spans="1:11" ht="28.5" customHeight="1" x14ac:dyDescent="0.25">
      <c r="A4" s="2">
        <v>15</v>
      </c>
      <c r="B4" s="7" t="s">
        <v>12</v>
      </c>
      <c r="C4" s="60" t="s">
        <v>13</v>
      </c>
      <c r="D4" s="60"/>
      <c r="E4" s="60"/>
      <c r="G4" s="2">
        <v>15</v>
      </c>
      <c r="H4" s="11" t="s">
        <v>12</v>
      </c>
      <c r="I4" s="60" t="s">
        <v>13</v>
      </c>
      <c r="J4" s="60"/>
      <c r="K4" s="60"/>
    </row>
    <row r="5" spans="1:11" ht="15" customHeight="1" x14ac:dyDescent="0.25">
      <c r="A5" s="2">
        <v>48</v>
      </c>
      <c r="B5" s="7" t="s">
        <v>14</v>
      </c>
      <c r="C5" s="63" t="s">
        <v>15</v>
      </c>
      <c r="D5" s="63"/>
      <c r="E5" s="60"/>
      <c r="G5" s="2">
        <v>48</v>
      </c>
      <c r="H5" s="11" t="s">
        <v>14</v>
      </c>
      <c r="I5" s="63" t="s">
        <v>15</v>
      </c>
      <c r="J5" s="63"/>
      <c r="K5" s="60"/>
    </row>
    <row r="6" spans="1:11" x14ac:dyDescent="0.25">
      <c r="A6" s="65" t="s">
        <v>16</v>
      </c>
      <c r="B6" s="66"/>
      <c r="C6" s="66"/>
      <c r="D6" s="66"/>
      <c r="E6" s="67"/>
      <c r="G6" s="65" t="s">
        <v>16</v>
      </c>
      <c r="H6" s="66"/>
      <c r="I6" s="66"/>
      <c r="J6" s="66"/>
      <c r="K6" s="67"/>
    </row>
    <row r="7" spans="1:11" ht="15" customHeight="1" x14ac:dyDescent="0.25">
      <c r="A7" s="1">
        <v>2400</v>
      </c>
      <c r="B7" s="8" t="s">
        <v>8</v>
      </c>
      <c r="C7" s="68" t="s">
        <v>17</v>
      </c>
      <c r="D7" s="68"/>
      <c r="E7" s="64"/>
      <c r="G7" s="1">
        <v>1200</v>
      </c>
      <c r="H7" s="12" t="s">
        <v>8</v>
      </c>
      <c r="I7" s="68" t="s">
        <v>382</v>
      </c>
      <c r="J7" s="68"/>
      <c r="K7" s="64"/>
    </row>
    <row r="8" spans="1:11" ht="15" customHeight="1" x14ac:dyDescent="0.25">
      <c r="A8" s="3">
        <v>600</v>
      </c>
      <c r="B8" s="7" t="s">
        <v>8</v>
      </c>
      <c r="C8" s="60" t="s">
        <v>18</v>
      </c>
      <c r="D8" s="60"/>
      <c r="E8" s="60"/>
      <c r="G8" s="3">
        <v>600</v>
      </c>
      <c r="H8" s="11" t="s">
        <v>8</v>
      </c>
      <c r="I8" s="60" t="s">
        <v>18</v>
      </c>
      <c r="J8" s="60"/>
      <c r="K8" s="60"/>
    </row>
    <row r="9" spans="1:11" ht="15" customHeight="1" x14ac:dyDescent="0.25">
      <c r="A9" s="3">
        <v>300</v>
      </c>
      <c r="B9" s="7" t="s">
        <v>8</v>
      </c>
      <c r="C9" s="60" t="s">
        <v>19</v>
      </c>
      <c r="D9" s="60"/>
      <c r="E9" s="60"/>
      <c r="G9" s="3">
        <v>300</v>
      </c>
      <c r="H9" s="11" t="s">
        <v>8</v>
      </c>
      <c r="I9" s="60" t="s">
        <v>19</v>
      </c>
      <c r="J9" s="60"/>
      <c r="K9" s="60"/>
    </row>
    <row r="10" spans="1:11" ht="23.25" customHeight="1" x14ac:dyDescent="0.25">
      <c r="A10" s="3">
        <v>0</v>
      </c>
      <c r="B10" s="7" t="s">
        <v>8</v>
      </c>
      <c r="C10" s="60" t="s">
        <v>20</v>
      </c>
      <c r="D10" s="60"/>
      <c r="E10" s="60"/>
      <c r="G10" s="3">
        <v>0</v>
      </c>
      <c r="H10" s="11" t="s">
        <v>8</v>
      </c>
      <c r="I10" s="60" t="s">
        <v>20</v>
      </c>
      <c r="J10" s="60"/>
      <c r="K10" s="60"/>
    </row>
    <row r="11" spans="1:11" ht="15" customHeight="1" x14ac:dyDescent="0.25">
      <c r="A11" s="3">
        <v>300</v>
      </c>
      <c r="B11" s="7" t="s">
        <v>8</v>
      </c>
      <c r="C11" s="60" t="s">
        <v>21</v>
      </c>
      <c r="D11" s="60"/>
      <c r="E11" s="60"/>
      <c r="G11" s="3">
        <v>300</v>
      </c>
      <c r="H11" s="11" t="s">
        <v>8</v>
      </c>
      <c r="I11" s="60" t="s">
        <v>21</v>
      </c>
      <c r="J11" s="60"/>
      <c r="K11" s="60"/>
    </row>
    <row r="12" spans="1:11" ht="15" customHeight="1" x14ac:dyDescent="0.25">
      <c r="A12" s="3">
        <v>600</v>
      </c>
      <c r="B12" s="7" t="s">
        <v>8</v>
      </c>
      <c r="C12" s="60" t="s">
        <v>22</v>
      </c>
      <c r="D12" s="60"/>
      <c r="E12" s="60"/>
      <c r="G12" s="3">
        <v>300</v>
      </c>
      <c r="H12" s="11" t="s">
        <v>8</v>
      </c>
      <c r="I12" s="60" t="s">
        <v>22</v>
      </c>
      <c r="J12" s="60"/>
      <c r="K12" s="60"/>
    </row>
    <row r="13" spans="1:11" x14ac:dyDescent="0.25">
      <c r="A13" s="3"/>
      <c r="B13" s="7"/>
      <c r="C13" s="60"/>
      <c r="D13" s="60"/>
      <c r="E13" s="60"/>
      <c r="G13" s="3"/>
      <c r="H13" s="11"/>
      <c r="I13" s="60"/>
      <c r="J13" s="60"/>
      <c r="K13" s="60"/>
    </row>
    <row r="14" spans="1:11" ht="15" customHeight="1" x14ac:dyDescent="0.25">
      <c r="A14" s="3">
        <v>600</v>
      </c>
      <c r="B14" s="7" t="s">
        <v>8</v>
      </c>
      <c r="C14" s="63" t="s">
        <v>23</v>
      </c>
      <c r="D14" s="63"/>
      <c r="E14" s="60"/>
      <c r="G14" s="3">
        <v>300</v>
      </c>
      <c r="H14" s="11" t="s">
        <v>8</v>
      </c>
      <c r="I14" s="63" t="s">
        <v>383</v>
      </c>
      <c r="J14" s="63"/>
      <c r="K14" s="60"/>
    </row>
    <row r="15" spans="1:11" ht="15" customHeight="1" x14ac:dyDescent="0.25">
      <c r="A15" s="4">
        <f>SUM(A7:A14)</f>
        <v>4800</v>
      </c>
      <c r="B15" s="8" t="s">
        <v>8</v>
      </c>
      <c r="C15" s="64" t="s">
        <v>24</v>
      </c>
      <c r="D15" s="64"/>
      <c r="E15" s="64"/>
      <c r="G15" s="4">
        <f>SUM(G7:G14)</f>
        <v>3000</v>
      </c>
      <c r="H15" s="12" t="s">
        <v>8</v>
      </c>
      <c r="I15" s="64" t="s">
        <v>24</v>
      </c>
      <c r="J15" s="64"/>
      <c r="K15" s="64"/>
    </row>
    <row r="16" spans="1:11" x14ac:dyDescent="0.25">
      <c r="A16" s="3"/>
      <c r="B16" s="7"/>
      <c r="C16" s="60"/>
      <c r="D16" s="60"/>
      <c r="E16" s="60"/>
      <c r="G16" s="3"/>
      <c r="H16" s="11"/>
      <c r="I16" s="60"/>
      <c r="J16" s="60"/>
      <c r="K16" s="60"/>
    </row>
    <row r="17" spans="1:11" x14ac:dyDescent="0.25">
      <c r="A17" s="3"/>
      <c r="B17" s="7"/>
      <c r="C17" s="60" t="s">
        <v>25</v>
      </c>
      <c r="D17" s="60"/>
      <c r="E17" s="60"/>
      <c r="G17" s="3"/>
      <c r="H17" s="11"/>
      <c r="I17" s="60" t="s">
        <v>25</v>
      </c>
      <c r="J17" s="60"/>
      <c r="K17" s="60"/>
    </row>
    <row r="18" spans="1:11" ht="15.75" customHeight="1" thickBot="1" x14ac:dyDescent="0.3">
      <c r="A18" s="5">
        <f>A2-A15</f>
        <v>22200</v>
      </c>
      <c r="B18" s="7" t="s">
        <v>8</v>
      </c>
      <c r="C18" s="60" t="s">
        <v>26</v>
      </c>
      <c r="D18" s="60"/>
      <c r="E18" s="60"/>
      <c r="G18" s="5">
        <f>G2-G15</f>
        <v>24000</v>
      </c>
      <c r="H18" s="11" t="s">
        <v>8</v>
      </c>
      <c r="I18" s="60" t="s">
        <v>26</v>
      </c>
      <c r="J18" s="60"/>
      <c r="K18" s="60"/>
    </row>
    <row r="19" spans="1:11" ht="15.75" thickBot="1" x14ac:dyDescent="0.3">
      <c r="A19" s="6">
        <f>A18*A4*A5*A3</f>
        <v>13586400</v>
      </c>
      <c r="B19" s="9" t="s">
        <v>8</v>
      </c>
      <c r="C19" s="61" t="s">
        <v>27</v>
      </c>
      <c r="D19" s="61"/>
      <c r="E19" s="62"/>
      <c r="G19" s="6">
        <f>G18*G4*G5*G3</f>
        <v>14688000</v>
      </c>
      <c r="H19" s="10"/>
      <c r="I19" s="61"/>
      <c r="J19" s="61"/>
      <c r="K19" s="62"/>
    </row>
  </sheetData>
  <mergeCells count="38">
    <mergeCell ref="C19:E19"/>
    <mergeCell ref="C13:E13"/>
    <mergeCell ref="C14:E14"/>
    <mergeCell ref="C15:E15"/>
    <mergeCell ref="C16:E16"/>
    <mergeCell ref="C17:E17"/>
    <mergeCell ref="C18:E18"/>
    <mergeCell ref="C12:E12"/>
    <mergeCell ref="A1:E1"/>
    <mergeCell ref="C2:E2"/>
    <mergeCell ref="C3:E3"/>
    <mergeCell ref="C4:E4"/>
    <mergeCell ref="C5:E5"/>
    <mergeCell ref="A6:E6"/>
    <mergeCell ref="C7:E7"/>
    <mergeCell ref="C8:E8"/>
    <mergeCell ref="C9:E9"/>
    <mergeCell ref="C10:E10"/>
    <mergeCell ref="C11:E11"/>
    <mergeCell ref="G1:K1"/>
    <mergeCell ref="I2:K2"/>
    <mergeCell ref="I3:K3"/>
    <mergeCell ref="I4:K4"/>
    <mergeCell ref="I5:K5"/>
    <mergeCell ref="G6:K6"/>
    <mergeCell ref="I7:K7"/>
    <mergeCell ref="I8:K8"/>
    <mergeCell ref="I9:K9"/>
    <mergeCell ref="I10:K10"/>
    <mergeCell ref="I16:K16"/>
    <mergeCell ref="I17:K17"/>
    <mergeCell ref="I18:K18"/>
    <mergeCell ref="I19:K19"/>
    <mergeCell ref="I11:K11"/>
    <mergeCell ref="I12:K12"/>
    <mergeCell ref="I13:K13"/>
    <mergeCell ref="I14:K14"/>
    <mergeCell ref="I15:K15"/>
  </mergeCells>
  <conditionalFormatting sqref="B2:C5 B7:C8">
    <cfRule type="expression" dxfId="2368" priority="7" stopIfTrue="1">
      <formula>#REF!="DLN"</formula>
    </cfRule>
  </conditionalFormatting>
  <conditionalFormatting sqref="B2:C5 B7:C8">
    <cfRule type="expression" dxfId="2367" priority="8" stopIfTrue="1">
      <formula>#REF!="DLN"</formula>
    </cfRule>
  </conditionalFormatting>
  <conditionalFormatting sqref="H2:I5 H7:I8">
    <cfRule type="expression" dxfId="2366" priority="1" stopIfTrue="1">
      <formula>#REF!="DLN"</formula>
    </cfRule>
  </conditionalFormatting>
  <conditionalFormatting sqref="H2:I5 H7:I8">
    <cfRule type="expression" dxfId="2365" priority="2" stopIfTrue="1">
      <formula>#REF!="DLN"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52DB-3DDA-4613-9100-9ED5D2630059}">
  <sheetPr codeName="Sheet3"/>
  <dimension ref="A1:X267"/>
  <sheetViews>
    <sheetView workbookViewId="0">
      <selection activeCell="B133" sqref="B133"/>
    </sheetView>
  </sheetViews>
  <sheetFormatPr defaultRowHeight="15" x14ac:dyDescent="0.25"/>
  <cols>
    <col min="1" max="1" width="12.5703125" bestFit="1" customWidth="1"/>
    <col min="2" max="2" width="21.85546875" bestFit="1" customWidth="1"/>
    <col min="3" max="3" width="26.28515625" bestFit="1" customWidth="1"/>
    <col min="4" max="4" width="27" bestFit="1" customWidth="1"/>
    <col min="5" max="5" width="17.85546875" bestFit="1" customWidth="1"/>
    <col min="6" max="6" width="17.5703125" bestFit="1" customWidth="1"/>
    <col min="7" max="7" width="14.7109375" bestFit="1" customWidth="1"/>
    <col min="8" max="8" width="16" bestFit="1" customWidth="1"/>
    <col min="9" max="9" width="14.7109375" bestFit="1" customWidth="1"/>
    <col min="10" max="10" width="16" bestFit="1" customWidth="1"/>
    <col min="11" max="11" width="14.7109375" bestFit="1" customWidth="1"/>
    <col min="12" max="12" width="16" bestFit="1" customWidth="1"/>
    <col min="13" max="13" width="14.7109375" bestFit="1" customWidth="1"/>
    <col min="14" max="14" width="16" bestFit="1" customWidth="1"/>
    <col min="15" max="15" width="14.7109375" bestFit="1" customWidth="1"/>
    <col min="16" max="16" width="16" bestFit="1" customWidth="1"/>
    <col min="17" max="17" width="14.7109375" bestFit="1" customWidth="1"/>
    <col min="18" max="18" width="16" bestFit="1" customWidth="1"/>
    <col min="19" max="19" width="14.7109375" bestFit="1" customWidth="1"/>
    <col min="20" max="20" width="16" bestFit="1" customWidth="1"/>
    <col min="21" max="21" width="14.7109375" bestFit="1" customWidth="1"/>
    <col min="22" max="22" width="16" bestFit="1" customWidth="1"/>
    <col min="23" max="23" width="14.7109375" bestFit="1" customWidth="1"/>
    <col min="24" max="24" width="16" customWidth="1"/>
    <col min="25" max="26" width="12.140625" bestFit="1" customWidth="1"/>
    <col min="27" max="27" width="14.42578125" bestFit="1" customWidth="1"/>
  </cols>
  <sheetData>
    <row r="1" spans="1:24" ht="15.75" x14ac:dyDescent="0.25">
      <c r="A1" s="15" t="s">
        <v>31</v>
      </c>
      <c r="B1" s="15" t="s">
        <v>32</v>
      </c>
      <c r="C1" s="15" t="s">
        <v>1</v>
      </c>
      <c r="D1" s="15" t="s">
        <v>33</v>
      </c>
      <c r="E1" s="15" t="s">
        <v>379</v>
      </c>
      <c r="F1" s="15" t="s">
        <v>30</v>
      </c>
      <c r="G1" s="16" t="s">
        <v>34</v>
      </c>
      <c r="H1" s="16" t="s">
        <v>368</v>
      </c>
      <c r="I1" s="15" t="s">
        <v>35</v>
      </c>
      <c r="J1" s="15" t="s">
        <v>369</v>
      </c>
      <c r="K1" s="17" t="s">
        <v>36</v>
      </c>
      <c r="L1" s="17" t="s">
        <v>370</v>
      </c>
      <c r="M1" s="15" t="s">
        <v>37</v>
      </c>
      <c r="N1" s="15" t="s">
        <v>371</v>
      </c>
      <c r="O1" s="17" t="s">
        <v>38</v>
      </c>
      <c r="P1" s="17" t="s">
        <v>372</v>
      </c>
      <c r="Q1" s="15" t="s">
        <v>39</v>
      </c>
      <c r="R1" s="15" t="s">
        <v>373</v>
      </c>
      <c r="S1" s="17" t="s">
        <v>40</v>
      </c>
      <c r="T1" s="17" t="s">
        <v>374</v>
      </c>
      <c r="U1" s="15" t="s">
        <v>41</v>
      </c>
      <c r="V1" s="15" t="s">
        <v>375</v>
      </c>
      <c r="W1" s="17" t="s">
        <v>42</v>
      </c>
      <c r="X1" s="17" t="s">
        <v>376</v>
      </c>
    </row>
    <row r="2" spans="1:24" ht="15.75" x14ac:dyDescent="0.25">
      <c r="A2" s="21" t="s">
        <v>43</v>
      </c>
      <c r="B2" s="21" t="s">
        <v>442</v>
      </c>
      <c r="C2" s="21" t="s">
        <v>44</v>
      </c>
      <c r="D2" s="21" t="s">
        <v>45</v>
      </c>
      <c r="E2" s="21">
        <v>4.76</v>
      </c>
      <c r="F2" s="21"/>
      <c r="G2" s="18">
        <v>53118</v>
      </c>
      <c r="H2" s="18">
        <v>68640</v>
      </c>
      <c r="I2" s="19"/>
      <c r="J2" s="19">
        <v>68640</v>
      </c>
      <c r="K2" s="18"/>
      <c r="L2" s="18">
        <v>68640</v>
      </c>
      <c r="M2" s="19"/>
      <c r="N2" s="19">
        <v>68640</v>
      </c>
      <c r="O2" s="18"/>
      <c r="P2" s="18">
        <v>68640</v>
      </c>
      <c r="Q2" s="19"/>
      <c r="R2" s="19">
        <v>0</v>
      </c>
      <c r="S2" s="18"/>
      <c r="T2" s="18">
        <v>0</v>
      </c>
      <c r="U2" s="19"/>
      <c r="V2" s="19">
        <v>0</v>
      </c>
      <c r="W2" s="18"/>
      <c r="X2" s="18">
        <v>0</v>
      </c>
    </row>
    <row r="3" spans="1:24" ht="15.75" x14ac:dyDescent="0.25">
      <c r="A3" s="21" t="s">
        <v>43</v>
      </c>
      <c r="B3" s="21" t="s">
        <v>442</v>
      </c>
      <c r="C3" s="21" t="s">
        <v>46</v>
      </c>
      <c r="D3" s="21" t="s">
        <v>47</v>
      </c>
      <c r="E3" s="21">
        <v>4.76</v>
      </c>
      <c r="F3" s="21"/>
      <c r="G3" s="18">
        <v>53797</v>
      </c>
      <c r="H3" s="18">
        <v>68640</v>
      </c>
      <c r="I3" s="19"/>
      <c r="J3" s="19">
        <v>68640</v>
      </c>
      <c r="K3" s="18"/>
      <c r="L3" s="18">
        <v>68640</v>
      </c>
      <c r="M3" s="19"/>
      <c r="N3" s="19">
        <v>68640</v>
      </c>
      <c r="O3" s="18"/>
      <c r="P3" s="18">
        <v>68640</v>
      </c>
      <c r="Q3" s="19"/>
      <c r="R3" s="19">
        <v>0</v>
      </c>
      <c r="S3" s="18"/>
      <c r="T3" s="18">
        <v>0</v>
      </c>
      <c r="U3" s="19"/>
      <c r="V3" s="19">
        <v>0</v>
      </c>
      <c r="W3" s="18"/>
      <c r="X3" s="18">
        <v>0</v>
      </c>
    </row>
    <row r="4" spans="1:24" ht="15.75" x14ac:dyDescent="0.25">
      <c r="A4" s="21" t="s">
        <v>43</v>
      </c>
      <c r="B4" s="21" t="s">
        <v>442</v>
      </c>
      <c r="C4" s="21" t="s">
        <v>48</v>
      </c>
      <c r="D4" s="21" t="s">
        <v>49</v>
      </c>
      <c r="E4" s="21">
        <v>4.76</v>
      </c>
      <c r="F4" s="21"/>
      <c r="G4" s="18">
        <v>5416</v>
      </c>
      <c r="H4" s="18">
        <v>4804.8</v>
      </c>
      <c r="I4" s="19"/>
      <c r="J4" s="19">
        <v>4804.8</v>
      </c>
      <c r="K4" s="18"/>
      <c r="L4" s="18">
        <v>4804.8</v>
      </c>
      <c r="M4" s="19"/>
      <c r="N4" s="19">
        <v>4804.8</v>
      </c>
      <c r="O4" s="18"/>
      <c r="P4" s="18">
        <v>4804.8</v>
      </c>
      <c r="Q4" s="19"/>
      <c r="R4" s="19">
        <v>0</v>
      </c>
      <c r="S4" s="18"/>
      <c r="T4" s="18">
        <v>0</v>
      </c>
      <c r="U4" s="19"/>
      <c r="V4" s="19">
        <v>0</v>
      </c>
      <c r="W4" s="18"/>
      <c r="X4" s="18">
        <v>0</v>
      </c>
    </row>
    <row r="5" spans="1:24" ht="15.75" x14ac:dyDescent="0.25">
      <c r="A5" s="21" t="s">
        <v>43</v>
      </c>
      <c r="B5" s="21" t="s">
        <v>442</v>
      </c>
      <c r="C5" s="21" t="s">
        <v>50</v>
      </c>
      <c r="D5" s="21" t="s">
        <v>51</v>
      </c>
      <c r="E5" s="21">
        <v>4.76</v>
      </c>
      <c r="F5" s="21"/>
      <c r="G5" s="18">
        <v>5411</v>
      </c>
      <c r="H5" s="18">
        <v>4804.8</v>
      </c>
      <c r="I5" s="19"/>
      <c r="J5" s="19">
        <v>4804.8</v>
      </c>
      <c r="K5" s="18"/>
      <c r="L5" s="18">
        <v>4804.8</v>
      </c>
      <c r="M5" s="19"/>
      <c r="N5" s="19">
        <v>4804.8</v>
      </c>
      <c r="O5" s="18"/>
      <c r="P5" s="18">
        <v>4804.8</v>
      </c>
      <c r="Q5" s="19"/>
      <c r="R5" s="19">
        <v>0</v>
      </c>
      <c r="S5" s="18"/>
      <c r="T5" s="18">
        <v>0</v>
      </c>
      <c r="U5" s="19"/>
      <c r="V5" s="19">
        <v>0</v>
      </c>
      <c r="W5" s="18"/>
      <c r="X5" s="18">
        <v>0</v>
      </c>
    </row>
    <row r="6" spans="1:24" ht="15.75" x14ac:dyDescent="0.25">
      <c r="A6" s="21" t="s">
        <v>43</v>
      </c>
      <c r="B6" s="21" t="s">
        <v>442</v>
      </c>
      <c r="C6" s="21" t="s">
        <v>52</v>
      </c>
      <c r="D6" s="21" t="s">
        <v>53</v>
      </c>
      <c r="E6" s="21">
        <v>4.76</v>
      </c>
      <c r="F6" s="21"/>
      <c r="G6" s="18">
        <v>44095</v>
      </c>
      <c r="H6" s="18">
        <v>68640</v>
      </c>
      <c r="I6" s="19"/>
      <c r="J6" s="19">
        <v>68640</v>
      </c>
      <c r="K6" s="18"/>
      <c r="L6" s="18">
        <v>68640</v>
      </c>
      <c r="M6" s="19"/>
      <c r="N6" s="19">
        <v>68640</v>
      </c>
      <c r="O6" s="18"/>
      <c r="P6" s="18">
        <v>68640</v>
      </c>
      <c r="Q6" s="19"/>
      <c r="R6" s="19">
        <v>0</v>
      </c>
      <c r="S6" s="18"/>
      <c r="T6" s="18">
        <v>0</v>
      </c>
      <c r="U6" s="19"/>
      <c r="V6" s="19">
        <v>0</v>
      </c>
      <c r="W6" s="18"/>
      <c r="X6" s="18">
        <v>0</v>
      </c>
    </row>
    <row r="7" spans="1:24" ht="15.75" x14ac:dyDescent="0.25">
      <c r="A7" s="21" t="s">
        <v>43</v>
      </c>
      <c r="B7" s="21" t="s">
        <v>442</v>
      </c>
      <c r="C7" s="21" t="s">
        <v>54</v>
      </c>
      <c r="D7" s="21" t="s">
        <v>55</v>
      </c>
      <c r="E7" s="21">
        <v>4.76</v>
      </c>
      <c r="F7" s="21"/>
      <c r="G7" s="18">
        <v>43827</v>
      </c>
      <c r="H7" s="18">
        <v>68640</v>
      </c>
      <c r="I7" s="19"/>
      <c r="J7" s="19">
        <v>68640</v>
      </c>
      <c r="K7" s="18"/>
      <c r="L7" s="18">
        <v>68640</v>
      </c>
      <c r="M7" s="19"/>
      <c r="N7" s="19">
        <v>68640</v>
      </c>
      <c r="O7" s="18"/>
      <c r="P7" s="18">
        <v>68640</v>
      </c>
      <c r="Q7" s="19"/>
      <c r="R7" s="19">
        <v>0</v>
      </c>
      <c r="S7" s="18"/>
      <c r="T7" s="18">
        <v>0</v>
      </c>
      <c r="U7" s="19"/>
      <c r="V7" s="19">
        <v>0</v>
      </c>
      <c r="W7" s="18"/>
      <c r="X7" s="18">
        <v>0</v>
      </c>
    </row>
    <row r="8" spans="1:24" ht="15.75" x14ac:dyDescent="0.25">
      <c r="A8" s="21" t="s">
        <v>43</v>
      </c>
      <c r="B8" s="21" t="s">
        <v>442</v>
      </c>
      <c r="C8" s="21" t="s">
        <v>423</v>
      </c>
      <c r="D8" s="21" t="s">
        <v>56</v>
      </c>
      <c r="E8" s="21">
        <v>4.76</v>
      </c>
      <c r="F8" s="21"/>
      <c r="G8" s="18">
        <v>2545</v>
      </c>
      <c r="H8" s="18">
        <v>4804.8</v>
      </c>
      <c r="I8" s="19"/>
      <c r="J8" s="19">
        <v>4804.8</v>
      </c>
      <c r="K8" s="18"/>
      <c r="L8" s="18">
        <v>4804.8</v>
      </c>
      <c r="M8" s="19"/>
      <c r="N8" s="19">
        <v>4804.8</v>
      </c>
      <c r="O8" s="18"/>
      <c r="P8" s="18">
        <v>4804.8</v>
      </c>
      <c r="Q8" s="19"/>
      <c r="R8" s="19">
        <v>0</v>
      </c>
      <c r="S8" s="18"/>
      <c r="T8" s="18">
        <v>0</v>
      </c>
      <c r="U8" s="19"/>
      <c r="V8" s="19">
        <v>0</v>
      </c>
      <c r="W8" s="18"/>
      <c r="X8" s="18">
        <v>0</v>
      </c>
    </row>
    <row r="9" spans="1:24" ht="15.75" x14ac:dyDescent="0.25">
      <c r="A9" s="21" t="s">
        <v>43</v>
      </c>
      <c r="B9" s="21" t="s">
        <v>442</v>
      </c>
      <c r="C9" s="21" t="s">
        <v>57</v>
      </c>
      <c r="D9" s="21" t="s">
        <v>58</v>
      </c>
      <c r="E9" s="21">
        <v>4.76</v>
      </c>
      <c r="F9" s="21"/>
      <c r="G9" s="18">
        <v>2545</v>
      </c>
      <c r="H9" s="18">
        <v>4804.8</v>
      </c>
      <c r="I9" s="19"/>
      <c r="J9" s="19">
        <v>4804.8</v>
      </c>
      <c r="K9" s="18"/>
      <c r="L9" s="18">
        <v>4804.8</v>
      </c>
      <c r="M9" s="19"/>
      <c r="N9" s="19">
        <v>4804.8</v>
      </c>
      <c r="O9" s="18"/>
      <c r="P9" s="18">
        <v>4804.8</v>
      </c>
      <c r="Q9" s="19"/>
      <c r="R9" s="19">
        <v>0</v>
      </c>
      <c r="S9" s="18"/>
      <c r="T9" s="18">
        <v>0</v>
      </c>
      <c r="U9" s="19"/>
      <c r="V9" s="19">
        <v>0</v>
      </c>
      <c r="W9" s="18"/>
      <c r="X9" s="18">
        <v>0</v>
      </c>
    </row>
    <row r="10" spans="1:24" ht="15.75" x14ac:dyDescent="0.25">
      <c r="A10" s="21" t="s">
        <v>43</v>
      </c>
      <c r="B10" s="21" t="s">
        <v>442</v>
      </c>
      <c r="C10" s="21" t="s">
        <v>59</v>
      </c>
      <c r="D10" s="21" t="s">
        <v>60</v>
      </c>
      <c r="E10" s="21">
        <v>4.76</v>
      </c>
      <c r="F10" s="21"/>
      <c r="G10" s="18">
        <v>7000</v>
      </c>
      <c r="H10" s="18">
        <v>9952.7999999999993</v>
      </c>
      <c r="I10" s="19"/>
      <c r="J10" s="19">
        <v>9952.7999999999993</v>
      </c>
      <c r="K10" s="18"/>
      <c r="L10" s="18">
        <v>9952.7999999999993</v>
      </c>
      <c r="M10" s="19"/>
      <c r="N10" s="19">
        <v>9952.7999999999993</v>
      </c>
      <c r="O10" s="18"/>
      <c r="P10" s="18">
        <v>9952.7999999999993</v>
      </c>
      <c r="Q10" s="19"/>
      <c r="R10" s="19">
        <v>0</v>
      </c>
      <c r="S10" s="18"/>
      <c r="T10" s="18">
        <v>0</v>
      </c>
      <c r="U10" s="19"/>
      <c r="V10" s="19">
        <v>0</v>
      </c>
      <c r="W10" s="18"/>
      <c r="X10" s="18">
        <v>0</v>
      </c>
    </row>
    <row r="11" spans="1:24" ht="15.75" x14ac:dyDescent="0.25">
      <c r="A11" s="21" t="s">
        <v>43</v>
      </c>
      <c r="B11" s="21" t="s">
        <v>442</v>
      </c>
      <c r="C11" s="21" t="s">
        <v>61</v>
      </c>
      <c r="D11" s="21" t="s">
        <v>62</v>
      </c>
      <c r="E11" s="21">
        <v>4.76</v>
      </c>
      <c r="F11" s="21"/>
      <c r="G11" s="18">
        <v>8293</v>
      </c>
      <c r="H11" s="18">
        <v>16473.599999999999</v>
      </c>
      <c r="I11" s="19"/>
      <c r="J11" s="19">
        <v>16473.599999999999</v>
      </c>
      <c r="K11" s="18"/>
      <c r="L11" s="18">
        <v>16473.599999999999</v>
      </c>
      <c r="M11" s="19"/>
      <c r="N11" s="19">
        <v>16473.599999999999</v>
      </c>
      <c r="O11" s="18"/>
      <c r="P11" s="18">
        <v>16473.599999999999</v>
      </c>
      <c r="Q11" s="19"/>
      <c r="R11" s="19">
        <v>0</v>
      </c>
      <c r="S11" s="18"/>
      <c r="T11" s="18">
        <v>0</v>
      </c>
      <c r="U11" s="19"/>
      <c r="V11" s="19">
        <v>0</v>
      </c>
      <c r="W11" s="18"/>
      <c r="X11" s="18">
        <v>0</v>
      </c>
    </row>
    <row r="12" spans="1:24" ht="15.75" x14ac:dyDescent="0.25">
      <c r="A12" s="21" t="s">
        <v>43</v>
      </c>
      <c r="B12" s="21" t="s">
        <v>442</v>
      </c>
      <c r="C12" s="21" t="s">
        <v>63</v>
      </c>
      <c r="D12" s="21" t="s">
        <v>64</v>
      </c>
      <c r="E12" s="21">
        <v>4.76</v>
      </c>
      <c r="F12" s="21"/>
      <c r="G12" s="18">
        <v>6062</v>
      </c>
      <c r="H12" s="18">
        <v>6177.5999999999995</v>
      </c>
      <c r="I12" s="19"/>
      <c r="J12" s="19">
        <v>6177.5999999999995</v>
      </c>
      <c r="K12" s="18"/>
      <c r="L12" s="18">
        <v>6177.5999999999995</v>
      </c>
      <c r="M12" s="19"/>
      <c r="N12" s="19">
        <v>6177.5999999999995</v>
      </c>
      <c r="O12" s="18"/>
      <c r="P12" s="18">
        <v>6177.5999999999995</v>
      </c>
      <c r="Q12" s="19"/>
      <c r="R12" s="19">
        <v>0</v>
      </c>
      <c r="S12" s="18"/>
      <c r="T12" s="18">
        <v>0</v>
      </c>
      <c r="U12" s="19"/>
      <c r="V12" s="19">
        <v>0</v>
      </c>
      <c r="W12" s="18"/>
      <c r="X12" s="18">
        <v>0</v>
      </c>
    </row>
    <row r="13" spans="1:24" ht="15.75" x14ac:dyDescent="0.25">
      <c r="A13" s="21" t="s">
        <v>43</v>
      </c>
      <c r="B13" s="21" t="s">
        <v>442</v>
      </c>
      <c r="C13" s="21" t="s">
        <v>65</v>
      </c>
      <c r="D13" s="21" t="s">
        <v>66</v>
      </c>
      <c r="E13" s="21">
        <v>4.76</v>
      </c>
      <c r="F13" s="21"/>
      <c r="G13" s="18">
        <v>2248</v>
      </c>
      <c r="H13" s="18">
        <v>0</v>
      </c>
      <c r="I13" s="19"/>
      <c r="J13" s="19">
        <v>0</v>
      </c>
      <c r="K13" s="18"/>
      <c r="L13" s="18">
        <v>0</v>
      </c>
      <c r="M13" s="19"/>
      <c r="N13" s="19">
        <v>0</v>
      </c>
      <c r="O13" s="18"/>
      <c r="P13" s="18">
        <v>0</v>
      </c>
      <c r="Q13" s="19"/>
      <c r="R13" s="19">
        <v>0</v>
      </c>
      <c r="S13" s="18"/>
      <c r="T13" s="18">
        <v>0</v>
      </c>
      <c r="U13" s="19"/>
      <c r="V13" s="19">
        <v>0</v>
      </c>
      <c r="W13" s="18"/>
      <c r="X13" s="18">
        <v>0</v>
      </c>
    </row>
    <row r="14" spans="1:24" ht="15.75" x14ac:dyDescent="0.25">
      <c r="A14" s="21" t="s">
        <v>43</v>
      </c>
      <c r="B14" s="21" t="s">
        <v>442</v>
      </c>
      <c r="C14" s="21" t="s">
        <v>67</v>
      </c>
      <c r="D14" s="21" t="s">
        <v>68</v>
      </c>
      <c r="E14" s="21">
        <v>4.76</v>
      </c>
      <c r="F14" s="21"/>
      <c r="G14" s="18">
        <v>19350</v>
      </c>
      <c r="H14" s="18">
        <v>29515.200000000001</v>
      </c>
      <c r="I14" s="19"/>
      <c r="J14" s="19">
        <v>29515.200000000001</v>
      </c>
      <c r="K14" s="18"/>
      <c r="L14" s="18">
        <v>29515.200000000001</v>
      </c>
      <c r="M14" s="19"/>
      <c r="N14" s="19">
        <v>29515.200000000001</v>
      </c>
      <c r="O14" s="18"/>
      <c r="P14" s="18">
        <v>29515.200000000001</v>
      </c>
      <c r="Q14" s="19"/>
      <c r="R14" s="19">
        <v>0</v>
      </c>
      <c r="S14" s="18"/>
      <c r="T14" s="18">
        <v>0</v>
      </c>
      <c r="U14" s="19"/>
      <c r="V14" s="19">
        <v>0</v>
      </c>
      <c r="W14" s="18"/>
      <c r="X14" s="18">
        <v>0</v>
      </c>
    </row>
    <row r="15" spans="1:24" ht="15.75" x14ac:dyDescent="0.25">
      <c r="A15" s="21" t="s">
        <v>43</v>
      </c>
      <c r="B15" s="21" t="s">
        <v>442</v>
      </c>
      <c r="C15" s="21" t="s">
        <v>69</v>
      </c>
      <c r="D15" s="21" t="s">
        <v>70</v>
      </c>
      <c r="E15" s="21">
        <v>4.76</v>
      </c>
      <c r="F15" s="21"/>
      <c r="G15" s="18">
        <v>472</v>
      </c>
      <c r="H15" s="18">
        <v>0</v>
      </c>
      <c r="I15" s="19"/>
      <c r="J15" s="19">
        <v>0</v>
      </c>
      <c r="K15" s="18"/>
      <c r="L15" s="18">
        <v>0</v>
      </c>
      <c r="M15" s="19"/>
      <c r="N15" s="19">
        <v>0</v>
      </c>
      <c r="O15" s="18"/>
      <c r="P15" s="18">
        <v>0</v>
      </c>
      <c r="Q15" s="19"/>
      <c r="R15" s="19">
        <v>0</v>
      </c>
      <c r="S15" s="18"/>
      <c r="T15" s="18">
        <v>0</v>
      </c>
      <c r="U15" s="19"/>
      <c r="V15" s="19">
        <v>0</v>
      </c>
      <c r="W15" s="18"/>
      <c r="X15" s="18">
        <v>0</v>
      </c>
    </row>
    <row r="16" spans="1:24" ht="15.75" x14ac:dyDescent="0.25">
      <c r="A16" s="21" t="s">
        <v>43</v>
      </c>
      <c r="B16" s="21" t="s">
        <v>442</v>
      </c>
      <c r="C16" s="21" t="s">
        <v>71</v>
      </c>
      <c r="D16" s="21" t="s">
        <v>72</v>
      </c>
      <c r="E16" s="21">
        <v>4.76</v>
      </c>
      <c r="F16" s="21"/>
      <c r="G16" s="18">
        <v>3617</v>
      </c>
      <c r="H16" s="18">
        <v>4118.3999999999996</v>
      </c>
      <c r="I16" s="19"/>
      <c r="J16" s="19">
        <v>4118.3999999999996</v>
      </c>
      <c r="K16" s="18"/>
      <c r="L16" s="18">
        <v>4118.3999999999996</v>
      </c>
      <c r="M16" s="19"/>
      <c r="N16" s="19">
        <v>4118.3999999999996</v>
      </c>
      <c r="O16" s="18"/>
      <c r="P16" s="18">
        <v>4118.3999999999996</v>
      </c>
      <c r="Q16" s="19"/>
      <c r="R16" s="19">
        <v>0</v>
      </c>
      <c r="S16" s="18"/>
      <c r="T16" s="18">
        <v>0</v>
      </c>
      <c r="U16" s="19"/>
      <c r="V16" s="19">
        <v>0</v>
      </c>
      <c r="W16" s="18"/>
      <c r="X16" s="18">
        <v>0</v>
      </c>
    </row>
    <row r="17" spans="1:24" ht="15.75" x14ac:dyDescent="0.25">
      <c r="A17" s="21" t="s">
        <v>43</v>
      </c>
      <c r="B17" s="21" t="s">
        <v>442</v>
      </c>
      <c r="C17" s="21" t="s">
        <v>73</v>
      </c>
      <c r="D17" s="21" t="s">
        <v>74</v>
      </c>
      <c r="E17" s="21">
        <v>4.76</v>
      </c>
      <c r="F17" s="21"/>
      <c r="G17" s="18">
        <v>2849</v>
      </c>
      <c r="H17" s="18">
        <v>960.96</v>
      </c>
      <c r="I17" s="19"/>
      <c r="J17" s="19">
        <v>960.96</v>
      </c>
      <c r="K17" s="18"/>
      <c r="L17" s="18">
        <v>960.96</v>
      </c>
      <c r="M17" s="19"/>
      <c r="N17" s="19">
        <v>960.96</v>
      </c>
      <c r="O17" s="18"/>
      <c r="P17" s="18">
        <v>960.96</v>
      </c>
      <c r="Q17" s="19"/>
      <c r="R17" s="19">
        <v>0</v>
      </c>
      <c r="S17" s="18"/>
      <c r="T17" s="18">
        <v>0</v>
      </c>
      <c r="U17" s="19"/>
      <c r="V17" s="19">
        <v>0</v>
      </c>
      <c r="W17" s="18"/>
      <c r="X17" s="18">
        <v>0</v>
      </c>
    </row>
    <row r="18" spans="1:24" ht="15.75" x14ac:dyDescent="0.25">
      <c r="A18" s="21" t="s">
        <v>43</v>
      </c>
      <c r="B18" s="21" t="s">
        <v>442</v>
      </c>
      <c r="C18" s="21" t="s">
        <v>75</v>
      </c>
      <c r="D18" s="21" t="s">
        <v>76</v>
      </c>
      <c r="E18" s="21">
        <v>4.76</v>
      </c>
      <c r="F18" s="21"/>
      <c r="G18" s="18">
        <v>44</v>
      </c>
      <c r="H18" s="18">
        <v>1372.8</v>
      </c>
      <c r="I18" s="19"/>
      <c r="J18" s="19">
        <v>1372.8</v>
      </c>
      <c r="K18" s="18"/>
      <c r="L18" s="18">
        <v>1372.8</v>
      </c>
      <c r="M18" s="19"/>
      <c r="N18" s="19">
        <v>1372.8</v>
      </c>
      <c r="O18" s="18"/>
      <c r="P18" s="18">
        <v>1372.8</v>
      </c>
      <c r="Q18" s="19"/>
      <c r="R18" s="19">
        <v>0</v>
      </c>
      <c r="S18" s="18"/>
      <c r="T18" s="18">
        <v>0</v>
      </c>
      <c r="U18" s="19"/>
      <c r="V18" s="19">
        <v>0</v>
      </c>
      <c r="W18" s="18"/>
      <c r="X18" s="18">
        <v>0</v>
      </c>
    </row>
    <row r="19" spans="1:24" ht="15.75" x14ac:dyDescent="0.25">
      <c r="A19" s="21" t="s">
        <v>43</v>
      </c>
      <c r="B19" s="21" t="s">
        <v>442</v>
      </c>
      <c r="C19" s="21" t="s">
        <v>77</v>
      </c>
      <c r="D19" s="21" t="s">
        <v>78</v>
      </c>
      <c r="E19" s="21">
        <v>4.76</v>
      </c>
      <c r="F19" s="21"/>
      <c r="G19" s="18">
        <v>197</v>
      </c>
      <c r="H19" s="18">
        <v>0</v>
      </c>
      <c r="I19" s="19"/>
      <c r="J19" s="19">
        <v>0</v>
      </c>
      <c r="K19" s="18"/>
      <c r="L19" s="18">
        <v>0</v>
      </c>
      <c r="M19" s="19"/>
      <c r="N19" s="19">
        <v>0</v>
      </c>
      <c r="O19" s="18"/>
      <c r="P19" s="18">
        <v>0</v>
      </c>
      <c r="Q19" s="19"/>
      <c r="R19" s="19">
        <v>0</v>
      </c>
      <c r="S19" s="18"/>
      <c r="T19" s="18">
        <v>0</v>
      </c>
      <c r="U19" s="19"/>
      <c r="V19" s="19">
        <v>0</v>
      </c>
      <c r="W19" s="18"/>
      <c r="X19" s="18">
        <v>0</v>
      </c>
    </row>
    <row r="20" spans="1:24" ht="15.75" x14ac:dyDescent="0.25">
      <c r="A20" s="21" t="s">
        <v>43</v>
      </c>
      <c r="B20" s="21" t="s">
        <v>442</v>
      </c>
      <c r="C20" s="21" t="s">
        <v>79</v>
      </c>
      <c r="D20" s="21" t="s">
        <v>80</v>
      </c>
      <c r="E20" s="21">
        <v>4.76</v>
      </c>
      <c r="F20" s="21"/>
      <c r="G20" s="18">
        <v>1802</v>
      </c>
      <c r="H20" s="18">
        <v>960.96</v>
      </c>
      <c r="I20" s="19"/>
      <c r="J20" s="19">
        <v>960.96</v>
      </c>
      <c r="K20" s="18"/>
      <c r="L20" s="18">
        <v>960.96</v>
      </c>
      <c r="M20" s="19"/>
      <c r="N20" s="19">
        <v>960.96</v>
      </c>
      <c r="O20" s="18"/>
      <c r="P20" s="18">
        <v>960.96</v>
      </c>
      <c r="Q20" s="19"/>
      <c r="R20" s="19">
        <v>0</v>
      </c>
      <c r="S20" s="18"/>
      <c r="T20" s="18">
        <v>0</v>
      </c>
      <c r="U20" s="19"/>
      <c r="V20" s="19">
        <v>0</v>
      </c>
      <c r="W20" s="18"/>
      <c r="X20" s="18">
        <v>0</v>
      </c>
    </row>
    <row r="21" spans="1:24" ht="15.75" x14ac:dyDescent="0.25">
      <c r="A21" s="21" t="s">
        <v>43</v>
      </c>
      <c r="B21" s="21" t="s">
        <v>442</v>
      </c>
      <c r="C21" s="21" t="s">
        <v>81</v>
      </c>
      <c r="D21" s="21" t="s">
        <v>82</v>
      </c>
      <c r="E21" s="21">
        <v>4.76</v>
      </c>
      <c r="F21" s="21"/>
      <c r="G21" s="18">
        <v>51167</v>
      </c>
      <c r="H21" s="18">
        <v>63835.200000000004</v>
      </c>
      <c r="I21" s="19"/>
      <c r="J21" s="19">
        <v>63835.200000000004</v>
      </c>
      <c r="K21" s="18"/>
      <c r="L21" s="18">
        <v>63835.200000000004</v>
      </c>
      <c r="M21" s="19"/>
      <c r="N21" s="19">
        <v>63835.200000000004</v>
      </c>
      <c r="O21" s="18"/>
      <c r="P21" s="18">
        <v>63835.200000000004</v>
      </c>
      <c r="Q21" s="19"/>
      <c r="R21" s="19">
        <v>0</v>
      </c>
      <c r="S21" s="18"/>
      <c r="T21" s="18">
        <v>0</v>
      </c>
      <c r="U21" s="19"/>
      <c r="V21" s="19">
        <v>0</v>
      </c>
      <c r="W21" s="18"/>
      <c r="X21" s="18">
        <v>0</v>
      </c>
    </row>
    <row r="22" spans="1:24" ht="15.75" x14ac:dyDescent="0.25">
      <c r="A22" s="21" t="s">
        <v>43</v>
      </c>
      <c r="B22" s="21" t="s">
        <v>442</v>
      </c>
      <c r="C22" s="21" t="s">
        <v>83</v>
      </c>
      <c r="D22" s="21" t="s">
        <v>84</v>
      </c>
      <c r="E22" s="21">
        <v>4.76</v>
      </c>
      <c r="F22" s="21"/>
      <c r="G22" s="18">
        <v>2547</v>
      </c>
      <c r="H22" s="18">
        <v>4804.8</v>
      </c>
      <c r="I22" s="19"/>
      <c r="J22" s="19">
        <v>4804.8</v>
      </c>
      <c r="K22" s="18"/>
      <c r="L22" s="18">
        <v>4804.8</v>
      </c>
      <c r="M22" s="19"/>
      <c r="N22" s="19">
        <v>4804.8</v>
      </c>
      <c r="O22" s="18"/>
      <c r="P22" s="18">
        <v>4804.8</v>
      </c>
      <c r="Q22" s="19"/>
      <c r="R22" s="19">
        <v>0</v>
      </c>
      <c r="S22" s="18"/>
      <c r="T22" s="18">
        <v>0</v>
      </c>
      <c r="U22" s="19"/>
      <c r="V22" s="19">
        <v>0</v>
      </c>
      <c r="W22" s="18"/>
      <c r="X22" s="18">
        <v>0</v>
      </c>
    </row>
    <row r="23" spans="1:24" ht="15.75" x14ac:dyDescent="0.25">
      <c r="A23" s="21" t="s">
        <v>43</v>
      </c>
      <c r="B23" s="21" t="s">
        <v>442</v>
      </c>
      <c r="C23" s="21" t="s">
        <v>424</v>
      </c>
      <c r="D23" s="21" t="s">
        <v>425</v>
      </c>
      <c r="E23" s="21"/>
      <c r="F23" s="21"/>
      <c r="G23" s="18">
        <v>21869</v>
      </c>
      <c r="H23" s="18">
        <v>31574.400000000001</v>
      </c>
      <c r="I23" s="19"/>
      <c r="J23" s="19">
        <v>31574.400000000001</v>
      </c>
      <c r="K23" s="18"/>
      <c r="L23" s="18">
        <v>31574.400000000001</v>
      </c>
      <c r="M23" s="19"/>
      <c r="N23" s="19">
        <v>31574.400000000001</v>
      </c>
      <c r="O23" s="18"/>
      <c r="P23" s="18">
        <v>31574.400000000001</v>
      </c>
      <c r="Q23" s="19"/>
      <c r="R23" s="19">
        <v>0</v>
      </c>
      <c r="S23" s="18"/>
      <c r="T23" s="18">
        <v>0</v>
      </c>
      <c r="U23" s="19"/>
      <c r="V23" s="19">
        <v>0</v>
      </c>
      <c r="W23" s="18"/>
      <c r="X23" s="18">
        <v>0</v>
      </c>
    </row>
    <row r="24" spans="1:24" ht="15.75" x14ac:dyDescent="0.25">
      <c r="A24" s="21" t="s">
        <v>43</v>
      </c>
      <c r="B24" s="21" t="s">
        <v>442</v>
      </c>
      <c r="C24" s="21" t="s">
        <v>426</v>
      </c>
      <c r="D24" s="21" t="s">
        <v>427</v>
      </c>
      <c r="E24" s="21"/>
      <c r="F24" s="21"/>
      <c r="G24" s="18">
        <v>26605</v>
      </c>
      <c r="H24" s="18">
        <v>3432</v>
      </c>
      <c r="I24" s="19"/>
      <c r="J24" s="19">
        <v>3432</v>
      </c>
      <c r="K24" s="18"/>
      <c r="L24" s="18">
        <v>3432</v>
      </c>
      <c r="M24" s="19"/>
      <c r="N24" s="19">
        <v>3432</v>
      </c>
      <c r="O24" s="18"/>
      <c r="P24" s="18">
        <v>3432</v>
      </c>
      <c r="Q24" s="19"/>
      <c r="R24" s="19">
        <v>0</v>
      </c>
      <c r="S24" s="18"/>
      <c r="T24" s="18">
        <v>0</v>
      </c>
      <c r="U24" s="19"/>
      <c r="V24" s="19">
        <v>0</v>
      </c>
      <c r="W24" s="18"/>
      <c r="X24" s="18">
        <v>0</v>
      </c>
    </row>
    <row r="25" spans="1:24" ht="15.75" x14ac:dyDescent="0.25">
      <c r="A25" s="21" t="s">
        <v>43</v>
      </c>
      <c r="B25" s="21" t="s">
        <v>442</v>
      </c>
      <c r="C25" s="21" t="s">
        <v>85</v>
      </c>
      <c r="D25" s="21" t="s">
        <v>86</v>
      </c>
      <c r="E25" s="21"/>
      <c r="F25" s="21"/>
      <c r="G25" s="18">
        <v>53624</v>
      </c>
      <c r="H25" s="18">
        <v>68640</v>
      </c>
      <c r="I25" s="19"/>
      <c r="J25" s="19">
        <v>68640</v>
      </c>
      <c r="K25" s="18"/>
      <c r="L25" s="18">
        <v>68640</v>
      </c>
      <c r="M25" s="19"/>
      <c r="N25" s="19">
        <v>68640</v>
      </c>
      <c r="O25" s="18"/>
      <c r="P25" s="18">
        <v>68640</v>
      </c>
      <c r="Q25" s="19"/>
      <c r="R25" s="19">
        <v>0</v>
      </c>
      <c r="S25" s="18"/>
      <c r="T25" s="18">
        <v>0</v>
      </c>
      <c r="U25" s="19"/>
      <c r="V25" s="19">
        <v>0</v>
      </c>
      <c r="W25" s="18"/>
      <c r="X25" s="18">
        <v>0</v>
      </c>
    </row>
    <row r="26" spans="1:24" ht="15.75" x14ac:dyDescent="0.25">
      <c r="A26" s="21" t="s">
        <v>43</v>
      </c>
      <c r="B26" s="21" t="s">
        <v>442</v>
      </c>
      <c r="C26" s="21" t="s">
        <v>87</v>
      </c>
      <c r="D26" s="21" t="s">
        <v>88</v>
      </c>
      <c r="E26" s="21"/>
      <c r="F26" s="21"/>
      <c r="G26" s="18">
        <v>2945</v>
      </c>
      <c r="H26" s="18">
        <v>2333.7600000000002</v>
      </c>
      <c r="I26" s="19"/>
      <c r="J26" s="19">
        <v>2333.7600000000002</v>
      </c>
      <c r="K26" s="18"/>
      <c r="L26" s="18">
        <v>2333.7600000000002</v>
      </c>
      <c r="M26" s="19"/>
      <c r="N26" s="19">
        <v>2333.7600000000002</v>
      </c>
      <c r="O26" s="18"/>
      <c r="P26" s="18">
        <v>2333.7600000000002</v>
      </c>
      <c r="Q26" s="19"/>
      <c r="R26" s="19">
        <v>0</v>
      </c>
      <c r="S26" s="18"/>
      <c r="T26" s="18">
        <v>0</v>
      </c>
      <c r="U26" s="19"/>
      <c r="V26" s="19">
        <v>0</v>
      </c>
      <c r="W26" s="18"/>
      <c r="X26" s="18">
        <v>0</v>
      </c>
    </row>
    <row r="27" spans="1:24" ht="15.75" x14ac:dyDescent="0.25">
      <c r="A27" s="21" t="s">
        <v>43</v>
      </c>
      <c r="B27" s="21" t="s">
        <v>442</v>
      </c>
      <c r="C27" s="21" t="s">
        <v>89</v>
      </c>
      <c r="D27" s="21" t="s">
        <v>90</v>
      </c>
      <c r="E27" s="21"/>
      <c r="F27" s="21"/>
      <c r="G27" s="18">
        <v>2050</v>
      </c>
      <c r="H27" s="18">
        <v>960.96</v>
      </c>
      <c r="I27" s="19"/>
      <c r="J27" s="19">
        <v>960.96</v>
      </c>
      <c r="K27" s="18"/>
      <c r="L27" s="18">
        <v>960.96</v>
      </c>
      <c r="M27" s="19"/>
      <c r="N27" s="19">
        <v>960.96</v>
      </c>
      <c r="O27" s="18"/>
      <c r="P27" s="18">
        <v>960.96</v>
      </c>
      <c r="Q27" s="19"/>
      <c r="R27" s="19">
        <v>0</v>
      </c>
      <c r="S27" s="18"/>
      <c r="T27" s="18">
        <v>0</v>
      </c>
      <c r="U27" s="19"/>
      <c r="V27" s="19">
        <v>0</v>
      </c>
      <c r="W27" s="18"/>
      <c r="X27" s="18">
        <v>0</v>
      </c>
    </row>
    <row r="28" spans="1:24" ht="15.75" x14ac:dyDescent="0.25">
      <c r="A28" s="21" t="s">
        <v>43</v>
      </c>
      <c r="B28" s="21" t="s">
        <v>442</v>
      </c>
      <c r="C28" s="21" t="s">
        <v>91</v>
      </c>
      <c r="D28" s="21" t="s">
        <v>92</v>
      </c>
      <c r="E28" s="21"/>
      <c r="F28" s="21"/>
      <c r="G28" s="18">
        <v>28242</v>
      </c>
      <c r="H28" s="18">
        <v>51480</v>
      </c>
      <c r="I28" s="19"/>
      <c r="J28" s="19">
        <v>51480</v>
      </c>
      <c r="K28" s="18"/>
      <c r="L28" s="18">
        <v>51480</v>
      </c>
      <c r="M28" s="19"/>
      <c r="N28" s="19">
        <v>51480</v>
      </c>
      <c r="O28" s="18"/>
      <c r="P28" s="18">
        <v>51480</v>
      </c>
      <c r="Q28" s="19"/>
      <c r="R28" s="19">
        <v>0</v>
      </c>
      <c r="S28" s="18"/>
      <c r="T28" s="18">
        <v>0</v>
      </c>
      <c r="U28" s="19"/>
      <c r="V28" s="19">
        <v>0</v>
      </c>
      <c r="W28" s="18"/>
      <c r="X28" s="18">
        <v>0</v>
      </c>
    </row>
    <row r="29" spans="1:24" ht="15.75" x14ac:dyDescent="0.25">
      <c r="A29" s="21" t="s">
        <v>43</v>
      </c>
      <c r="B29" s="21" t="s">
        <v>93</v>
      </c>
      <c r="C29" s="21" t="s">
        <v>94</v>
      </c>
      <c r="D29" s="21" t="s">
        <v>95</v>
      </c>
      <c r="E29" s="21"/>
      <c r="F29" s="21"/>
      <c r="G29" s="18">
        <v>15781</v>
      </c>
      <c r="H29" s="18">
        <v>22440</v>
      </c>
      <c r="I29" s="19"/>
      <c r="J29" s="19">
        <v>22440</v>
      </c>
      <c r="K29" s="18"/>
      <c r="L29" s="18">
        <v>22440</v>
      </c>
      <c r="M29" s="19"/>
      <c r="N29" s="19">
        <v>22440</v>
      </c>
      <c r="O29" s="18"/>
      <c r="P29" s="18">
        <v>0</v>
      </c>
      <c r="Q29" s="19"/>
      <c r="R29" s="19">
        <v>0</v>
      </c>
      <c r="S29" s="18"/>
      <c r="T29" s="18">
        <v>0</v>
      </c>
      <c r="U29" s="19"/>
      <c r="V29" s="19">
        <v>0</v>
      </c>
      <c r="W29" s="18"/>
      <c r="X29" s="18">
        <v>0</v>
      </c>
    </row>
    <row r="30" spans="1:24" ht="15.75" x14ac:dyDescent="0.25">
      <c r="A30" s="21" t="s">
        <v>43</v>
      </c>
      <c r="B30" s="21" t="s">
        <v>93</v>
      </c>
      <c r="C30" s="21" t="s">
        <v>96</v>
      </c>
      <c r="D30" s="21" t="s">
        <v>97</v>
      </c>
      <c r="E30" s="21"/>
      <c r="F30" s="21"/>
      <c r="G30" s="18">
        <v>13524</v>
      </c>
      <c r="H30" s="18">
        <v>2087</v>
      </c>
      <c r="I30" s="19"/>
      <c r="J30" s="19">
        <v>2087</v>
      </c>
      <c r="K30" s="18"/>
      <c r="L30" s="18">
        <v>2087</v>
      </c>
      <c r="M30" s="19"/>
      <c r="N30" s="19">
        <v>2087</v>
      </c>
      <c r="O30" s="18"/>
      <c r="P30" s="18">
        <v>0</v>
      </c>
      <c r="Q30" s="19"/>
      <c r="R30" s="19">
        <v>0</v>
      </c>
      <c r="S30" s="18"/>
      <c r="T30" s="18">
        <v>0</v>
      </c>
      <c r="U30" s="19"/>
      <c r="V30" s="19">
        <v>0</v>
      </c>
      <c r="W30" s="18"/>
      <c r="X30" s="18">
        <v>0</v>
      </c>
    </row>
    <row r="31" spans="1:24" ht="15.75" x14ac:dyDescent="0.25">
      <c r="A31" s="21" t="s">
        <v>43</v>
      </c>
      <c r="B31" s="21" t="s">
        <v>93</v>
      </c>
      <c r="C31" s="21" t="s">
        <v>98</v>
      </c>
      <c r="D31" s="21" t="s">
        <v>99</v>
      </c>
      <c r="E31" s="21"/>
      <c r="F31" s="21"/>
      <c r="G31" s="18">
        <v>13823</v>
      </c>
      <c r="H31" s="18">
        <v>2087</v>
      </c>
      <c r="I31" s="19"/>
      <c r="J31" s="19">
        <v>2087</v>
      </c>
      <c r="K31" s="18"/>
      <c r="L31" s="18">
        <v>2087</v>
      </c>
      <c r="M31" s="19"/>
      <c r="N31" s="19">
        <v>2087</v>
      </c>
      <c r="O31" s="18"/>
      <c r="P31" s="18">
        <v>0</v>
      </c>
      <c r="Q31" s="19"/>
      <c r="R31" s="19">
        <v>0</v>
      </c>
      <c r="S31" s="18"/>
      <c r="T31" s="18">
        <v>0</v>
      </c>
      <c r="U31" s="19"/>
      <c r="V31" s="19">
        <v>0</v>
      </c>
      <c r="W31" s="18"/>
      <c r="X31" s="18">
        <v>0</v>
      </c>
    </row>
    <row r="32" spans="1:24" ht="15.75" x14ac:dyDescent="0.25">
      <c r="A32" s="21" t="s">
        <v>43</v>
      </c>
      <c r="B32" s="21" t="s">
        <v>93</v>
      </c>
      <c r="C32" s="21" t="s">
        <v>100</v>
      </c>
      <c r="D32" s="21" t="s">
        <v>101</v>
      </c>
      <c r="E32" s="21"/>
      <c r="F32" s="21"/>
      <c r="G32" s="18">
        <v>3291</v>
      </c>
      <c r="H32" s="18">
        <v>98</v>
      </c>
      <c r="I32" s="19"/>
      <c r="J32" s="19">
        <v>98</v>
      </c>
      <c r="K32" s="18"/>
      <c r="L32" s="18">
        <v>98</v>
      </c>
      <c r="M32" s="19"/>
      <c r="N32" s="19">
        <v>98</v>
      </c>
      <c r="O32" s="18"/>
      <c r="P32" s="18">
        <v>0</v>
      </c>
      <c r="Q32" s="19"/>
      <c r="R32" s="19">
        <v>0</v>
      </c>
      <c r="S32" s="18"/>
      <c r="T32" s="18">
        <v>0</v>
      </c>
      <c r="U32" s="19"/>
      <c r="V32" s="19">
        <v>0</v>
      </c>
      <c r="W32" s="18"/>
      <c r="X32" s="18">
        <v>0</v>
      </c>
    </row>
    <row r="33" spans="1:24" ht="15.75" x14ac:dyDescent="0.25">
      <c r="A33" s="21" t="s">
        <v>43</v>
      </c>
      <c r="B33" s="21" t="s">
        <v>93</v>
      </c>
      <c r="C33" s="21" t="s">
        <v>102</v>
      </c>
      <c r="D33" s="21" t="s">
        <v>103</v>
      </c>
      <c r="E33" s="21"/>
      <c r="F33" s="21"/>
      <c r="G33" s="18">
        <v>2913</v>
      </c>
      <c r="H33" s="18">
        <v>1104</v>
      </c>
      <c r="I33" s="19"/>
      <c r="J33" s="19">
        <v>1104</v>
      </c>
      <c r="K33" s="18"/>
      <c r="L33" s="18">
        <v>1104</v>
      </c>
      <c r="M33" s="19"/>
      <c r="N33" s="19">
        <v>1104</v>
      </c>
      <c r="O33" s="18"/>
      <c r="P33" s="18">
        <v>0</v>
      </c>
      <c r="Q33" s="19"/>
      <c r="R33" s="19">
        <v>0</v>
      </c>
      <c r="S33" s="18"/>
      <c r="T33" s="18">
        <v>0</v>
      </c>
      <c r="U33" s="19"/>
      <c r="V33" s="19">
        <v>0</v>
      </c>
      <c r="W33" s="18"/>
      <c r="X33" s="18">
        <v>0</v>
      </c>
    </row>
    <row r="34" spans="1:24" ht="15.75" x14ac:dyDescent="0.25">
      <c r="A34" s="21" t="s">
        <v>43</v>
      </c>
      <c r="B34" s="21" t="s">
        <v>93</v>
      </c>
      <c r="C34" s="21" t="s">
        <v>104</v>
      </c>
      <c r="D34" s="21" t="s">
        <v>105</v>
      </c>
      <c r="E34" s="21"/>
      <c r="F34" s="21"/>
      <c r="G34" s="18">
        <v>5713</v>
      </c>
      <c r="H34" s="18">
        <v>4420</v>
      </c>
      <c r="I34" s="19"/>
      <c r="J34" s="19">
        <v>4420</v>
      </c>
      <c r="K34" s="18"/>
      <c r="L34" s="18">
        <v>4420</v>
      </c>
      <c r="M34" s="19"/>
      <c r="N34" s="19">
        <v>4420</v>
      </c>
      <c r="O34" s="18"/>
      <c r="P34" s="18">
        <v>0</v>
      </c>
      <c r="Q34" s="19"/>
      <c r="R34" s="19">
        <v>0</v>
      </c>
      <c r="S34" s="18"/>
      <c r="T34" s="18">
        <v>0</v>
      </c>
      <c r="U34" s="19"/>
      <c r="V34" s="19">
        <v>0</v>
      </c>
      <c r="W34" s="18"/>
      <c r="X34" s="18">
        <v>0</v>
      </c>
    </row>
    <row r="35" spans="1:24" ht="15.75" x14ac:dyDescent="0.25">
      <c r="A35" s="21" t="s">
        <v>43</v>
      </c>
      <c r="B35" s="21" t="s">
        <v>93</v>
      </c>
      <c r="C35" s="21" t="s">
        <v>106</v>
      </c>
      <c r="D35" s="21" t="s">
        <v>107</v>
      </c>
      <c r="E35" s="21"/>
      <c r="F35" s="21"/>
      <c r="G35" s="18">
        <v>4816</v>
      </c>
      <c r="H35" s="18">
        <v>6875</v>
      </c>
      <c r="I35" s="19"/>
      <c r="J35" s="19">
        <v>6875</v>
      </c>
      <c r="K35" s="18"/>
      <c r="L35" s="18">
        <v>6875</v>
      </c>
      <c r="M35" s="19"/>
      <c r="N35" s="19">
        <v>6875</v>
      </c>
      <c r="O35" s="18"/>
      <c r="P35" s="18">
        <v>0</v>
      </c>
      <c r="Q35" s="19"/>
      <c r="R35" s="19">
        <v>0</v>
      </c>
      <c r="S35" s="18"/>
      <c r="T35" s="18">
        <v>0</v>
      </c>
      <c r="U35" s="19"/>
      <c r="V35" s="19">
        <v>0</v>
      </c>
      <c r="W35" s="18"/>
      <c r="X35" s="18">
        <v>0</v>
      </c>
    </row>
    <row r="36" spans="1:24" ht="15.75" x14ac:dyDescent="0.25">
      <c r="A36" s="21" t="s">
        <v>43</v>
      </c>
      <c r="B36" s="21" t="s">
        <v>93</v>
      </c>
      <c r="C36" s="21" t="s">
        <v>108</v>
      </c>
      <c r="D36" s="21" t="s">
        <v>109</v>
      </c>
      <c r="E36" s="21"/>
      <c r="F36" s="21"/>
      <c r="G36" s="18">
        <v>4981</v>
      </c>
      <c r="H36" s="18">
        <v>5770</v>
      </c>
      <c r="I36" s="19"/>
      <c r="J36" s="19">
        <v>5770</v>
      </c>
      <c r="K36" s="18"/>
      <c r="L36" s="18">
        <v>5770</v>
      </c>
      <c r="M36" s="19"/>
      <c r="N36" s="19">
        <v>5770</v>
      </c>
      <c r="O36" s="18"/>
      <c r="P36" s="18">
        <v>0</v>
      </c>
      <c r="Q36" s="19"/>
      <c r="R36" s="19">
        <v>0</v>
      </c>
      <c r="S36" s="18"/>
      <c r="T36" s="18">
        <v>0</v>
      </c>
      <c r="U36" s="19"/>
      <c r="V36" s="19">
        <v>0</v>
      </c>
      <c r="W36" s="18"/>
      <c r="X36" s="18">
        <v>0</v>
      </c>
    </row>
    <row r="37" spans="1:24" ht="15.75" x14ac:dyDescent="0.25">
      <c r="A37" s="21" t="s">
        <v>43</v>
      </c>
      <c r="B37" s="21" t="s">
        <v>93</v>
      </c>
      <c r="C37" s="21" t="s">
        <v>110</v>
      </c>
      <c r="D37" s="21" t="s">
        <v>111</v>
      </c>
      <c r="E37" s="21"/>
      <c r="F37" s="21"/>
      <c r="G37" s="18">
        <v>2586</v>
      </c>
      <c r="H37" s="18">
        <v>4910</v>
      </c>
      <c r="I37" s="19"/>
      <c r="J37" s="19">
        <v>4910</v>
      </c>
      <c r="K37" s="18"/>
      <c r="L37" s="18">
        <v>4910</v>
      </c>
      <c r="M37" s="19"/>
      <c r="N37" s="19">
        <v>4910</v>
      </c>
      <c r="O37" s="18"/>
      <c r="P37" s="18">
        <v>0</v>
      </c>
      <c r="Q37" s="19"/>
      <c r="R37" s="19">
        <v>0</v>
      </c>
      <c r="S37" s="18"/>
      <c r="T37" s="18">
        <v>0</v>
      </c>
      <c r="U37" s="19"/>
      <c r="V37" s="19">
        <v>0</v>
      </c>
      <c r="W37" s="18"/>
      <c r="X37" s="18">
        <v>0</v>
      </c>
    </row>
    <row r="38" spans="1:24" ht="15.75" x14ac:dyDescent="0.25">
      <c r="A38" s="21" t="s">
        <v>43</v>
      </c>
      <c r="B38" s="21" t="s">
        <v>93</v>
      </c>
      <c r="C38" s="21" t="s">
        <v>112</v>
      </c>
      <c r="D38" s="21" t="s">
        <v>113</v>
      </c>
      <c r="E38" s="21"/>
      <c r="F38" s="21"/>
      <c r="G38" s="18">
        <v>2585</v>
      </c>
      <c r="H38" s="18">
        <v>319</v>
      </c>
      <c r="I38" s="19"/>
      <c r="J38" s="19">
        <v>319</v>
      </c>
      <c r="K38" s="18"/>
      <c r="L38" s="18">
        <v>319</v>
      </c>
      <c r="M38" s="19"/>
      <c r="N38" s="19">
        <v>319</v>
      </c>
      <c r="O38" s="18"/>
      <c r="P38" s="18">
        <v>0</v>
      </c>
      <c r="Q38" s="19"/>
      <c r="R38" s="19">
        <v>0</v>
      </c>
      <c r="S38" s="18"/>
      <c r="T38" s="18">
        <v>0</v>
      </c>
      <c r="U38" s="19"/>
      <c r="V38" s="19">
        <v>0</v>
      </c>
      <c r="W38" s="18"/>
      <c r="X38" s="18">
        <v>0</v>
      </c>
    </row>
    <row r="39" spans="1:24" ht="15.75" x14ac:dyDescent="0.25">
      <c r="A39" s="21" t="s">
        <v>43</v>
      </c>
      <c r="B39" s="21" t="s">
        <v>93</v>
      </c>
      <c r="C39" s="21" t="s">
        <v>114</v>
      </c>
      <c r="D39" s="21" t="s">
        <v>115</v>
      </c>
      <c r="E39" s="21"/>
      <c r="F39" s="21"/>
      <c r="G39" s="18">
        <v>2473</v>
      </c>
      <c r="H39" s="18">
        <v>1104</v>
      </c>
      <c r="I39" s="19"/>
      <c r="J39" s="19">
        <v>1104</v>
      </c>
      <c r="K39" s="18"/>
      <c r="L39" s="18">
        <v>1104</v>
      </c>
      <c r="M39" s="19"/>
      <c r="N39" s="19">
        <v>1104</v>
      </c>
      <c r="O39" s="18"/>
      <c r="P39" s="18">
        <v>0</v>
      </c>
      <c r="Q39" s="19"/>
      <c r="R39" s="19">
        <v>0</v>
      </c>
      <c r="S39" s="18"/>
      <c r="T39" s="18">
        <v>0</v>
      </c>
      <c r="U39" s="19"/>
      <c r="V39" s="19">
        <v>0</v>
      </c>
      <c r="W39" s="18"/>
      <c r="X39" s="18">
        <v>0</v>
      </c>
    </row>
    <row r="40" spans="1:24" ht="15.75" x14ac:dyDescent="0.25">
      <c r="A40" s="21" t="s">
        <v>43</v>
      </c>
      <c r="B40" s="21" t="s">
        <v>93</v>
      </c>
      <c r="C40" s="21" t="s">
        <v>116</v>
      </c>
      <c r="D40" s="21" t="s">
        <v>117</v>
      </c>
      <c r="E40" s="21"/>
      <c r="F40" s="21"/>
      <c r="G40" s="18">
        <v>3221</v>
      </c>
      <c r="H40" s="18">
        <v>98</v>
      </c>
      <c r="I40" s="19"/>
      <c r="J40" s="19">
        <v>98</v>
      </c>
      <c r="K40" s="18"/>
      <c r="L40" s="18">
        <v>98</v>
      </c>
      <c r="M40" s="19"/>
      <c r="N40" s="19">
        <v>98</v>
      </c>
      <c r="O40" s="18"/>
      <c r="P40" s="18">
        <v>0</v>
      </c>
      <c r="Q40" s="19"/>
      <c r="R40" s="19">
        <v>0</v>
      </c>
      <c r="S40" s="18"/>
      <c r="T40" s="18">
        <v>0</v>
      </c>
      <c r="U40" s="19"/>
      <c r="V40" s="19">
        <v>0</v>
      </c>
      <c r="W40" s="18"/>
      <c r="X40" s="18">
        <v>0</v>
      </c>
    </row>
    <row r="41" spans="1:24" ht="15.75" x14ac:dyDescent="0.25">
      <c r="A41" s="21" t="s">
        <v>43</v>
      </c>
      <c r="B41" s="21" t="s">
        <v>93</v>
      </c>
      <c r="C41" s="21" t="s">
        <v>118</v>
      </c>
      <c r="D41" s="21" t="s">
        <v>119</v>
      </c>
      <c r="E41" s="21"/>
      <c r="F41" s="21"/>
      <c r="G41" s="18">
        <v>2975</v>
      </c>
      <c r="H41" s="18">
        <v>1104</v>
      </c>
      <c r="I41" s="19"/>
      <c r="J41" s="19">
        <v>1104</v>
      </c>
      <c r="K41" s="18"/>
      <c r="L41" s="18">
        <v>1104</v>
      </c>
      <c r="M41" s="19"/>
      <c r="N41" s="19">
        <v>1104</v>
      </c>
      <c r="O41" s="18"/>
      <c r="P41" s="18">
        <v>0</v>
      </c>
      <c r="Q41" s="19"/>
      <c r="R41" s="19">
        <v>0</v>
      </c>
      <c r="S41" s="18"/>
      <c r="T41" s="18">
        <v>0</v>
      </c>
      <c r="U41" s="19"/>
      <c r="V41" s="19">
        <v>0</v>
      </c>
      <c r="W41" s="18"/>
      <c r="X41" s="18">
        <v>0</v>
      </c>
    </row>
    <row r="42" spans="1:24" ht="15.75" x14ac:dyDescent="0.25">
      <c r="A42" s="21" t="s">
        <v>43</v>
      </c>
      <c r="B42" s="21" t="s">
        <v>93</v>
      </c>
      <c r="C42" s="21" t="s">
        <v>120</v>
      </c>
      <c r="D42" s="21" t="s">
        <v>121</v>
      </c>
      <c r="E42" s="21"/>
      <c r="F42" s="21"/>
      <c r="G42" s="18">
        <v>5715</v>
      </c>
      <c r="H42" s="18">
        <v>4420</v>
      </c>
      <c r="I42" s="19"/>
      <c r="J42" s="19">
        <v>4420</v>
      </c>
      <c r="K42" s="18"/>
      <c r="L42" s="18">
        <v>4420</v>
      </c>
      <c r="M42" s="19"/>
      <c r="N42" s="19">
        <v>4420</v>
      </c>
      <c r="O42" s="18"/>
      <c r="P42" s="18">
        <v>0</v>
      </c>
      <c r="Q42" s="19"/>
      <c r="R42" s="19">
        <v>0</v>
      </c>
      <c r="S42" s="18"/>
      <c r="T42" s="18">
        <v>0</v>
      </c>
      <c r="U42" s="19"/>
      <c r="V42" s="19">
        <v>0</v>
      </c>
      <c r="W42" s="18"/>
      <c r="X42" s="18">
        <v>0</v>
      </c>
    </row>
    <row r="43" spans="1:24" ht="15.75" x14ac:dyDescent="0.25">
      <c r="A43" s="21" t="s">
        <v>43</v>
      </c>
      <c r="B43" s="21" t="s">
        <v>93</v>
      </c>
      <c r="C43" s="21" t="s">
        <v>122</v>
      </c>
      <c r="D43" s="21" t="s">
        <v>123</v>
      </c>
      <c r="E43" s="21"/>
      <c r="F43" s="21"/>
      <c r="G43" s="18">
        <v>4749</v>
      </c>
      <c r="H43" s="18">
        <v>6752</v>
      </c>
      <c r="I43" s="19"/>
      <c r="J43" s="19">
        <v>6752</v>
      </c>
      <c r="K43" s="18"/>
      <c r="L43" s="18">
        <v>6752</v>
      </c>
      <c r="M43" s="19"/>
      <c r="N43" s="19">
        <v>6752</v>
      </c>
      <c r="O43" s="18"/>
      <c r="P43" s="18">
        <v>0</v>
      </c>
      <c r="Q43" s="19"/>
      <c r="R43" s="19">
        <v>0</v>
      </c>
      <c r="S43" s="18"/>
      <c r="T43" s="18">
        <v>0</v>
      </c>
      <c r="U43" s="19"/>
      <c r="V43" s="19">
        <v>0</v>
      </c>
      <c r="W43" s="18"/>
      <c r="X43" s="18">
        <v>0</v>
      </c>
    </row>
    <row r="44" spans="1:24" ht="15.75" x14ac:dyDescent="0.25">
      <c r="A44" s="21" t="s">
        <v>43</v>
      </c>
      <c r="B44" s="21" t="s">
        <v>93</v>
      </c>
      <c r="C44" s="21" t="s">
        <v>124</v>
      </c>
      <c r="D44" s="21" t="s">
        <v>125</v>
      </c>
      <c r="E44" s="21"/>
      <c r="F44" s="21"/>
      <c r="G44" s="18">
        <v>4972</v>
      </c>
      <c r="H44" s="18">
        <v>5770</v>
      </c>
      <c r="I44" s="19"/>
      <c r="J44" s="19">
        <v>5770</v>
      </c>
      <c r="K44" s="18"/>
      <c r="L44" s="18">
        <v>5770</v>
      </c>
      <c r="M44" s="19"/>
      <c r="N44" s="19">
        <v>5770</v>
      </c>
      <c r="O44" s="18"/>
      <c r="P44" s="18">
        <v>0</v>
      </c>
      <c r="Q44" s="19"/>
      <c r="R44" s="19">
        <v>0</v>
      </c>
      <c r="S44" s="18"/>
      <c r="T44" s="18">
        <v>0</v>
      </c>
      <c r="U44" s="19"/>
      <c r="V44" s="19">
        <v>0</v>
      </c>
      <c r="W44" s="18"/>
      <c r="X44" s="18">
        <v>0</v>
      </c>
    </row>
    <row r="45" spans="1:24" ht="15.75" x14ac:dyDescent="0.25">
      <c r="A45" s="21" t="s">
        <v>43</v>
      </c>
      <c r="B45" s="21" t="s">
        <v>93</v>
      </c>
      <c r="C45" s="21" t="s">
        <v>126</v>
      </c>
      <c r="D45" s="21" t="s">
        <v>127</v>
      </c>
      <c r="E45" s="21"/>
      <c r="F45" s="21"/>
      <c r="G45" s="18">
        <v>2608</v>
      </c>
      <c r="H45" s="18">
        <v>4910</v>
      </c>
      <c r="I45" s="19"/>
      <c r="J45" s="19">
        <v>4910</v>
      </c>
      <c r="K45" s="18"/>
      <c r="L45" s="18">
        <v>4910</v>
      </c>
      <c r="M45" s="19"/>
      <c r="N45" s="19">
        <v>4910</v>
      </c>
      <c r="O45" s="18"/>
      <c r="P45" s="18">
        <v>0</v>
      </c>
      <c r="Q45" s="19"/>
      <c r="R45" s="19">
        <v>0</v>
      </c>
      <c r="S45" s="18"/>
      <c r="T45" s="18">
        <v>0</v>
      </c>
      <c r="U45" s="19"/>
      <c r="V45" s="19">
        <v>0</v>
      </c>
      <c r="W45" s="18"/>
      <c r="X45" s="18">
        <v>0</v>
      </c>
    </row>
    <row r="46" spans="1:24" ht="15.75" x14ac:dyDescent="0.25">
      <c r="A46" s="21" t="s">
        <v>43</v>
      </c>
      <c r="B46" s="21" t="s">
        <v>93</v>
      </c>
      <c r="C46" s="21" t="s">
        <v>128</v>
      </c>
      <c r="D46" s="21" t="s">
        <v>129</v>
      </c>
      <c r="E46" s="21"/>
      <c r="F46" s="21"/>
      <c r="G46" s="18">
        <v>2524</v>
      </c>
      <c r="H46" s="18">
        <v>319</v>
      </c>
      <c r="I46" s="19"/>
      <c r="J46" s="19">
        <v>319</v>
      </c>
      <c r="K46" s="18"/>
      <c r="L46" s="18">
        <v>319</v>
      </c>
      <c r="M46" s="19"/>
      <c r="N46" s="19">
        <v>319</v>
      </c>
      <c r="O46" s="18"/>
      <c r="P46" s="18">
        <v>0</v>
      </c>
      <c r="Q46" s="19"/>
      <c r="R46" s="19">
        <v>0</v>
      </c>
      <c r="S46" s="18"/>
      <c r="T46" s="18">
        <v>0</v>
      </c>
      <c r="U46" s="19"/>
      <c r="V46" s="19">
        <v>0</v>
      </c>
      <c r="W46" s="18"/>
      <c r="X46" s="18">
        <v>0</v>
      </c>
    </row>
    <row r="47" spans="1:24" ht="15.75" x14ac:dyDescent="0.25">
      <c r="A47" s="21" t="s">
        <v>43</v>
      </c>
      <c r="B47" s="21" t="s">
        <v>93</v>
      </c>
      <c r="C47" s="21" t="s">
        <v>130</v>
      </c>
      <c r="D47" s="21" t="s">
        <v>131</v>
      </c>
      <c r="E47" s="21"/>
      <c r="F47" s="21"/>
      <c r="G47" s="18">
        <v>2424</v>
      </c>
      <c r="H47" s="18">
        <v>1104</v>
      </c>
      <c r="I47" s="19"/>
      <c r="J47" s="19">
        <v>1104</v>
      </c>
      <c r="K47" s="18"/>
      <c r="L47" s="18">
        <v>1104</v>
      </c>
      <c r="M47" s="19"/>
      <c r="N47" s="19">
        <v>1104</v>
      </c>
      <c r="O47" s="18"/>
      <c r="P47" s="18">
        <v>0</v>
      </c>
      <c r="Q47" s="19"/>
      <c r="R47" s="19">
        <v>0</v>
      </c>
      <c r="S47" s="18"/>
      <c r="T47" s="18">
        <v>0</v>
      </c>
      <c r="U47" s="19"/>
      <c r="V47" s="19">
        <v>0</v>
      </c>
      <c r="W47" s="18"/>
      <c r="X47" s="18">
        <v>0</v>
      </c>
    </row>
    <row r="48" spans="1:24" ht="15.75" x14ac:dyDescent="0.25">
      <c r="A48" s="21" t="s">
        <v>43</v>
      </c>
      <c r="B48" s="21" t="s">
        <v>93</v>
      </c>
      <c r="C48" s="21" t="s">
        <v>132</v>
      </c>
      <c r="D48" s="21" t="s">
        <v>133</v>
      </c>
      <c r="E48" s="21"/>
      <c r="F48" s="21"/>
      <c r="G48" s="18">
        <v>16048</v>
      </c>
      <c r="H48" s="18">
        <v>22440</v>
      </c>
      <c r="I48" s="19"/>
      <c r="J48" s="19">
        <v>22440</v>
      </c>
      <c r="K48" s="18"/>
      <c r="L48" s="18">
        <v>22440</v>
      </c>
      <c r="M48" s="19"/>
      <c r="N48" s="19">
        <v>22440</v>
      </c>
      <c r="O48" s="18"/>
      <c r="P48" s="18">
        <v>0</v>
      </c>
      <c r="Q48" s="19"/>
      <c r="R48" s="19">
        <v>0</v>
      </c>
      <c r="S48" s="18"/>
      <c r="T48" s="18">
        <v>0</v>
      </c>
      <c r="U48" s="19"/>
      <c r="V48" s="19">
        <v>0</v>
      </c>
      <c r="W48" s="18"/>
      <c r="X48" s="18">
        <v>0</v>
      </c>
    </row>
    <row r="49" spans="1:24" ht="15.75" x14ac:dyDescent="0.25">
      <c r="A49" s="21" t="s">
        <v>43</v>
      </c>
      <c r="B49" s="21" t="s">
        <v>93</v>
      </c>
      <c r="C49" s="21" t="s">
        <v>134</v>
      </c>
      <c r="D49" s="21" t="s">
        <v>135</v>
      </c>
      <c r="E49" s="21"/>
      <c r="F49" s="21"/>
      <c r="G49" s="18">
        <v>16032</v>
      </c>
      <c r="H49" s="18">
        <v>20379</v>
      </c>
      <c r="I49" s="19"/>
      <c r="J49" s="19">
        <v>20379</v>
      </c>
      <c r="K49" s="18"/>
      <c r="L49" s="18">
        <v>20379</v>
      </c>
      <c r="M49" s="19"/>
      <c r="N49" s="19">
        <v>20379</v>
      </c>
      <c r="O49" s="18"/>
      <c r="P49" s="18">
        <v>0</v>
      </c>
      <c r="Q49" s="19"/>
      <c r="R49" s="19">
        <v>0</v>
      </c>
      <c r="S49" s="18"/>
      <c r="T49" s="18">
        <v>0</v>
      </c>
      <c r="U49" s="19"/>
      <c r="V49" s="19">
        <v>0</v>
      </c>
      <c r="W49" s="18"/>
      <c r="X49" s="18">
        <v>0</v>
      </c>
    </row>
    <row r="50" spans="1:24" ht="15.75" x14ac:dyDescent="0.25">
      <c r="A50" s="21" t="s">
        <v>43</v>
      </c>
      <c r="B50" s="21" t="s">
        <v>93</v>
      </c>
      <c r="C50" s="21" t="s">
        <v>136</v>
      </c>
      <c r="D50" s="21" t="s">
        <v>137</v>
      </c>
      <c r="E50" s="21"/>
      <c r="F50" s="21"/>
      <c r="G50" s="18">
        <v>15874</v>
      </c>
      <c r="H50" s="18">
        <v>22440</v>
      </c>
      <c r="I50" s="19"/>
      <c r="J50" s="19">
        <v>22440</v>
      </c>
      <c r="K50" s="18"/>
      <c r="L50" s="18">
        <v>22440</v>
      </c>
      <c r="M50" s="19"/>
      <c r="N50" s="19">
        <v>22440</v>
      </c>
      <c r="O50" s="18"/>
      <c r="P50" s="18">
        <v>0</v>
      </c>
      <c r="Q50" s="19"/>
      <c r="R50" s="19">
        <v>0</v>
      </c>
      <c r="S50" s="18"/>
      <c r="T50" s="18">
        <v>0</v>
      </c>
      <c r="U50" s="19"/>
      <c r="V50" s="19">
        <v>0</v>
      </c>
      <c r="W50" s="18"/>
      <c r="X50" s="18">
        <v>0</v>
      </c>
    </row>
    <row r="51" spans="1:24" ht="15.75" x14ac:dyDescent="0.25">
      <c r="A51" s="21" t="s">
        <v>43</v>
      </c>
      <c r="B51" s="21" t="s">
        <v>93</v>
      </c>
      <c r="C51" s="21" t="s">
        <v>138</v>
      </c>
      <c r="D51" s="21" t="s">
        <v>139</v>
      </c>
      <c r="E51" s="21"/>
      <c r="F51" s="21"/>
      <c r="G51" s="18">
        <v>13791</v>
      </c>
      <c r="H51" s="18">
        <v>2087</v>
      </c>
      <c r="I51" s="19"/>
      <c r="J51" s="19">
        <v>2087</v>
      </c>
      <c r="K51" s="18"/>
      <c r="L51" s="18">
        <v>2087</v>
      </c>
      <c r="M51" s="19"/>
      <c r="N51" s="19">
        <v>2087</v>
      </c>
      <c r="O51" s="18"/>
      <c r="P51" s="18">
        <v>0</v>
      </c>
      <c r="Q51" s="19"/>
      <c r="R51" s="19">
        <v>0</v>
      </c>
      <c r="S51" s="18"/>
      <c r="T51" s="18">
        <v>0</v>
      </c>
      <c r="U51" s="19"/>
      <c r="V51" s="19">
        <v>0</v>
      </c>
      <c r="W51" s="18"/>
      <c r="X51" s="18">
        <v>0</v>
      </c>
    </row>
    <row r="52" spans="1:24" ht="15.75" x14ac:dyDescent="0.25">
      <c r="A52" s="21" t="s">
        <v>43</v>
      </c>
      <c r="B52" s="21" t="s">
        <v>93</v>
      </c>
      <c r="C52" s="21" t="s">
        <v>140</v>
      </c>
      <c r="D52" s="21" t="s">
        <v>141</v>
      </c>
      <c r="E52" s="21"/>
      <c r="F52" s="21"/>
      <c r="G52" s="18">
        <v>15074</v>
      </c>
      <c r="H52" s="18">
        <v>22440</v>
      </c>
      <c r="I52" s="19"/>
      <c r="J52" s="19">
        <v>22440</v>
      </c>
      <c r="K52" s="18"/>
      <c r="L52" s="18">
        <v>22440</v>
      </c>
      <c r="M52" s="19"/>
      <c r="N52" s="19">
        <v>22440</v>
      </c>
      <c r="O52" s="18"/>
      <c r="P52" s="18">
        <v>0</v>
      </c>
      <c r="Q52" s="19"/>
      <c r="R52" s="19">
        <v>0</v>
      </c>
      <c r="S52" s="18"/>
      <c r="T52" s="18">
        <v>0</v>
      </c>
      <c r="U52" s="19"/>
      <c r="V52" s="19">
        <v>0</v>
      </c>
      <c r="W52" s="18"/>
      <c r="X52" s="18">
        <v>0</v>
      </c>
    </row>
    <row r="53" spans="1:24" ht="15.75" x14ac:dyDescent="0.25">
      <c r="A53" s="21" t="s">
        <v>43</v>
      </c>
      <c r="B53" s="21" t="s">
        <v>93</v>
      </c>
      <c r="C53" s="21" t="s">
        <v>142</v>
      </c>
      <c r="D53" s="21" t="s">
        <v>143</v>
      </c>
      <c r="E53" s="21"/>
      <c r="F53" s="21"/>
      <c r="G53" s="18">
        <v>13572</v>
      </c>
      <c r="H53" s="18">
        <v>2087</v>
      </c>
      <c r="I53" s="19"/>
      <c r="J53" s="19">
        <v>2087</v>
      </c>
      <c r="K53" s="18"/>
      <c r="L53" s="18">
        <v>2087</v>
      </c>
      <c r="M53" s="19"/>
      <c r="N53" s="19">
        <v>2087</v>
      </c>
      <c r="O53" s="18"/>
      <c r="P53" s="18">
        <v>0</v>
      </c>
      <c r="Q53" s="19"/>
      <c r="R53" s="19">
        <v>0</v>
      </c>
      <c r="S53" s="18"/>
      <c r="T53" s="18">
        <v>0</v>
      </c>
      <c r="U53" s="19"/>
      <c r="V53" s="19">
        <v>0</v>
      </c>
      <c r="W53" s="18"/>
      <c r="X53" s="18">
        <v>0</v>
      </c>
    </row>
    <row r="54" spans="1:24" ht="15.75" x14ac:dyDescent="0.25">
      <c r="A54" s="21" t="s">
        <v>144</v>
      </c>
      <c r="B54" s="21" t="s">
        <v>154</v>
      </c>
      <c r="C54" s="21" t="s">
        <v>155</v>
      </c>
      <c r="D54" s="21" t="s">
        <v>156</v>
      </c>
      <c r="E54" s="21"/>
      <c r="F54" s="21"/>
      <c r="G54" s="18">
        <v>16925</v>
      </c>
      <c r="H54" s="18">
        <v>27863.88</v>
      </c>
      <c r="I54" s="19"/>
      <c r="J54" s="19">
        <v>92482.676000000007</v>
      </c>
      <c r="K54" s="18"/>
      <c r="L54" s="18">
        <v>121648.76900000001</v>
      </c>
      <c r="M54" s="19"/>
      <c r="N54" s="19">
        <v>130803.80500000001</v>
      </c>
      <c r="O54" s="18"/>
      <c r="P54" s="18">
        <v>133990.62600000002</v>
      </c>
      <c r="Q54" s="19"/>
      <c r="R54" s="19">
        <v>121938.26700000001</v>
      </c>
      <c r="S54" s="18"/>
      <c r="T54" s="18">
        <v>116379.57100000001</v>
      </c>
      <c r="U54" s="19"/>
      <c r="V54" s="19">
        <v>57066</v>
      </c>
      <c r="W54" s="18"/>
      <c r="X54" s="18">
        <v>0</v>
      </c>
    </row>
    <row r="55" spans="1:24" ht="15.75" x14ac:dyDescent="0.25">
      <c r="A55" s="21" t="s">
        <v>144</v>
      </c>
      <c r="B55" s="21" t="s">
        <v>154</v>
      </c>
      <c r="C55" s="21" t="s">
        <v>157</v>
      </c>
      <c r="D55" s="21" t="s">
        <v>158</v>
      </c>
      <c r="E55" s="21"/>
      <c r="F55" s="21"/>
      <c r="G55" s="18">
        <v>12632</v>
      </c>
      <c r="H55" s="18">
        <v>25588.2</v>
      </c>
      <c r="I55" s="19"/>
      <c r="J55" s="19">
        <v>50243.600000000006</v>
      </c>
      <c r="K55" s="18"/>
      <c r="L55" s="18">
        <v>56932.700000000004</v>
      </c>
      <c r="M55" s="19"/>
      <c r="N55" s="19">
        <v>60360.3</v>
      </c>
      <c r="O55" s="18"/>
      <c r="P55" s="18">
        <v>60275.600000000006</v>
      </c>
      <c r="Q55" s="19"/>
      <c r="R55" s="19">
        <v>50581.3</v>
      </c>
      <c r="S55" s="18"/>
      <c r="T55" s="18">
        <v>50531.8</v>
      </c>
      <c r="U55" s="19"/>
      <c r="V55" s="19">
        <v>22550</v>
      </c>
      <c r="W55" s="18"/>
      <c r="X55" s="18">
        <v>0</v>
      </c>
    </row>
    <row r="56" spans="1:24" ht="15.75" x14ac:dyDescent="0.25">
      <c r="A56" s="21" t="s">
        <v>144</v>
      </c>
      <c r="B56" s="21" t="s">
        <v>154</v>
      </c>
      <c r="C56" s="21" t="s">
        <v>159</v>
      </c>
      <c r="D56" s="21" t="s">
        <v>160</v>
      </c>
      <c r="E56" s="21"/>
      <c r="F56" s="21"/>
      <c r="G56" s="18">
        <v>12632</v>
      </c>
      <c r="H56" s="18">
        <v>25588.2</v>
      </c>
      <c r="I56" s="19"/>
      <c r="J56" s="19">
        <v>50243.600000000006</v>
      </c>
      <c r="K56" s="18"/>
      <c r="L56" s="18">
        <v>56932.700000000004</v>
      </c>
      <c r="M56" s="19"/>
      <c r="N56" s="19">
        <v>60360.3</v>
      </c>
      <c r="O56" s="18"/>
      <c r="P56" s="18">
        <v>60275.600000000006</v>
      </c>
      <c r="Q56" s="19"/>
      <c r="R56" s="19">
        <v>50581.3</v>
      </c>
      <c r="S56" s="18"/>
      <c r="T56" s="18">
        <v>50531.8</v>
      </c>
      <c r="U56" s="19"/>
      <c r="V56" s="19">
        <v>22550</v>
      </c>
      <c r="W56" s="18"/>
      <c r="X56" s="18">
        <v>0</v>
      </c>
    </row>
    <row r="57" spans="1:24" ht="15.75" x14ac:dyDescent="0.25">
      <c r="A57" s="21" t="s">
        <v>144</v>
      </c>
      <c r="B57" s="21" t="s">
        <v>154</v>
      </c>
      <c r="C57" s="21" t="s">
        <v>161</v>
      </c>
      <c r="D57" s="21" t="s">
        <v>162</v>
      </c>
      <c r="E57" s="21"/>
      <c r="F57" s="21"/>
      <c r="G57" s="18">
        <v>16872</v>
      </c>
      <c r="H57" s="18">
        <v>27863.88</v>
      </c>
      <c r="I57" s="19"/>
      <c r="J57" s="19">
        <v>92482.676000000007</v>
      </c>
      <c r="K57" s="18"/>
      <c r="L57" s="18">
        <v>121648.76900000001</v>
      </c>
      <c r="M57" s="19"/>
      <c r="N57" s="19">
        <v>130803.80500000001</v>
      </c>
      <c r="O57" s="18"/>
      <c r="P57" s="18">
        <v>133990.62600000002</v>
      </c>
      <c r="Q57" s="19"/>
      <c r="R57" s="19">
        <v>121938.26700000001</v>
      </c>
      <c r="S57" s="18"/>
      <c r="T57" s="18">
        <v>116379.57100000001</v>
      </c>
      <c r="U57" s="19"/>
      <c r="V57" s="19">
        <v>57066</v>
      </c>
      <c r="W57" s="18"/>
      <c r="X57" s="18">
        <v>0</v>
      </c>
    </row>
    <row r="58" spans="1:24" ht="15.75" x14ac:dyDescent="0.25">
      <c r="A58" s="21" t="s">
        <v>144</v>
      </c>
      <c r="B58" s="21" t="s">
        <v>154</v>
      </c>
      <c r="C58" s="21" t="s">
        <v>163</v>
      </c>
      <c r="D58" s="21" t="s">
        <v>164</v>
      </c>
      <c r="E58" s="21"/>
      <c r="F58" s="21"/>
      <c r="G58" s="18">
        <v>16871</v>
      </c>
      <c r="H58" s="18">
        <v>27863.88</v>
      </c>
      <c r="I58" s="19"/>
      <c r="J58" s="19">
        <v>92482.676000000007</v>
      </c>
      <c r="K58" s="18"/>
      <c r="L58" s="18">
        <v>121648.76900000001</v>
      </c>
      <c r="M58" s="19"/>
      <c r="N58" s="19">
        <v>130803.80500000001</v>
      </c>
      <c r="O58" s="18"/>
      <c r="P58" s="18">
        <v>133990.62600000002</v>
      </c>
      <c r="Q58" s="19"/>
      <c r="R58" s="19">
        <v>121938.26700000001</v>
      </c>
      <c r="S58" s="18"/>
      <c r="T58" s="18">
        <v>116379.57100000001</v>
      </c>
      <c r="U58" s="19"/>
      <c r="V58" s="19">
        <v>57066</v>
      </c>
      <c r="W58" s="18"/>
      <c r="X58" s="18">
        <v>0</v>
      </c>
    </row>
    <row r="59" spans="1:24" ht="15.75" x14ac:dyDescent="0.25">
      <c r="A59" s="21" t="s">
        <v>144</v>
      </c>
      <c r="B59" s="21" t="s">
        <v>154</v>
      </c>
      <c r="C59" s="21" t="s">
        <v>165</v>
      </c>
      <c r="D59" s="21" t="s">
        <v>166</v>
      </c>
      <c r="E59" s="21"/>
      <c r="F59" s="21"/>
      <c r="G59" s="18">
        <v>16925</v>
      </c>
      <c r="H59" s="18">
        <v>27863.88</v>
      </c>
      <c r="I59" s="19"/>
      <c r="J59" s="19">
        <v>92482.676000000007</v>
      </c>
      <c r="K59" s="18"/>
      <c r="L59" s="18">
        <v>121648.76900000001</v>
      </c>
      <c r="M59" s="19"/>
      <c r="N59" s="19">
        <v>130803.80500000001</v>
      </c>
      <c r="O59" s="18"/>
      <c r="P59" s="18">
        <v>133990.62600000002</v>
      </c>
      <c r="Q59" s="19"/>
      <c r="R59" s="19">
        <v>121938.26700000001</v>
      </c>
      <c r="S59" s="18"/>
      <c r="T59" s="18">
        <v>116379.57100000001</v>
      </c>
      <c r="U59" s="19"/>
      <c r="V59" s="19">
        <v>57066</v>
      </c>
      <c r="W59" s="18"/>
      <c r="X59" s="18">
        <v>0</v>
      </c>
    </row>
    <row r="60" spans="1:24" ht="15.75" x14ac:dyDescent="0.25">
      <c r="A60" s="21" t="s">
        <v>144</v>
      </c>
      <c r="B60" s="21" t="s">
        <v>154</v>
      </c>
      <c r="C60" s="21" t="s">
        <v>167</v>
      </c>
      <c r="D60" s="21" t="s">
        <v>168</v>
      </c>
      <c r="E60" s="21"/>
      <c r="F60" s="21"/>
      <c r="G60" s="18">
        <v>16927</v>
      </c>
      <c r="H60" s="18">
        <v>27863.88</v>
      </c>
      <c r="I60" s="19"/>
      <c r="J60" s="19">
        <v>92482.676000000007</v>
      </c>
      <c r="K60" s="18"/>
      <c r="L60" s="18">
        <v>121648.76900000001</v>
      </c>
      <c r="M60" s="19"/>
      <c r="N60" s="19">
        <v>130803.80500000001</v>
      </c>
      <c r="O60" s="18"/>
      <c r="P60" s="18">
        <v>133990.62600000002</v>
      </c>
      <c r="Q60" s="19"/>
      <c r="R60" s="19">
        <v>121938.26700000001</v>
      </c>
      <c r="S60" s="18"/>
      <c r="T60" s="18">
        <v>116379.57100000001</v>
      </c>
      <c r="U60" s="19"/>
      <c r="V60" s="19">
        <v>57066</v>
      </c>
      <c r="W60" s="18"/>
      <c r="X60" s="18">
        <v>0</v>
      </c>
    </row>
    <row r="61" spans="1:24" ht="15.75" x14ac:dyDescent="0.25">
      <c r="A61" s="21" t="s">
        <v>144</v>
      </c>
      <c r="B61" s="21" t="s">
        <v>154</v>
      </c>
      <c r="C61" s="21" t="s">
        <v>169</v>
      </c>
      <c r="D61" s="21" t="s">
        <v>170</v>
      </c>
      <c r="E61" s="21"/>
      <c r="F61" s="21"/>
      <c r="G61" s="18">
        <v>16925</v>
      </c>
      <c r="H61" s="18">
        <v>27863.88</v>
      </c>
      <c r="I61" s="19"/>
      <c r="J61" s="19">
        <v>92482.676000000007</v>
      </c>
      <c r="K61" s="18"/>
      <c r="L61" s="18">
        <v>121648.76900000001</v>
      </c>
      <c r="M61" s="19"/>
      <c r="N61" s="19">
        <v>130803.80500000001</v>
      </c>
      <c r="O61" s="18"/>
      <c r="P61" s="18">
        <v>133990.62600000002</v>
      </c>
      <c r="Q61" s="19"/>
      <c r="R61" s="19">
        <v>121938.26700000001</v>
      </c>
      <c r="S61" s="18"/>
      <c r="T61" s="18">
        <v>116379.57100000001</v>
      </c>
      <c r="U61" s="19"/>
      <c r="V61" s="19">
        <v>57066</v>
      </c>
      <c r="W61" s="18"/>
      <c r="X61" s="18">
        <v>0</v>
      </c>
    </row>
    <row r="62" spans="1:24" ht="15.75" x14ac:dyDescent="0.25">
      <c r="A62" s="21" t="s">
        <v>144</v>
      </c>
      <c r="B62" s="21" t="s">
        <v>154</v>
      </c>
      <c r="C62" s="21" t="s">
        <v>171</v>
      </c>
      <c r="D62" s="21" t="s">
        <v>172</v>
      </c>
      <c r="E62" s="21"/>
      <c r="F62" s="21"/>
      <c r="G62" s="18">
        <v>4729</v>
      </c>
      <c r="H62" s="18">
        <v>4728.9000000000005</v>
      </c>
      <c r="I62" s="19"/>
      <c r="J62" s="19">
        <v>53204.800000000003</v>
      </c>
      <c r="K62" s="18"/>
      <c r="L62" s="18">
        <v>79885.3</v>
      </c>
      <c r="M62" s="19"/>
      <c r="N62" s="19">
        <v>86824.1</v>
      </c>
      <c r="O62" s="18"/>
      <c r="P62" s="18">
        <v>90621.3</v>
      </c>
      <c r="Q62" s="19"/>
      <c r="R62" s="19">
        <v>87090.3</v>
      </c>
      <c r="S62" s="18"/>
      <c r="T62" s="18">
        <v>80626.700000000012</v>
      </c>
      <c r="U62" s="19"/>
      <c r="V62" s="19">
        <v>41970</v>
      </c>
      <c r="W62" s="18"/>
      <c r="X62" s="18">
        <v>0</v>
      </c>
    </row>
    <row r="63" spans="1:24" ht="15.75" x14ac:dyDescent="0.25">
      <c r="A63" s="21" t="s">
        <v>144</v>
      </c>
      <c r="B63" s="21" t="s">
        <v>154</v>
      </c>
      <c r="C63" s="21" t="s">
        <v>173</v>
      </c>
      <c r="D63" s="21" t="s">
        <v>174</v>
      </c>
      <c r="E63" s="21"/>
      <c r="F63" s="21"/>
      <c r="G63" s="18">
        <v>4729</v>
      </c>
      <c r="H63" s="18">
        <v>4728.9000000000005</v>
      </c>
      <c r="I63" s="19"/>
      <c r="J63" s="19">
        <v>53204.800000000003</v>
      </c>
      <c r="K63" s="18"/>
      <c r="L63" s="18">
        <v>79885.3</v>
      </c>
      <c r="M63" s="19"/>
      <c r="N63" s="19">
        <v>86824.1</v>
      </c>
      <c r="O63" s="18"/>
      <c r="P63" s="18">
        <v>90621.3</v>
      </c>
      <c r="Q63" s="19"/>
      <c r="R63" s="19">
        <v>87090.3</v>
      </c>
      <c r="S63" s="18"/>
      <c r="T63" s="18">
        <v>80626.700000000012</v>
      </c>
      <c r="U63" s="19"/>
      <c r="V63" s="19">
        <v>41970</v>
      </c>
      <c r="W63" s="18"/>
      <c r="X63" s="18">
        <v>0</v>
      </c>
    </row>
    <row r="64" spans="1:24" ht="15.75" x14ac:dyDescent="0.25">
      <c r="A64" s="21" t="s">
        <v>144</v>
      </c>
      <c r="B64" s="21" t="s">
        <v>154</v>
      </c>
      <c r="C64" s="21" t="s">
        <v>175</v>
      </c>
      <c r="D64" s="21" t="s">
        <v>176</v>
      </c>
      <c r="E64" s="21"/>
      <c r="F64" s="21"/>
      <c r="G64" s="18">
        <v>536</v>
      </c>
      <c r="H64" s="18">
        <v>2453.2200000000007</v>
      </c>
      <c r="I64" s="19"/>
      <c r="J64" s="19">
        <v>10965.724</v>
      </c>
      <c r="K64" s="18"/>
      <c r="L64" s="18">
        <v>15169.231000000002</v>
      </c>
      <c r="M64" s="19"/>
      <c r="N64" s="19">
        <v>16380.595000000003</v>
      </c>
      <c r="O64" s="18"/>
      <c r="P64" s="18">
        <v>16906.274000000001</v>
      </c>
      <c r="Q64" s="19"/>
      <c r="R64" s="19">
        <v>15733.333000000004</v>
      </c>
      <c r="S64" s="18"/>
      <c r="T64" s="18">
        <v>14828.429000000004</v>
      </c>
      <c r="U64" s="19"/>
      <c r="V64" s="19">
        <v>7454</v>
      </c>
      <c r="W64" s="18"/>
      <c r="X64" s="18">
        <v>0</v>
      </c>
    </row>
    <row r="65" spans="1:24" ht="15.75" x14ac:dyDescent="0.25">
      <c r="A65" s="21" t="s">
        <v>144</v>
      </c>
      <c r="B65" s="21" t="s">
        <v>154</v>
      </c>
      <c r="C65" s="21" t="s">
        <v>177</v>
      </c>
      <c r="D65" s="21" t="s">
        <v>178</v>
      </c>
      <c r="E65" s="21"/>
      <c r="F65" s="21"/>
      <c r="G65" s="18">
        <v>536</v>
      </c>
      <c r="H65" s="18">
        <v>2453.2200000000007</v>
      </c>
      <c r="I65" s="19"/>
      <c r="J65" s="19">
        <v>10965.724</v>
      </c>
      <c r="K65" s="18"/>
      <c r="L65" s="18">
        <v>15169.231000000002</v>
      </c>
      <c r="M65" s="19"/>
      <c r="N65" s="19">
        <v>16380.595000000003</v>
      </c>
      <c r="O65" s="18"/>
      <c r="P65" s="18">
        <v>16906.274000000001</v>
      </c>
      <c r="Q65" s="19"/>
      <c r="R65" s="19">
        <v>15733.333000000004</v>
      </c>
      <c r="S65" s="18"/>
      <c r="T65" s="18">
        <v>14828.429000000004</v>
      </c>
      <c r="U65" s="19"/>
      <c r="V65" s="19">
        <v>7454</v>
      </c>
      <c r="W65" s="18"/>
      <c r="X65" s="18">
        <v>0</v>
      </c>
    </row>
    <row r="66" spans="1:24" ht="15.75" x14ac:dyDescent="0.25">
      <c r="A66" s="21" t="s">
        <v>144</v>
      </c>
      <c r="B66" s="21" t="s">
        <v>154</v>
      </c>
      <c r="C66" s="21" t="s">
        <v>179</v>
      </c>
      <c r="D66" s="21" t="s">
        <v>180</v>
      </c>
      <c r="E66" s="21"/>
      <c r="F66" s="21"/>
      <c r="G66" s="18">
        <v>536</v>
      </c>
      <c r="H66" s="18">
        <v>2453.2200000000007</v>
      </c>
      <c r="I66" s="19"/>
      <c r="J66" s="19">
        <v>10965.724</v>
      </c>
      <c r="K66" s="18"/>
      <c r="L66" s="18">
        <v>15169.231000000002</v>
      </c>
      <c r="M66" s="19"/>
      <c r="N66" s="19">
        <v>16380.595000000003</v>
      </c>
      <c r="O66" s="18"/>
      <c r="P66" s="18">
        <v>16906.274000000001</v>
      </c>
      <c r="Q66" s="19"/>
      <c r="R66" s="19">
        <v>15733.333000000004</v>
      </c>
      <c r="S66" s="18"/>
      <c r="T66" s="18">
        <v>14828.429000000004</v>
      </c>
      <c r="U66" s="19"/>
      <c r="V66" s="19">
        <v>7454</v>
      </c>
      <c r="W66" s="18"/>
      <c r="X66" s="18">
        <v>0</v>
      </c>
    </row>
    <row r="67" spans="1:24" ht="15.75" x14ac:dyDescent="0.25">
      <c r="A67" s="21" t="s">
        <v>144</v>
      </c>
      <c r="B67" s="21" t="s">
        <v>154</v>
      </c>
      <c r="C67" s="21" t="s">
        <v>181</v>
      </c>
      <c r="D67" s="21" t="s">
        <v>182</v>
      </c>
      <c r="E67" s="21"/>
      <c r="F67" s="21"/>
      <c r="G67" s="18">
        <v>536</v>
      </c>
      <c r="H67" s="18">
        <v>2453.2200000000007</v>
      </c>
      <c r="I67" s="19"/>
      <c r="J67" s="19">
        <v>10965.724</v>
      </c>
      <c r="K67" s="18"/>
      <c r="L67" s="18">
        <v>15169.231000000002</v>
      </c>
      <c r="M67" s="19"/>
      <c r="N67" s="19">
        <v>16380.595000000003</v>
      </c>
      <c r="O67" s="18"/>
      <c r="P67" s="18">
        <v>16906.274000000001</v>
      </c>
      <c r="Q67" s="19"/>
      <c r="R67" s="19">
        <v>15733.333000000004</v>
      </c>
      <c r="S67" s="18"/>
      <c r="T67" s="18">
        <v>14828.429000000004</v>
      </c>
      <c r="U67" s="19"/>
      <c r="V67" s="19">
        <v>7454</v>
      </c>
      <c r="W67" s="18"/>
      <c r="X67" s="18">
        <v>0</v>
      </c>
    </row>
    <row r="68" spans="1:24" ht="15.75" x14ac:dyDescent="0.25">
      <c r="A68" s="21" t="s">
        <v>144</v>
      </c>
      <c r="B68" s="21" t="s">
        <v>154</v>
      </c>
      <c r="C68" s="21" t="s">
        <v>183</v>
      </c>
      <c r="D68" s="21" t="s">
        <v>184</v>
      </c>
      <c r="E68" s="21"/>
      <c r="F68" s="21"/>
      <c r="G68" s="18">
        <v>536</v>
      </c>
      <c r="H68" s="18">
        <v>2453.2200000000007</v>
      </c>
      <c r="I68" s="19"/>
      <c r="J68" s="19">
        <v>10965.724</v>
      </c>
      <c r="K68" s="18"/>
      <c r="L68" s="18">
        <v>15169.231000000002</v>
      </c>
      <c r="M68" s="19"/>
      <c r="N68" s="19">
        <v>16380.595000000003</v>
      </c>
      <c r="O68" s="18"/>
      <c r="P68" s="18">
        <v>16906.274000000001</v>
      </c>
      <c r="Q68" s="19"/>
      <c r="R68" s="19">
        <v>15733.333000000004</v>
      </c>
      <c r="S68" s="18"/>
      <c r="T68" s="18">
        <v>14828.429000000004</v>
      </c>
      <c r="U68" s="19"/>
      <c r="V68" s="19">
        <v>7454</v>
      </c>
      <c r="W68" s="18"/>
      <c r="X68" s="18">
        <v>0</v>
      </c>
    </row>
    <row r="69" spans="1:24" ht="15.75" x14ac:dyDescent="0.25">
      <c r="A69" s="21" t="s">
        <v>144</v>
      </c>
      <c r="B69" s="21" t="s">
        <v>154</v>
      </c>
      <c r="C69" s="21" t="s">
        <v>185</v>
      </c>
      <c r="D69" s="21" t="s">
        <v>186</v>
      </c>
      <c r="E69" s="21"/>
      <c r="F69" s="21"/>
      <c r="G69" s="18">
        <v>536</v>
      </c>
      <c r="H69" s="18">
        <v>2453.2200000000007</v>
      </c>
      <c r="I69" s="19"/>
      <c r="J69" s="19">
        <v>10965.724</v>
      </c>
      <c r="K69" s="18"/>
      <c r="L69" s="18">
        <v>15169.231000000002</v>
      </c>
      <c r="M69" s="19"/>
      <c r="N69" s="19">
        <v>16380.595000000003</v>
      </c>
      <c r="O69" s="18"/>
      <c r="P69" s="18">
        <v>16906.274000000001</v>
      </c>
      <c r="Q69" s="19"/>
      <c r="R69" s="19">
        <v>15733.333000000004</v>
      </c>
      <c r="S69" s="18"/>
      <c r="T69" s="18">
        <v>14828.429000000004</v>
      </c>
      <c r="U69" s="19"/>
      <c r="V69" s="19">
        <v>7454</v>
      </c>
      <c r="W69" s="18"/>
      <c r="X69" s="18">
        <v>0</v>
      </c>
    </row>
    <row r="70" spans="1:24" ht="15.75" x14ac:dyDescent="0.25">
      <c r="A70" s="21" t="s">
        <v>144</v>
      </c>
      <c r="B70" s="21" t="s">
        <v>145</v>
      </c>
      <c r="C70" s="21" t="s">
        <v>146</v>
      </c>
      <c r="D70" s="21" t="s">
        <v>147</v>
      </c>
      <c r="E70" s="21"/>
      <c r="F70" s="21"/>
      <c r="G70" s="18">
        <v>243961</v>
      </c>
      <c r="H70" s="18">
        <v>294304.8</v>
      </c>
      <c r="I70" s="19"/>
      <c r="J70" s="19">
        <v>268240.8</v>
      </c>
      <c r="K70" s="18"/>
      <c r="L70" s="18">
        <v>237000</v>
      </c>
      <c r="M70" s="19"/>
      <c r="N70" s="19">
        <v>195441.6</v>
      </c>
      <c r="O70" s="18"/>
      <c r="P70" s="18">
        <v>40497.599999999999</v>
      </c>
      <c r="Q70" s="19"/>
      <c r="R70" s="19">
        <v>0</v>
      </c>
      <c r="S70" s="18"/>
      <c r="T70" s="18">
        <v>0</v>
      </c>
      <c r="U70" s="19"/>
      <c r="V70" s="19">
        <v>0</v>
      </c>
      <c r="W70" s="18"/>
      <c r="X70" s="18">
        <v>0</v>
      </c>
    </row>
    <row r="71" spans="1:24" ht="15.75" x14ac:dyDescent="0.25">
      <c r="A71" s="21" t="s">
        <v>144</v>
      </c>
      <c r="B71" s="21" t="s">
        <v>145</v>
      </c>
      <c r="C71" s="21" t="s">
        <v>148</v>
      </c>
      <c r="D71" s="21" t="s">
        <v>149</v>
      </c>
      <c r="E71" s="21"/>
      <c r="F71" s="21"/>
      <c r="G71" s="18">
        <v>244122</v>
      </c>
      <c r="H71" s="18">
        <v>294304.8</v>
      </c>
      <c r="I71" s="19"/>
      <c r="J71" s="19">
        <v>268240.8</v>
      </c>
      <c r="K71" s="18"/>
      <c r="L71" s="18">
        <v>237000</v>
      </c>
      <c r="M71" s="19"/>
      <c r="N71" s="19">
        <v>195441.6</v>
      </c>
      <c r="O71" s="18"/>
      <c r="P71" s="18">
        <v>40497.599999999999</v>
      </c>
      <c r="Q71" s="19"/>
      <c r="R71" s="19">
        <v>0</v>
      </c>
      <c r="S71" s="18"/>
      <c r="T71" s="18">
        <v>0</v>
      </c>
      <c r="U71" s="19"/>
      <c r="V71" s="19">
        <v>0</v>
      </c>
      <c r="W71" s="18"/>
      <c r="X71" s="18">
        <v>0</v>
      </c>
    </row>
    <row r="72" spans="1:24" ht="15.75" x14ac:dyDescent="0.25">
      <c r="A72" s="21" t="s">
        <v>144</v>
      </c>
      <c r="B72" s="21" t="s">
        <v>145</v>
      </c>
      <c r="C72" s="21" t="s">
        <v>150</v>
      </c>
      <c r="D72" s="21" t="s">
        <v>151</v>
      </c>
      <c r="E72" s="21"/>
      <c r="F72" s="21"/>
      <c r="G72" s="18">
        <v>20500</v>
      </c>
      <c r="H72" s="18">
        <v>38029.688611576908</v>
      </c>
      <c r="I72" s="19"/>
      <c r="J72" s="19">
        <v>34661.731976237832</v>
      </c>
      <c r="K72" s="18"/>
      <c r="L72" s="18">
        <v>30624.835887636655</v>
      </c>
      <c r="M72" s="19"/>
      <c r="N72" s="19">
        <v>25254.712766316996</v>
      </c>
      <c r="O72" s="18"/>
      <c r="P72" s="18">
        <v>5233.0479065111986</v>
      </c>
      <c r="Q72" s="19"/>
      <c r="R72" s="19">
        <v>0</v>
      </c>
      <c r="S72" s="18"/>
      <c r="T72" s="18">
        <v>0</v>
      </c>
      <c r="U72" s="19"/>
      <c r="V72" s="19">
        <v>0</v>
      </c>
      <c r="W72" s="18"/>
      <c r="X72" s="18">
        <v>0</v>
      </c>
    </row>
    <row r="73" spans="1:24" ht="15.75" x14ac:dyDescent="0.25">
      <c r="A73" s="21" t="s">
        <v>144</v>
      </c>
      <c r="B73" s="21" t="s">
        <v>145</v>
      </c>
      <c r="C73" s="21" t="s">
        <v>152</v>
      </c>
      <c r="D73" s="21" t="s">
        <v>153</v>
      </c>
      <c r="E73" s="21"/>
      <c r="F73" s="21"/>
      <c r="G73" s="18">
        <v>20631</v>
      </c>
      <c r="H73" s="18">
        <v>38029.688611576908</v>
      </c>
      <c r="I73" s="19"/>
      <c r="J73" s="19">
        <v>34661.731976237832</v>
      </c>
      <c r="K73" s="18"/>
      <c r="L73" s="18">
        <v>30624.835887636655</v>
      </c>
      <c r="M73" s="19"/>
      <c r="N73" s="19">
        <v>25254.712766316996</v>
      </c>
      <c r="O73" s="18"/>
      <c r="P73" s="18">
        <v>5233.0479065111986</v>
      </c>
      <c r="Q73" s="19"/>
      <c r="R73" s="19">
        <v>0</v>
      </c>
      <c r="S73" s="18"/>
      <c r="T73" s="18">
        <v>0</v>
      </c>
      <c r="U73" s="19"/>
      <c r="V73" s="19">
        <v>0</v>
      </c>
      <c r="W73" s="18"/>
      <c r="X73" s="18">
        <v>0</v>
      </c>
    </row>
    <row r="74" spans="1:24" ht="15.75" x14ac:dyDescent="0.25">
      <c r="A74" s="21" t="s">
        <v>144</v>
      </c>
      <c r="B74" s="21" t="s">
        <v>145</v>
      </c>
      <c r="C74" s="21" t="s">
        <v>187</v>
      </c>
      <c r="D74" s="21" t="s">
        <v>188</v>
      </c>
      <c r="E74" s="21"/>
      <c r="F74" s="21"/>
      <c r="G74" s="18">
        <v>244568</v>
      </c>
      <c r="H74" s="18">
        <v>294304.8</v>
      </c>
      <c r="I74" s="19"/>
      <c r="J74" s="19">
        <v>268240.8</v>
      </c>
      <c r="K74" s="18"/>
      <c r="L74" s="18">
        <v>237000</v>
      </c>
      <c r="M74" s="19"/>
      <c r="N74" s="19">
        <v>195441.6</v>
      </c>
      <c r="O74" s="18"/>
      <c r="P74" s="18">
        <v>40497.599999999999</v>
      </c>
      <c r="Q74" s="19"/>
      <c r="R74" s="19">
        <v>0</v>
      </c>
      <c r="S74" s="18"/>
      <c r="T74" s="18">
        <v>0</v>
      </c>
      <c r="U74" s="19"/>
      <c r="V74" s="19">
        <v>0</v>
      </c>
      <c r="W74" s="18"/>
      <c r="X74" s="18">
        <v>0</v>
      </c>
    </row>
    <row r="75" spans="1:24" ht="15.75" x14ac:dyDescent="0.25">
      <c r="A75" s="21" t="s">
        <v>144</v>
      </c>
      <c r="B75" s="21" t="s">
        <v>145</v>
      </c>
      <c r="C75" s="21" t="s">
        <v>189</v>
      </c>
      <c r="D75" s="21" t="s">
        <v>190</v>
      </c>
      <c r="E75" s="21"/>
      <c r="F75" s="21"/>
      <c r="G75" s="18">
        <v>156684</v>
      </c>
      <c r="H75" s="18">
        <v>190497.85405243796</v>
      </c>
      <c r="I75" s="19"/>
      <c r="J75" s="19">
        <v>173627.12660245161</v>
      </c>
      <c r="K75" s="18"/>
      <c r="L75" s="18">
        <v>153405.55577220555</v>
      </c>
      <c r="M75" s="19"/>
      <c r="N75" s="19">
        <v>126505.60029117759</v>
      </c>
      <c r="O75" s="18"/>
      <c r="P75" s="18">
        <v>26213.31998076148</v>
      </c>
      <c r="Q75" s="19"/>
      <c r="R75" s="19">
        <v>0</v>
      </c>
      <c r="S75" s="18"/>
      <c r="T75" s="18">
        <v>0</v>
      </c>
      <c r="U75" s="19"/>
      <c r="V75" s="19">
        <v>0</v>
      </c>
      <c r="W75" s="18"/>
      <c r="X75" s="18">
        <v>0</v>
      </c>
    </row>
    <row r="76" spans="1:24" ht="15.75" x14ac:dyDescent="0.25">
      <c r="A76" s="21" t="s">
        <v>144</v>
      </c>
      <c r="B76" s="21" t="s">
        <v>145</v>
      </c>
      <c r="C76" s="21" t="s">
        <v>191</v>
      </c>
      <c r="D76" s="21" t="s">
        <v>192</v>
      </c>
      <c r="E76" s="21"/>
      <c r="F76" s="21"/>
      <c r="G76" s="18">
        <v>244168</v>
      </c>
      <c r="H76" s="18">
        <v>294304.8</v>
      </c>
      <c r="I76" s="19"/>
      <c r="J76" s="19">
        <v>268240.8</v>
      </c>
      <c r="K76" s="18"/>
      <c r="L76" s="18">
        <v>237000</v>
      </c>
      <c r="M76" s="19"/>
      <c r="N76" s="19">
        <v>195441.6</v>
      </c>
      <c r="O76" s="18"/>
      <c r="P76" s="18">
        <v>40497.599999999999</v>
      </c>
      <c r="Q76" s="19"/>
      <c r="R76" s="19">
        <v>0</v>
      </c>
      <c r="S76" s="18"/>
      <c r="T76" s="18">
        <v>0</v>
      </c>
      <c r="U76" s="19"/>
      <c r="V76" s="19">
        <v>0</v>
      </c>
      <c r="W76" s="18"/>
      <c r="X76" s="18">
        <v>0</v>
      </c>
    </row>
    <row r="77" spans="1:24" ht="15.75" x14ac:dyDescent="0.25">
      <c r="A77" s="21" t="s">
        <v>144</v>
      </c>
      <c r="B77" s="21" t="s">
        <v>145</v>
      </c>
      <c r="C77" s="21" t="s">
        <v>193</v>
      </c>
      <c r="D77" s="21" t="s">
        <v>194</v>
      </c>
      <c r="E77" s="21"/>
      <c r="F77" s="21"/>
      <c r="G77" s="18">
        <v>156971</v>
      </c>
      <c r="H77" s="18">
        <v>190497.85405243796</v>
      </c>
      <c r="I77" s="19"/>
      <c r="J77" s="19">
        <v>173627.12660245161</v>
      </c>
      <c r="K77" s="18"/>
      <c r="L77" s="18">
        <v>153405.55577220555</v>
      </c>
      <c r="M77" s="19"/>
      <c r="N77" s="19">
        <v>126505.60029117759</v>
      </c>
      <c r="O77" s="18"/>
      <c r="P77" s="18">
        <v>26213.31998076148</v>
      </c>
      <c r="Q77" s="19"/>
      <c r="R77" s="19">
        <v>0</v>
      </c>
      <c r="S77" s="18"/>
      <c r="T77" s="18">
        <v>0</v>
      </c>
      <c r="U77" s="19"/>
      <c r="V77" s="19">
        <v>0</v>
      </c>
      <c r="W77" s="18"/>
      <c r="X77" s="18">
        <v>0</v>
      </c>
    </row>
    <row r="78" spans="1:24" ht="15.75" x14ac:dyDescent="0.25">
      <c r="A78" s="21" t="s">
        <v>144</v>
      </c>
      <c r="B78" s="21" t="s">
        <v>145</v>
      </c>
      <c r="C78" s="21" t="s">
        <v>195</v>
      </c>
      <c r="D78" s="21" t="s">
        <v>196</v>
      </c>
      <c r="E78" s="21"/>
      <c r="F78" s="21"/>
      <c r="G78" s="18">
        <v>250352</v>
      </c>
      <c r="H78" s="18">
        <v>294304.8</v>
      </c>
      <c r="I78" s="19"/>
      <c r="J78" s="19">
        <v>268240.8</v>
      </c>
      <c r="K78" s="18"/>
      <c r="L78" s="18">
        <v>237000</v>
      </c>
      <c r="M78" s="19"/>
      <c r="N78" s="19">
        <v>195441.6</v>
      </c>
      <c r="O78" s="18"/>
      <c r="P78" s="18">
        <v>40497.599999999999</v>
      </c>
      <c r="Q78" s="19"/>
      <c r="R78" s="19">
        <v>0</v>
      </c>
      <c r="S78" s="18"/>
      <c r="T78" s="18">
        <v>0</v>
      </c>
      <c r="U78" s="19"/>
      <c r="V78" s="19">
        <v>0</v>
      </c>
      <c r="W78" s="18"/>
      <c r="X78" s="18">
        <v>0</v>
      </c>
    </row>
    <row r="79" spans="1:24" ht="15.75" x14ac:dyDescent="0.25">
      <c r="A79" s="21" t="s">
        <v>144</v>
      </c>
      <c r="B79" s="21" t="s">
        <v>145</v>
      </c>
      <c r="C79" s="21" t="s">
        <v>197</v>
      </c>
      <c r="D79" s="21" t="s">
        <v>198</v>
      </c>
      <c r="E79" s="21"/>
      <c r="F79" s="21"/>
      <c r="G79" s="18">
        <v>250411</v>
      </c>
      <c r="H79" s="18">
        <v>294304.8</v>
      </c>
      <c r="I79" s="19"/>
      <c r="J79" s="19">
        <v>268240.8</v>
      </c>
      <c r="K79" s="18"/>
      <c r="L79" s="18">
        <v>237000</v>
      </c>
      <c r="M79" s="19"/>
      <c r="N79" s="19">
        <v>195441.6</v>
      </c>
      <c r="O79" s="18"/>
      <c r="P79" s="18">
        <v>40497.599999999999</v>
      </c>
      <c r="Q79" s="19"/>
      <c r="R79" s="19">
        <v>0</v>
      </c>
      <c r="S79" s="18"/>
      <c r="T79" s="18">
        <v>0</v>
      </c>
      <c r="U79" s="19"/>
      <c r="V79" s="19">
        <v>0</v>
      </c>
      <c r="W79" s="18"/>
      <c r="X79" s="18">
        <v>0</v>
      </c>
    </row>
    <row r="80" spans="1:24" ht="15.75" x14ac:dyDescent="0.25">
      <c r="A80" s="21" t="s">
        <v>144</v>
      </c>
      <c r="B80" s="21" t="s">
        <v>145</v>
      </c>
      <c r="C80" s="21" t="s">
        <v>199</v>
      </c>
      <c r="D80" s="21" t="s">
        <v>200</v>
      </c>
      <c r="E80" s="21"/>
      <c r="F80" s="21"/>
      <c r="G80" s="18">
        <v>20395</v>
      </c>
      <c r="H80" s="18">
        <v>38029.688611576908</v>
      </c>
      <c r="I80" s="19"/>
      <c r="J80" s="19">
        <v>34661.731976237832</v>
      </c>
      <c r="K80" s="18"/>
      <c r="L80" s="18">
        <v>30624.835887636655</v>
      </c>
      <c r="M80" s="19"/>
      <c r="N80" s="19">
        <v>25254.712766316996</v>
      </c>
      <c r="O80" s="18"/>
      <c r="P80" s="18">
        <v>5233.0479065111986</v>
      </c>
      <c r="Q80" s="19"/>
      <c r="R80" s="19">
        <v>0</v>
      </c>
      <c r="S80" s="18"/>
      <c r="T80" s="18">
        <v>0</v>
      </c>
      <c r="U80" s="19"/>
      <c r="V80" s="19">
        <v>0</v>
      </c>
      <c r="W80" s="18"/>
      <c r="X80" s="18">
        <v>0</v>
      </c>
    </row>
    <row r="81" spans="1:24" ht="15.75" x14ac:dyDescent="0.25">
      <c r="A81" s="21" t="s">
        <v>144</v>
      </c>
      <c r="B81" s="21" t="s">
        <v>145</v>
      </c>
      <c r="C81" s="21" t="s">
        <v>201</v>
      </c>
      <c r="D81" s="21" t="s">
        <v>202</v>
      </c>
      <c r="E81" s="21"/>
      <c r="F81" s="21"/>
      <c r="G81" s="18">
        <v>20665</v>
      </c>
      <c r="H81" s="18">
        <v>38029.688611576908</v>
      </c>
      <c r="I81" s="19"/>
      <c r="J81" s="19">
        <v>34661.731976237832</v>
      </c>
      <c r="K81" s="18"/>
      <c r="L81" s="18">
        <v>30624.835887636655</v>
      </c>
      <c r="M81" s="19"/>
      <c r="N81" s="19">
        <v>25254.712766316996</v>
      </c>
      <c r="O81" s="18"/>
      <c r="P81" s="18">
        <v>5233.0479065111986</v>
      </c>
      <c r="Q81" s="19"/>
      <c r="R81" s="19">
        <v>0</v>
      </c>
      <c r="S81" s="18"/>
      <c r="T81" s="18">
        <v>0</v>
      </c>
      <c r="U81" s="19"/>
      <c r="V81" s="19">
        <v>0</v>
      </c>
      <c r="W81" s="18"/>
      <c r="X81" s="18">
        <v>0</v>
      </c>
    </row>
    <row r="82" spans="1:24" ht="15.75" x14ac:dyDescent="0.25">
      <c r="A82" s="21" t="s">
        <v>144</v>
      </c>
      <c r="B82" s="21" t="s">
        <v>145</v>
      </c>
      <c r="C82" s="21" t="s">
        <v>203</v>
      </c>
      <c r="D82" s="21" t="s">
        <v>204</v>
      </c>
      <c r="E82" s="21"/>
      <c r="F82" s="21"/>
      <c r="G82" s="18">
        <v>20526</v>
      </c>
      <c r="H82" s="18">
        <v>38029.688611576908</v>
      </c>
      <c r="I82" s="19"/>
      <c r="J82" s="19">
        <v>34661.731976237832</v>
      </c>
      <c r="K82" s="18"/>
      <c r="L82" s="18">
        <v>30624.835887636655</v>
      </c>
      <c r="M82" s="19"/>
      <c r="N82" s="19">
        <v>25254.712766316996</v>
      </c>
      <c r="O82" s="18"/>
      <c r="P82" s="18">
        <v>5233.0479065111986</v>
      </c>
      <c r="Q82" s="19"/>
      <c r="R82" s="19">
        <v>0</v>
      </c>
      <c r="S82" s="18"/>
      <c r="T82" s="18">
        <v>0</v>
      </c>
      <c r="U82" s="19"/>
      <c r="V82" s="19">
        <v>0</v>
      </c>
      <c r="W82" s="18"/>
      <c r="X82" s="18">
        <v>0</v>
      </c>
    </row>
    <row r="83" spans="1:24" ht="15.75" x14ac:dyDescent="0.25">
      <c r="A83" s="21" t="s">
        <v>144</v>
      </c>
      <c r="B83" s="21" t="s">
        <v>145</v>
      </c>
      <c r="C83" s="21" t="s">
        <v>205</v>
      </c>
      <c r="D83" s="21" t="s">
        <v>206</v>
      </c>
      <c r="E83" s="21"/>
      <c r="F83" s="21"/>
      <c r="G83" s="18">
        <v>20541</v>
      </c>
      <c r="H83" s="18">
        <v>38029.688611576908</v>
      </c>
      <c r="I83" s="19"/>
      <c r="J83" s="19">
        <v>34661.731976237832</v>
      </c>
      <c r="K83" s="18"/>
      <c r="L83" s="18">
        <v>30624.835887636655</v>
      </c>
      <c r="M83" s="19"/>
      <c r="N83" s="19">
        <v>25254.712766316996</v>
      </c>
      <c r="O83" s="18"/>
      <c r="P83" s="18">
        <v>5233.0479065111986</v>
      </c>
      <c r="Q83" s="19"/>
      <c r="R83" s="19">
        <v>0</v>
      </c>
      <c r="S83" s="18"/>
      <c r="T83" s="18">
        <v>0</v>
      </c>
      <c r="U83" s="19"/>
      <c r="V83" s="19">
        <v>0</v>
      </c>
      <c r="W83" s="18"/>
      <c r="X83" s="18">
        <v>0</v>
      </c>
    </row>
    <row r="84" spans="1:24" ht="15.75" x14ac:dyDescent="0.25">
      <c r="A84" s="21" t="s">
        <v>144</v>
      </c>
      <c r="B84" s="21" t="s">
        <v>145</v>
      </c>
      <c r="C84" s="21" t="s">
        <v>207</v>
      </c>
      <c r="D84" s="21" t="s">
        <v>208</v>
      </c>
      <c r="E84" s="21"/>
      <c r="F84" s="21"/>
      <c r="G84" s="18">
        <v>0</v>
      </c>
      <c r="H84" s="18">
        <v>75799.231811150545</v>
      </c>
      <c r="I84" s="19"/>
      <c r="J84" s="19">
        <v>69086.357342484625</v>
      </c>
      <c r="K84" s="18"/>
      <c r="L84" s="18">
        <v>61040.179906147234</v>
      </c>
      <c r="M84" s="19"/>
      <c r="N84" s="19">
        <v>50336.668460528541</v>
      </c>
      <c r="O84" s="18"/>
      <c r="P84" s="18">
        <v>10430.298691000793</v>
      </c>
      <c r="Q84" s="19"/>
      <c r="R84" s="19">
        <v>0</v>
      </c>
      <c r="S84" s="18"/>
      <c r="T84" s="18">
        <v>0</v>
      </c>
      <c r="U84" s="19"/>
      <c r="V84" s="19">
        <v>0</v>
      </c>
      <c r="W84" s="18"/>
      <c r="X84" s="18">
        <v>0</v>
      </c>
    </row>
    <row r="85" spans="1:24" ht="15.75" x14ac:dyDescent="0.25">
      <c r="A85" s="21" t="s">
        <v>144</v>
      </c>
      <c r="B85" s="21" t="s">
        <v>145</v>
      </c>
      <c r="C85" s="21" t="s">
        <v>209</v>
      </c>
      <c r="D85" s="21" t="s">
        <v>210</v>
      </c>
      <c r="E85" s="21"/>
      <c r="F85" s="21"/>
      <c r="G85" s="18">
        <v>36904</v>
      </c>
      <c r="H85" s="18">
        <v>35477.968173250658</v>
      </c>
      <c r="I85" s="19"/>
      <c r="J85" s="19">
        <v>32335.995081178749</v>
      </c>
      <c r="K85" s="18"/>
      <c r="L85" s="18">
        <v>28569.967112532337</v>
      </c>
      <c r="M85" s="19"/>
      <c r="N85" s="19">
        <v>23560.169132576793</v>
      </c>
      <c r="O85" s="18"/>
      <c r="P85" s="18">
        <v>4881.9202537404617</v>
      </c>
      <c r="Q85" s="19"/>
      <c r="R85" s="19">
        <v>0</v>
      </c>
      <c r="S85" s="18"/>
      <c r="T85" s="18">
        <v>0</v>
      </c>
      <c r="U85" s="19"/>
      <c r="V85" s="19">
        <v>0</v>
      </c>
      <c r="W85" s="18"/>
      <c r="X85" s="18">
        <v>0</v>
      </c>
    </row>
    <row r="86" spans="1:24" ht="15.75" x14ac:dyDescent="0.25">
      <c r="A86" s="21" t="s">
        <v>144</v>
      </c>
      <c r="B86" s="21" t="s">
        <v>145</v>
      </c>
      <c r="C86" s="21" t="s">
        <v>211</v>
      </c>
      <c r="D86" s="21" t="s">
        <v>212</v>
      </c>
      <c r="E86" s="21"/>
      <c r="F86" s="21"/>
      <c r="G86" s="18">
        <v>1699</v>
      </c>
      <c r="H86" s="18">
        <v>775.3353455783905</v>
      </c>
      <c r="I86" s="19"/>
      <c r="J86" s="19">
        <v>706.67068075758175</v>
      </c>
      <c r="K86" s="18"/>
      <c r="L86" s="18">
        <v>624.36792366987743</v>
      </c>
      <c r="M86" s="19"/>
      <c r="N86" s="19">
        <v>514.88382274564867</v>
      </c>
      <c r="O86" s="18"/>
      <c r="P86" s="18">
        <v>106.68946171144823</v>
      </c>
      <c r="Q86" s="19"/>
      <c r="R86" s="19">
        <v>0</v>
      </c>
      <c r="S86" s="18"/>
      <c r="T86" s="18">
        <v>0</v>
      </c>
      <c r="U86" s="19"/>
      <c r="V86" s="19">
        <v>0</v>
      </c>
      <c r="W86" s="18"/>
      <c r="X86" s="18">
        <v>0</v>
      </c>
    </row>
    <row r="87" spans="1:24" ht="15.75" x14ac:dyDescent="0.25">
      <c r="A87" s="21" t="s">
        <v>144</v>
      </c>
      <c r="B87" s="21" t="s">
        <v>145</v>
      </c>
      <c r="C87" s="21" t="s">
        <v>213</v>
      </c>
      <c r="D87" s="21" t="s">
        <v>214</v>
      </c>
      <c r="E87" s="21"/>
      <c r="F87" s="21"/>
      <c r="G87" s="18">
        <v>42765</v>
      </c>
      <c r="H87" s="18">
        <v>31638</v>
      </c>
      <c r="I87" s="19"/>
      <c r="J87" s="19">
        <v>28836</v>
      </c>
      <c r="K87" s="18"/>
      <c r="L87" s="18">
        <v>25478</v>
      </c>
      <c r="M87" s="19"/>
      <c r="N87" s="19">
        <v>21010</v>
      </c>
      <c r="O87" s="18"/>
      <c r="P87" s="18">
        <v>4353</v>
      </c>
      <c r="Q87" s="19"/>
      <c r="R87" s="19">
        <v>0</v>
      </c>
      <c r="S87" s="18"/>
      <c r="T87" s="18">
        <v>0</v>
      </c>
      <c r="U87" s="19"/>
      <c r="V87" s="19">
        <v>0</v>
      </c>
      <c r="W87" s="18"/>
      <c r="X87" s="18">
        <v>0</v>
      </c>
    </row>
    <row r="88" spans="1:24" ht="15.75" x14ac:dyDescent="0.25">
      <c r="A88" s="21" t="s">
        <v>144</v>
      </c>
      <c r="B88" s="21" t="s">
        <v>145</v>
      </c>
      <c r="C88" s="21" t="s">
        <v>215</v>
      </c>
      <c r="D88" s="21" t="s">
        <v>216</v>
      </c>
      <c r="E88" s="21"/>
      <c r="F88" s="21"/>
      <c r="G88" s="18">
        <v>43042</v>
      </c>
      <c r="H88" s="18">
        <v>6867</v>
      </c>
      <c r="I88" s="19"/>
      <c r="J88" s="19">
        <v>6259</v>
      </c>
      <c r="K88" s="18"/>
      <c r="L88" s="18">
        <v>5530</v>
      </c>
      <c r="M88" s="19"/>
      <c r="N88" s="19">
        <v>4560</v>
      </c>
      <c r="O88" s="18"/>
      <c r="P88" s="18">
        <v>945</v>
      </c>
      <c r="Q88" s="19"/>
      <c r="R88" s="19">
        <v>0</v>
      </c>
      <c r="S88" s="18"/>
      <c r="T88" s="18">
        <v>0</v>
      </c>
      <c r="U88" s="19"/>
      <c r="V88" s="19">
        <v>0</v>
      </c>
      <c r="W88" s="18"/>
      <c r="X88" s="18">
        <v>0</v>
      </c>
    </row>
    <row r="89" spans="1:24" ht="15.75" x14ac:dyDescent="0.25">
      <c r="A89" s="21" t="s">
        <v>144</v>
      </c>
      <c r="B89" s="21" t="s">
        <v>145</v>
      </c>
      <c r="C89" s="21" t="s">
        <v>217</v>
      </c>
      <c r="D89" s="21" t="s">
        <v>218</v>
      </c>
      <c r="E89" s="21"/>
      <c r="F89" s="21"/>
      <c r="G89" s="18">
        <v>3062</v>
      </c>
      <c r="H89" s="18">
        <v>13378.819459189644</v>
      </c>
      <c r="I89" s="19"/>
      <c r="J89" s="19">
        <v>12193.974528409313</v>
      </c>
      <c r="K89" s="18"/>
      <c r="L89" s="18">
        <v>10773.797137620404</v>
      </c>
      <c r="M89" s="19"/>
      <c r="N89" s="19">
        <v>8884.5913529618228</v>
      </c>
      <c r="O89" s="18"/>
      <c r="P89" s="18">
        <v>1840.9828141793084</v>
      </c>
      <c r="Q89" s="19"/>
      <c r="R89" s="19">
        <v>0</v>
      </c>
      <c r="S89" s="18"/>
      <c r="T89" s="18">
        <v>0</v>
      </c>
      <c r="U89" s="19"/>
      <c r="V89" s="19">
        <v>0</v>
      </c>
      <c r="W89" s="18"/>
      <c r="X89" s="18">
        <v>0</v>
      </c>
    </row>
    <row r="90" spans="1:24" ht="15.75" x14ac:dyDescent="0.25">
      <c r="A90" s="21" t="s">
        <v>144</v>
      </c>
      <c r="B90" s="21" t="s">
        <v>145</v>
      </c>
      <c r="C90" s="21" t="s">
        <v>219</v>
      </c>
      <c r="D90" s="21" t="s">
        <v>220</v>
      </c>
      <c r="E90" s="21"/>
      <c r="F90" s="21"/>
      <c r="G90" s="18">
        <v>28492</v>
      </c>
      <c r="H90" s="18">
        <v>50522</v>
      </c>
      <c r="I90" s="19"/>
      <c r="J90" s="19">
        <v>46048</v>
      </c>
      <c r="K90" s="18"/>
      <c r="L90" s="18">
        <v>40685</v>
      </c>
      <c r="M90" s="19"/>
      <c r="N90" s="19">
        <v>33551</v>
      </c>
      <c r="O90" s="18"/>
      <c r="P90" s="18">
        <v>6952</v>
      </c>
      <c r="Q90" s="19"/>
      <c r="R90" s="19">
        <v>0</v>
      </c>
      <c r="S90" s="18"/>
      <c r="T90" s="18">
        <v>0</v>
      </c>
      <c r="U90" s="19"/>
      <c r="V90" s="19">
        <v>0</v>
      </c>
      <c r="W90" s="18"/>
      <c r="X90" s="18">
        <v>0</v>
      </c>
    </row>
    <row r="91" spans="1:24" ht="15.75" x14ac:dyDescent="0.25">
      <c r="A91" s="21" t="s">
        <v>144</v>
      </c>
      <c r="B91" s="21" t="s">
        <v>145</v>
      </c>
      <c r="C91" s="21" t="s">
        <v>221</v>
      </c>
      <c r="D91" s="21" t="s">
        <v>222</v>
      </c>
      <c r="E91" s="21"/>
      <c r="F91" s="21"/>
      <c r="G91" s="18">
        <v>28435</v>
      </c>
      <c r="H91" s="18">
        <v>29676</v>
      </c>
      <c r="I91" s="19"/>
      <c r="J91" s="19">
        <v>27048</v>
      </c>
      <c r="K91" s="18"/>
      <c r="L91" s="18">
        <v>23898</v>
      </c>
      <c r="M91" s="19"/>
      <c r="N91" s="19">
        <v>19707</v>
      </c>
      <c r="O91" s="18"/>
      <c r="P91" s="18">
        <v>4084</v>
      </c>
      <c r="Q91" s="19"/>
      <c r="R91" s="19">
        <v>0</v>
      </c>
      <c r="S91" s="18"/>
      <c r="T91" s="18">
        <v>0</v>
      </c>
      <c r="U91" s="19"/>
      <c r="V91" s="19">
        <v>0</v>
      </c>
      <c r="W91" s="18"/>
      <c r="X91" s="18">
        <v>0</v>
      </c>
    </row>
    <row r="92" spans="1:24" ht="15.75" x14ac:dyDescent="0.25">
      <c r="A92" s="21" t="s">
        <v>144</v>
      </c>
      <c r="B92" s="21" t="s">
        <v>145</v>
      </c>
      <c r="C92" s="21" t="s">
        <v>223</v>
      </c>
      <c r="D92" s="21" t="s">
        <v>224</v>
      </c>
      <c r="E92" s="21"/>
      <c r="F92" s="21"/>
      <c r="G92" s="18">
        <v>7059</v>
      </c>
      <c r="H92" s="18">
        <v>10165.564540810357</v>
      </c>
      <c r="I92" s="19"/>
      <c r="J92" s="19">
        <v>9265.2894715906878</v>
      </c>
      <c r="K92" s="18"/>
      <c r="L92" s="18">
        <v>8186.2028623795977</v>
      </c>
      <c r="M92" s="19"/>
      <c r="N92" s="19">
        <v>6750.7366470381785</v>
      </c>
      <c r="O92" s="18"/>
      <c r="P92" s="18">
        <v>1398.8251858206918</v>
      </c>
      <c r="Q92" s="19"/>
      <c r="R92" s="19">
        <v>0</v>
      </c>
      <c r="S92" s="18"/>
      <c r="T92" s="18">
        <v>0</v>
      </c>
      <c r="U92" s="19"/>
      <c r="V92" s="19">
        <v>0</v>
      </c>
      <c r="W92" s="18"/>
      <c r="X92" s="18">
        <v>0</v>
      </c>
    </row>
    <row r="93" spans="1:24" ht="15.75" x14ac:dyDescent="0.25">
      <c r="A93" s="21" t="s">
        <v>144</v>
      </c>
      <c r="B93" s="21" t="s">
        <v>145</v>
      </c>
      <c r="C93" s="21" t="s">
        <v>225</v>
      </c>
      <c r="D93" s="21" t="s">
        <v>226</v>
      </c>
      <c r="E93" s="21"/>
      <c r="F93" s="21"/>
      <c r="G93" s="18">
        <v>64111</v>
      </c>
      <c r="H93" s="18">
        <v>60509.312742918803</v>
      </c>
      <c r="I93" s="19"/>
      <c r="J93" s="19">
        <v>55150.532568992196</v>
      </c>
      <c r="K93" s="18"/>
      <c r="L93" s="18">
        <v>48727.397990354752</v>
      </c>
      <c r="M93" s="19"/>
      <c r="N93" s="19">
        <v>40182.956232370118</v>
      </c>
      <c r="O93" s="18"/>
      <c r="P93" s="18">
        <v>8326.340391789834</v>
      </c>
      <c r="Q93" s="19"/>
      <c r="R93" s="19">
        <v>0</v>
      </c>
      <c r="S93" s="18"/>
      <c r="T93" s="18">
        <v>0</v>
      </c>
      <c r="U93" s="19"/>
      <c r="V93" s="19">
        <v>0</v>
      </c>
      <c r="W93" s="18"/>
      <c r="X93" s="18">
        <v>0</v>
      </c>
    </row>
    <row r="94" spans="1:24" ht="15.75" x14ac:dyDescent="0.25">
      <c r="A94" s="21" t="s">
        <v>144</v>
      </c>
      <c r="B94" s="21" t="s">
        <v>145</v>
      </c>
      <c r="C94" s="21" t="s">
        <v>227</v>
      </c>
      <c r="D94" s="21" t="s">
        <v>228</v>
      </c>
      <c r="E94" s="21"/>
      <c r="F94" s="21"/>
      <c r="G94" s="18">
        <v>11972</v>
      </c>
      <c r="H94" s="18">
        <v>16914.55267064436</v>
      </c>
      <c r="I94" s="19"/>
      <c r="J94" s="19">
        <v>15416.578798632505</v>
      </c>
      <c r="K94" s="18"/>
      <c r="L94" s="18">
        <v>13621.079176903379</v>
      </c>
      <c r="M94" s="19"/>
      <c r="N94" s="19">
        <v>11232.597080424808</v>
      </c>
      <c r="O94" s="18"/>
      <c r="P94" s="18">
        <v>2327.5148357576468</v>
      </c>
      <c r="Q94" s="19"/>
      <c r="R94" s="19">
        <v>0</v>
      </c>
      <c r="S94" s="18"/>
      <c r="T94" s="18">
        <v>0</v>
      </c>
      <c r="U94" s="19"/>
      <c r="V94" s="19">
        <v>0</v>
      </c>
      <c r="W94" s="18"/>
      <c r="X94" s="18">
        <v>0</v>
      </c>
    </row>
    <row r="95" spans="1:24" ht="15.75" x14ac:dyDescent="0.25">
      <c r="A95" s="21" t="s">
        <v>144</v>
      </c>
      <c r="B95" s="21" t="s">
        <v>145</v>
      </c>
      <c r="C95" s="21" t="s">
        <v>229</v>
      </c>
      <c r="D95" s="21" t="s">
        <v>230</v>
      </c>
      <c r="E95" s="21"/>
      <c r="F95" s="21"/>
      <c r="G95" s="18">
        <v>58442</v>
      </c>
      <c r="H95" s="18">
        <v>84094.554875274611</v>
      </c>
      <c r="I95" s="19"/>
      <c r="J95" s="19">
        <v>76647.036254208433</v>
      </c>
      <c r="K95" s="18"/>
      <c r="L95" s="18">
        <v>67720.300536858675</v>
      </c>
      <c r="M95" s="19"/>
      <c r="N95" s="19">
        <v>55845.417254871383</v>
      </c>
      <c r="O95" s="18"/>
      <c r="P95" s="18">
        <v>11571.770645660286</v>
      </c>
      <c r="Q95" s="19"/>
      <c r="R95" s="19">
        <v>0</v>
      </c>
      <c r="S95" s="18"/>
      <c r="T95" s="18">
        <v>0</v>
      </c>
      <c r="U95" s="19"/>
      <c r="V95" s="19">
        <v>0</v>
      </c>
      <c r="W95" s="18"/>
      <c r="X95" s="18">
        <v>0</v>
      </c>
    </row>
    <row r="96" spans="1:24" ht="15.75" x14ac:dyDescent="0.25">
      <c r="A96" s="21" t="s">
        <v>144</v>
      </c>
      <c r="B96" s="21" t="s">
        <v>145</v>
      </c>
      <c r="C96" s="21" t="s">
        <v>231</v>
      </c>
      <c r="D96" s="21" t="s">
        <v>232</v>
      </c>
      <c r="E96" s="21"/>
      <c r="F96" s="21"/>
      <c r="G96" s="18">
        <v>58564</v>
      </c>
      <c r="H96" s="18">
        <v>84094.554875274611</v>
      </c>
      <c r="I96" s="19"/>
      <c r="J96" s="19">
        <v>76647.036254208433</v>
      </c>
      <c r="K96" s="18"/>
      <c r="L96" s="18">
        <v>67720.300536858675</v>
      </c>
      <c r="M96" s="19"/>
      <c r="N96" s="19">
        <v>55845.417254871383</v>
      </c>
      <c r="O96" s="18"/>
      <c r="P96" s="18">
        <v>11571.770645660286</v>
      </c>
      <c r="Q96" s="19"/>
      <c r="R96" s="19">
        <v>0</v>
      </c>
      <c r="S96" s="18"/>
      <c r="T96" s="18">
        <v>0</v>
      </c>
      <c r="U96" s="19"/>
      <c r="V96" s="19">
        <v>0</v>
      </c>
      <c r="W96" s="18"/>
      <c r="X96" s="18">
        <v>0</v>
      </c>
    </row>
    <row r="97" spans="1:24" ht="15.75" x14ac:dyDescent="0.25">
      <c r="A97" s="21" t="s">
        <v>144</v>
      </c>
      <c r="B97" s="21" t="s">
        <v>145</v>
      </c>
      <c r="C97" s="21" t="s">
        <v>233</v>
      </c>
      <c r="D97" s="21" t="s">
        <v>234</v>
      </c>
      <c r="E97" s="21"/>
      <c r="F97" s="21"/>
      <c r="G97" s="18">
        <v>48217</v>
      </c>
      <c r="H97" s="18">
        <v>57742.079683864351</v>
      </c>
      <c r="I97" s="19"/>
      <c r="J97" s="19">
        <v>52628.369119577801</v>
      </c>
      <c r="K97" s="18"/>
      <c r="L97" s="18">
        <v>46498.979578572456</v>
      </c>
      <c r="M97" s="19"/>
      <c r="N97" s="19">
        <v>38345.295220268046</v>
      </c>
      <c r="O97" s="18"/>
      <c r="P97" s="18">
        <v>7945.5572800894342</v>
      </c>
      <c r="Q97" s="19"/>
      <c r="R97" s="19">
        <v>0</v>
      </c>
      <c r="S97" s="18"/>
      <c r="T97" s="18">
        <v>0</v>
      </c>
      <c r="U97" s="19"/>
      <c r="V97" s="19">
        <v>0</v>
      </c>
      <c r="W97" s="18"/>
      <c r="X97" s="18">
        <v>0</v>
      </c>
    </row>
    <row r="98" spans="1:24" ht="15.75" x14ac:dyDescent="0.25">
      <c r="A98" s="21" t="s">
        <v>144</v>
      </c>
      <c r="B98" s="21" t="s">
        <v>145</v>
      </c>
      <c r="C98" s="21" t="s">
        <v>235</v>
      </c>
      <c r="D98" s="21" t="s">
        <v>236</v>
      </c>
      <c r="E98" s="21"/>
      <c r="F98" s="21"/>
      <c r="G98" s="18">
        <v>48417</v>
      </c>
      <c r="H98" s="18">
        <v>57742.079683864351</v>
      </c>
      <c r="I98" s="19"/>
      <c r="J98" s="19">
        <v>52628.369119577801</v>
      </c>
      <c r="K98" s="18"/>
      <c r="L98" s="18">
        <v>46498.979578572456</v>
      </c>
      <c r="M98" s="19"/>
      <c r="N98" s="19">
        <v>38345.295220268046</v>
      </c>
      <c r="O98" s="18"/>
      <c r="P98" s="18">
        <v>7945.5572800894342</v>
      </c>
      <c r="Q98" s="19"/>
      <c r="R98" s="19">
        <v>0</v>
      </c>
      <c r="S98" s="18"/>
      <c r="T98" s="18">
        <v>0</v>
      </c>
      <c r="U98" s="19"/>
      <c r="V98" s="19">
        <v>0</v>
      </c>
      <c r="W98" s="18"/>
      <c r="X98" s="18">
        <v>0</v>
      </c>
    </row>
    <row r="99" spans="1:24" ht="15.75" x14ac:dyDescent="0.25">
      <c r="A99" s="21" t="s">
        <v>144</v>
      </c>
      <c r="B99" s="21" t="s">
        <v>145</v>
      </c>
      <c r="C99" s="21" t="s">
        <v>237</v>
      </c>
      <c r="D99" s="21" t="s">
        <v>238</v>
      </c>
      <c r="E99" s="21"/>
      <c r="F99" s="21"/>
      <c r="G99" s="18">
        <v>0</v>
      </c>
      <c r="H99" s="18">
        <v>8353.9833040855865</v>
      </c>
      <c r="I99" s="19"/>
      <c r="J99" s="19">
        <v>7614.1441277021677</v>
      </c>
      <c r="K99" s="18"/>
      <c r="L99" s="18">
        <v>6727.3589933575122</v>
      </c>
      <c r="M99" s="19"/>
      <c r="N99" s="19">
        <v>5547.7038204058299</v>
      </c>
      <c r="O99" s="18"/>
      <c r="P99" s="18">
        <v>1149.5438547231863</v>
      </c>
      <c r="Q99" s="19"/>
      <c r="R99" s="19">
        <v>0</v>
      </c>
      <c r="S99" s="18"/>
      <c r="T99" s="18">
        <v>0</v>
      </c>
      <c r="U99" s="19"/>
      <c r="V99" s="19">
        <v>0</v>
      </c>
      <c r="W99" s="18"/>
      <c r="X99" s="18">
        <v>0</v>
      </c>
    </row>
    <row r="100" spans="1:24" ht="15.75" x14ac:dyDescent="0.25">
      <c r="A100" s="21" t="s">
        <v>144</v>
      </c>
      <c r="B100" s="21" t="s">
        <v>145</v>
      </c>
      <c r="C100" s="21" t="s">
        <v>239</v>
      </c>
      <c r="D100" s="21" t="s">
        <v>240</v>
      </c>
      <c r="E100" s="21"/>
      <c r="F100" s="21"/>
      <c r="G100" s="18">
        <v>78501</v>
      </c>
      <c r="H100" s="18">
        <v>94177.535999999993</v>
      </c>
      <c r="I100" s="19"/>
      <c r="J100" s="19">
        <v>85837.055999999997</v>
      </c>
      <c r="K100" s="18"/>
      <c r="L100" s="18">
        <v>75840</v>
      </c>
      <c r="M100" s="19"/>
      <c r="N100" s="19">
        <v>62541.312000000005</v>
      </c>
      <c r="O100" s="18"/>
      <c r="P100" s="18">
        <v>12959.232</v>
      </c>
      <c r="Q100" s="19"/>
      <c r="R100" s="19">
        <v>0</v>
      </c>
      <c r="S100" s="18"/>
      <c r="T100" s="18">
        <v>0</v>
      </c>
      <c r="U100" s="19"/>
      <c r="V100" s="19">
        <v>0</v>
      </c>
      <c r="W100" s="18"/>
      <c r="X100" s="18">
        <v>0</v>
      </c>
    </row>
    <row r="101" spans="1:24" ht="15.75" x14ac:dyDescent="0.25">
      <c r="A101" s="21" t="s">
        <v>144</v>
      </c>
      <c r="B101" s="21" t="s">
        <v>145</v>
      </c>
      <c r="C101" s="21" t="s">
        <v>241</v>
      </c>
      <c r="D101" s="21" t="s">
        <v>242</v>
      </c>
      <c r="E101" s="21"/>
      <c r="F101" s="21"/>
      <c r="G101" s="18">
        <v>8</v>
      </c>
      <c r="H101" s="18">
        <v>73999.892711461231</v>
      </c>
      <c r="I101" s="19"/>
      <c r="J101" s="19">
        <v>67446.369956713344</v>
      </c>
      <c r="K101" s="18"/>
      <c r="L101" s="18">
        <v>59591.194478025202</v>
      </c>
      <c r="M101" s="19"/>
      <c r="N101" s="19">
        <v>49141.765378465869</v>
      </c>
      <c r="O101" s="18"/>
      <c r="P101" s="18">
        <v>10182.701930351364</v>
      </c>
      <c r="Q101" s="19"/>
      <c r="R101" s="19">
        <v>0</v>
      </c>
      <c r="S101" s="18"/>
      <c r="T101" s="18">
        <v>0</v>
      </c>
      <c r="U101" s="19"/>
      <c r="V101" s="19">
        <v>0</v>
      </c>
      <c r="W101" s="18"/>
      <c r="X101" s="18">
        <v>0</v>
      </c>
    </row>
    <row r="102" spans="1:24" ht="15.75" x14ac:dyDescent="0.25">
      <c r="A102" s="21" t="s">
        <v>144</v>
      </c>
      <c r="B102" s="21" t="s">
        <v>145</v>
      </c>
      <c r="C102" s="21" t="s">
        <v>243</v>
      </c>
      <c r="D102" s="21" t="s">
        <v>244</v>
      </c>
      <c r="E102" s="21"/>
      <c r="F102" s="21"/>
      <c r="G102" s="18">
        <v>8</v>
      </c>
      <c r="H102" s="18">
        <v>74000.105248562541</v>
      </c>
      <c r="I102" s="19"/>
      <c r="J102" s="19">
        <v>67446.563671263983</v>
      </c>
      <c r="K102" s="18"/>
      <c r="L102" s="18">
        <v>59591.36563151305</v>
      </c>
      <c r="M102" s="19"/>
      <c r="N102" s="19">
        <v>49141.906519864649</v>
      </c>
      <c r="O102" s="18"/>
      <c r="P102" s="18">
        <v>10182.731176366087</v>
      </c>
      <c r="Q102" s="19"/>
      <c r="R102" s="19">
        <v>0</v>
      </c>
      <c r="S102" s="18"/>
      <c r="T102" s="18">
        <v>0</v>
      </c>
      <c r="U102" s="19"/>
      <c r="V102" s="19">
        <v>0</v>
      </c>
      <c r="W102" s="18"/>
      <c r="X102" s="18">
        <v>0</v>
      </c>
    </row>
    <row r="103" spans="1:24" ht="15.75" x14ac:dyDescent="0.25">
      <c r="A103" s="21" t="s">
        <v>144</v>
      </c>
      <c r="B103" s="21" t="s">
        <v>145</v>
      </c>
      <c r="C103" s="21" t="s">
        <v>245</v>
      </c>
      <c r="D103" s="21" t="s">
        <v>246</v>
      </c>
      <c r="E103" s="21"/>
      <c r="F103" s="21"/>
      <c r="G103" s="18">
        <v>2</v>
      </c>
      <c r="H103" s="18">
        <v>49310.307800699353</v>
      </c>
      <c r="I103" s="19"/>
      <c r="J103" s="19">
        <v>44943.325466339098</v>
      </c>
      <c r="K103" s="18"/>
      <c r="L103" s="18">
        <v>39708.978408662537</v>
      </c>
      <c r="M103" s="19"/>
      <c r="N103" s="19">
        <v>32745.933647909114</v>
      </c>
      <c r="O103" s="18"/>
      <c r="P103" s="18">
        <v>6785.3093839774347</v>
      </c>
      <c r="Q103" s="19"/>
      <c r="R103" s="19">
        <v>0</v>
      </c>
      <c r="S103" s="18"/>
      <c r="T103" s="18">
        <v>0</v>
      </c>
      <c r="U103" s="19"/>
      <c r="V103" s="19">
        <v>0</v>
      </c>
      <c r="W103" s="18"/>
      <c r="X103" s="18">
        <v>0</v>
      </c>
    </row>
    <row r="104" spans="1:24" ht="15.75" x14ac:dyDescent="0.25">
      <c r="A104" s="21" t="s">
        <v>144</v>
      </c>
      <c r="B104" s="21" t="s">
        <v>145</v>
      </c>
      <c r="C104" s="21" t="s">
        <v>247</v>
      </c>
      <c r="D104" s="21" t="s">
        <v>248</v>
      </c>
      <c r="E104" s="21"/>
      <c r="F104" s="21"/>
      <c r="G104" s="18">
        <v>3</v>
      </c>
      <c r="H104" s="18">
        <v>49310.307800699353</v>
      </c>
      <c r="I104" s="19"/>
      <c r="J104" s="19">
        <v>44943.325466339098</v>
      </c>
      <c r="K104" s="18"/>
      <c r="L104" s="18">
        <v>39708.978408662537</v>
      </c>
      <c r="M104" s="19"/>
      <c r="N104" s="19">
        <v>32745.933647909114</v>
      </c>
      <c r="O104" s="18"/>
      <c r="P104" s="18">
        <v>6785.3093839774347</v>
      </c>
      <c r="Q104" s="19"/>
      <c r="R104" s="19">
        <v>0</v>
      </c>
      <c r="S104" s="18"/>
      <c r="T104" s="18">
        <v>0</v>
      </c>
      <c r="U104" s="19"/>
      <c r="V104" s="19">
        <v>0</v>
      </c>
      <c r="W104" s="18"/>
      <c r="X104" s="18">
        <v>0</v>
      </c>
    </row>
    <row r="105" spans="1:24" ht="15.75" x14ac:dyDescent="0.25">
      <c r="A105" s="21" t="s">
        <v>144</v>
      </c>
      <c r="B105" s="21" t="s">
        <v>145</v>
      </c>
      <c r="C105" s="21" t="s">
        <v>249</v>
      </c>
      <c r="D105" s="21" t="s">
        <v>250</v>
      </c>
      <c r="E105" s="21"/>
      <c r="F105" s="21"/>
      <c r="G105" s="18">
        <v>5400</v>
      </c>
      <c r="H105" s="18">
        <v>11772.191999999999</v>
      </c>
      <c r="I105" s="19">
        <v>3776</v>
      </c>
      <c r="J105" s="19">
        <v>10729.632</v>
      </c>
      <c r="K105" s="18"/>
      <c r="L105" s="18">
        <v>9480</v>
      </c>
      <c r="M105" s="19"/>
      <c r="N105" s="19">
        <v>7817.6640000000007</v>
      </c>
      <c r="O105" s="18"/>
      <c r="P105" s="18">
        <v>1619.904</v>
      </c>
      <c r="Q105" s="19"/>
      <c r="R105" s="19">
        <v>0</v>
      </c>
      <c r="S105" s="18"/>
      <c r="T105" s="18">
        <v>0</v>
      </c>
      <c r="U105" s="19"/>
      <c r="V105" s="19">
        <v>0</v>
      </c>
      <c r="W105" s="18"/>
      <c r="X105" s="18">
        <v>0</v>
      </c>
    </row>
    <row r="106" spans="1:24" ht="15.75" x14ac:dyDescent="0.25">
      <c r="A106" s="21" t="s">
        <v>251</v>
      </c>
      <c r="B106" s="21" t="s">
        <v>430</v>
      </c>
      <c r="C106" s="21" t="s">
        <v>252</v>
      </c>
      <c r="D106" s="21" t="s">
        <v>253</v>
      </c>
      <c r="E106" s="21">
        <v>4.76</v>
      </c>
      <c r="F106" s="21"/>
      <c r="G106" s="18">
        <v>23204</v>
      </c>
      <c r="H106" s="18">
        <v>22637</v>
      </c>
      <c r="I106" s="19">
        <v>22637</v>
      </c>
      <c r="J106" s="19">
        <v>22637</v>
      </c>
      <c r="K106" s="18"/>
      <c r="L106" s="18">
        <v>238306</v>
      </c>
      <c r="M106" s="19"/>
      <c r="N106" s="19">
        <v>238306</v>
      </c>
      <c r="O106" s="18"/>
      <c r="P106" s="18">
        <v>0</v>
      </c>
      <c r="Q106" s="19"/>
      <c r="R106" s="19">
        <v>0</v>
      </c>
      <c r="S106" s="18"/>
      <c r="T106" s="18">
        <v>0</v>
      </c>
      <c r="U106" s="19"/>
      <c r="V106" s="19">
        <v>0</v>
      </c>
      <c r="W106" s="18"/>
      <c r="X106" s="18">
        <v>0</v>
      </c>
    </row>
    <row r="107" spans="1:24" ht="15.75" x14ac:dyDescent="0.25">
      <c r="A107" s="21" t="s">
        <v>251</v>
      </c>
      <c r="B107" s="21" t="s">
        <v>430</v>
      </c>
      <c r="C107" s="21" t="s">
        <v>428</v>
      </c>
      <c r="D107" s="21" t="s">
        <v>254</v>
      </c>
      <c r="E107" s="21">
        <v>4.76</v>
      </c>
      <c r="F107" s="21"/>
      <c r="G107" s="18">
        <v>0</v>
      </c>
      <c r="H107" s="18">
        <v>22637</v>
      </c>
      <c r="I107" s="19">
        <v>22637</v>
      </c>
      <c r="J107" s="19">
        <v>22637</v>
      </c>
      <c r="K107" s="18"/>
      <c r="L107" s="18">
        <v>238306</v>
      </c>
      <c r="M107" s="19"/>
      <c r="N107" s="19">
        <v>238306</v>
      </c>
      <c r="O107" s="18"/>
      <c r="P107" s="18">
        <v>0</v>
      </c>
      <c r="Q107" s="19"/>
      <c r="R107" s="19">
        <v>0</v>
      </c>
      <c r="S107" s="18"/>
      <c r="T107" s="18">
        <v>0</v>
      </c>
      <c r="U107" s="19"/>
      <c r="V107" s="19">
        <v>0</v>
      </c>
      <c r="W107" s="18"/>
      <c r="X107" s="18">
        <v>0</v>
      </c>
    </row>
    <row r="108" spans="1:24" ht="15.75" x14ac:dyDescent="0.25">
      <c r="A108" s="21" t="s">
        <v>251</v>
      </c>
      <c r="B108" s="21" t="s">
        <v>430</v>
      </c>
      <c r="C108" s="21" t="s">
        <v>255</v>
      </c>
      <c r="D108" s="21" t="s">
        <v>256</v>
      </c>
      <c r="E108" s="21">
        <v>4.76</v>
      </c>
      <c r="F108" s="21"/>
      <c r="G108" s="18">
        <v>23204</v>
      </c>
      <c r="H108" s="18">
        <v>22637</v>
      </c>
      <c r="I108" s="19">
        <v>22637</v>
      </c>
      <c r="J108" s="19">
        <v>22637</v>
      </c>
      <c r="K108" s="18"/>
      <c r="L108" s="18">
        <v>238306</v>
      </c>
      <c r="M108" s="19"/>
      <c r="N108" s="19">
        <v>238306</v>
      </c>
      <c r="O108" s="18"/>
      <c r="P108" s="18">
        <v>0</v>
      </c>
      <c r="Q108" s="19"/>
      <c r="R108" s="19">
        <v>0</v>
      </c>
      <c r="S108" s="18"/>
      <c r="T108" s="18">
        <v>0</v>
      </c>
      <c r="U108" s="19"/>
      <c r="V108" s="19">
        <v>0</v>
      </c>
      <c r="W108" s="18"/>
      <c r="X108" s="18">
        <v>0</v>
      </c>
    </row>
    <row r="109" spans="1:24" ht="15.75" x14ac:dyDescent="0.25">
      <c r="A109" s="21" t="s">
        <v>251</v>
      </c>
      <c r="B109" s="21" t="s">
        <v>430</v>
      </c>
      <c r="C109" s="21" t="s">
        <v>257</v>
      </c>
      <c r="D109" s="21" t="s">
        <v>258</v>
      </c>
      <c r="E109" s="21">
        <v>4.76</v>
      </c>
      <c r="F109" s="21"/>
      <c r="G109" s="18">
        <v>23204</v>
      </c>
      <c r="H109" s="18">
        <v>22637</v>
      </c>
      <c r="I109" s="19">
        <v>22637</v>
      </c>
      <c r="J109" s="19">
        <v>22637</v>
      </c>
      <c r="K109" s="18"/>
      <c r="L109" s="18">
        <v>238306</v>
      </c>
      <c r="M109" s="19"/>
      <c r="N109" s="19">
        <v>238306</v>
      </c>
      <c r="O109" s="18"/>
      <c r="P109" s="18">
        <v>0</v>
      </c>
      <c r="Q109" s="19"/>
      <c r="R109" s="19">
        <v>0</v>
      </c>
      <c r="S109" s="18"/>
      <c r="T109" s="18">
        <v>0</v>
      </c>
      <c r="U109" s="19"/>
      <c r="V109" s="19">
        <v>0</v>
      </c>
      <c r="W109" s="18"/>
      <c r="X109" s="18">
        <v>0</v>
      </c>
    </row>
    <row r="110" spans="1:24" ht="15.75" x14ac:dyDescent="0.25">
      <c r="A110" s="21" t="s">
        <v>251</v>
      </c>
      <c r="B110" s="21" t="s">
        <v>430</v>
      </c>
      <c r="C110" s="21" t="s">
        <v>259</v>
      </c>
      <c r="D110" s="21" t="s">
        <v>260</v>
      </c>
      <c r="E110" s="21">
        <v>4.76</v>
      </c>
      <c r="F110" s="21"/>
      <c r="G110" s="18">
        <v>1036</v>
      </c>
      <c r="H110" s="18">
        <v>1014</v>
      </c>
      <c r="I110" s="19">
        <v>1014</v>
      </c>
      <c r="J110" s="19">
        <v>1014</v>
      </c>
      <c r="K110" s="18"/>
      <c r="L110" s="18">
        <v>24773</v>
      </c>
      <c r="M110" s="19"/>
      <c r="N110" s="19">
        <v>24773</v>
      </c>
      <c r="O110" s="18"/>
      <c r="P110" s="18">
        <v>0</v>
      </c>
      <c r="Q110" s="19"/>
      <c r="R110" s="19">
        <v>0</v>
      </c>
      <c r="S110" s="18"/>
      <c r="T110" s="18">
        <v>0</v>
      </c>
      <c r="U110" s="19"/>
      <c r="V110" s="19">
        <v>0</v>
      </c>
      <c r="W110" s="18"/>
      <c r="X110" s="18">
        <v>0</v>
      </c>
    </row>
    <row r="111" spans="1:24" ht="15.75" x14ac:dyDescent="0.25">
      <c r="A111" s="21" t="s">
        <v>251</v>
      </c>
      <c r="B111" s="21" t="s">
        <v>430</v>
      </c>
      <c r="C111" s="21" t="s">
        <v>261</v>
      </c>
      <c r="D111" s="21" t="s">
        <v>262</v>
      </c>
      <c r="E111" s="21">
        <v>4.76</v>
      </c>
      <c r="F111" s="21"/>
      <c r="G111" s="18">
        <v>1036</v>
      </c>
      <c r="H111" s="18">
        <v>1014</v>
      </c>
      <c r="I111" s="19">
        <v>1014</v>
      </c>
      <c r="J111" s="19">
        <v>1014</v>
      </c>
      <c r="K111" s="18"/>
      <c r="L111" s="18">
        <v>24773</v>
      </c>
      <c r="M111" s="19"/>
      <c r="N111" s="19">
        <v>24773</v>
      </c>
      <c r="O111" s="18"/>
      <c r="P111" s="18">
        <v>0</v>
      </c>
      <c r="Q111" s="19"/>
      <c r="R111" s="19">
        <v>0</v>
      </c>
      <c r="S111" s="18"/>
      <c r="T111" s="18">
        <v>0</v>
      </c>
      <c r="U111" s="19"/>
      <c r="V111" s="19">
        <v>0</v>
      </c>
      <c r="W111" s="18"/>
      <c r="X111" s="18">
        <v>0</v>
      </c>
    </row>
    <row r="112" spans="1:24" ht="15.75" x14ac:dyDescent="0.25">
      <c r="A112" s="21" t="s">
        <v>251</v>
      </c>
      <c r="B112" s="21" t="s">
        <v>430</v>
      </c>
      <c r="C112" s="21" t="s">
        <v>263</v>
      </c>
      <c r="D112" s="21" t="s">
        <v>264</v>
      </c>
      <c r="E112" s="21">
        <v>4.76</v>
      </c>
      <c r="F112" s="21"/>
      <c r="G112" s="18">
        <v>1036</v>
      </c>
      <c r="H112" s="18">
        <v>1014</v>
      </c>
      <c r="I112" s="19">
        <v>1014</v>
      </c>
      <c r="J112" s="19">
        <v>1014</v>
      </c>
      <c r="K112" s="18"/>
      <c r="L112" s="18">
        <v>24773</v>
      </c>
      <c r="M112" s="19"/>
      <c r="N112" s="19">
        <v>24773</v>
      </c>
      <c r="O112" s="18"/>
      <c r="P112" s="18">
        <v>0</v>
      </c>
      <c r="Q112" s="19"/>
      <c r="R112" s="19">
        <v>0</v>
      </c>
      <c r="S112" s="18"/>
      <c r="T112" s="18">
        <v>0</v>
      </c>
      <c r="U112" s="19"/>
      <c r="V112" s="19">
        <v>0</v>
      </c>
      <c r="W112" s="18"/>
      <c r="X112" s="18">
        <v>0</v>
      </c>
    </row>
    <row r="113" spans="1:24" ht="15.75" x14ac:dyDescent="0.25">
      <c r="A113" s="21" t="s">
        <v>251</v>
      </c>
      <c r="B113" s="21" t="s">
        <v>430</v>
      </c>
      <c r="C113" s="21" t="s">
        <v>265</v>
      </c>
      <c r="D113" s="21" t="s">
        <v>266</v>
      </c>
      <c r="E113" s="21">
        <v>4.76</v>
      </c>
      <c r="F113" s="21"/>
      <c r="G113" s="18">
        <v>1036</v>
      </c>
      <c r="H113" s="18">
        <v>1014</v>
      </c>
      <c r="I113" s="19">
        <v>1014</v>
      </c>
      <c r="J113" s="19">
        <v>1014</v>
      </c>
      <c r="K113" s="18"/>
      <c r="L113" s="18">
        <v>24773</v>
      </c>
      <c r="M113" s="19"/>
      <c r="N113" s="19">
        <v>24773</v>
      </c>
      <c r="O113" s="18"/>
      <c r="P113" s="18">
        <v>0</v>
      </c>
      <c r="Q113" s="19"/>
      <c r="R113" s="19">
        <v>0</v>
      </c>
      <c r="S113" s="18"/>
      <c r="T113" s="18">
        <v>0</v>
      </c>
      <c r="U113" s="19"/>
      <c r="V113" s="19">
        <v>0</v>
      </c>
      <c r="W113" s="18"/>
      <c r="X113" s="18">
        <v>0</v>
      </c>
    </row>
    <row r="114" spans="1:24" ht="15.75" x14ac:dyDescent="0.25">
      <c r="A114" s="21" t="s">
        <v>251</v>
      </c>
      <c r="B114" s="21" t="s">
        <v>431</v>
      </c>
      <c r="C114" s="21" t="s">
        <v>267</v>
      </c>
      <c r="D114" s="21" t="s">
        <v>268</v>
      </c>
      <c r="E114" s="21">
        <v>4.76</v>
      </c>
      <c r="F114" s="21"/>
      <c r="G114" s="18">
        <v>168369</v>
      </c>
      <c r="H114" s="18">
        <v>167238</v>
      </c>
      <c r="I114" s="19">
        <v>167238</v>
      </c>
      <c r="J114" s="19">
        <v>167238</v>
      </c>
      <c r="K114" s="18"/>
      <c r="L114" s="18">
        <v>85956</v>
      </c>
      <c r="M114" s="19"/>
      <c r="N114" s="19">
        <v>0</v>
      </c>
      <c r="O114" s="18"/>
      <c r="P114" s="18">
        <v>0</v>
      </c>
      <c r="Q114" s="19"/>
      <c r="R114" s="19">
        <v>0</v>
      </c>
      <c r="S114" s="18"/>
      <c r="T114" s="18">
        <v>0</v>
      </c>
      <c r="U114" s="19"/>
      <c r="V114" s="19">
        <v>0</v>
      </c>
      <c r="W114" s="18"/>
      <c r="X114" s="18">
        <v>0</v>
      </c>
    </row>
    <row r="115" spans="1:24" ht="15.75" x14ac:dyDescent="0.25">
      <c r="A115" s="21" t="s">
        <v>251</v>
      </c>
      <c r="B115" s="21" t="s">
        <v>431</v>
      </c>
      <c r="C115" s="21" t="s">
        <v>269</v>
      </c>
      <c r="D115" s="21" t="s">
        <v>270</v>
      </c>
      <c r="E115" s="21">
        <v>4.76</v>
      </c>
      <c r="F115" s="21"/>
      <c r="G115" s="18">
        <v>170373</v>
      </c>
      <c r="H115" s="18">
        <v>169500</v>
      </c>
      <c r="I115" s="19">
        <v>169500</v>
      </c>
      <c r="J115" s="19">
        <v>169500</v>
      </c>
      <c r="K115" s="18"/>
      <c r="L115" s="18">
        <v>85956</v>
      </c>
      <c r="M115" s="19"/>
      <c r="N115" s="19">
        <v>0</v>
      </c>
      <c r="O115" s="18"/>
      <c r="P115" s="18">
        <v>0</v>
      </c>
      <c r="Q115" s="19"/>
      <c r="R115" s="19">
        <v>0</v>
      </c>
      <c r="S115" s="18"/>
      <c r="T115" s="18">
        <v>0</v>
      </c>
      <c r="U115" s="19"/>
      <c r="V115" s="19">
        <v>0</v>
      </c>
      <c r="W115" s="18"/>
      <c r="X115" s="18">
        <v>0</v>
      </c>
    </row>
    <row r="116" spans="1:24" ht="15.75" x14ac:dyDescent="0.25">
      <c r="A116" s="21" t="s">
        <v>251</v>
      </c>
      <c r="B116" s="21" t="s">
        <v>431</v>
      </c>
      <c r="C116" s="21" t="s">
        <v>271</v>
      </c>
      <c r="D116" s="21" t="s">
        <v>272</v>
      </c>
      <c r="E116" s="21">
        <v>4.76</v>
      </c>
      <c r="F116" s="21"/>
      <c r="G116" s="18">
        <v>170291</v>
      </c>
      <c r="H116" s="18">
        <v>169605</v>
      </c>
      <c r="I116" s="19">
        <v>169605</v>
      </c>
      <c r="J116" s="19">
        <v>169605</v>
      </c>
      <c r="K116" s="18"/>
      <c r="L116" s="18">
        <v>85956</v>
      </c>
      <c r="M116" s="19"/>
      <c r="N116" s="19">
        <v>0</v>
      </c>
      <c r="O116" s="18"/>
      <c r="P116" s="18">
        <v>0</v>
      </c>
      <c r="Q116" s="19"/>
      <c r="R116" s="19">
        <v>0</v>
      </c>
      <c r="S116" s="18"/>
      <c r="T116" s="18">
        <v>0</v>
      </c>
      <c r="U116" s="19"/>
      <c r="V116" s="19">
        <v>0</v>
      </c>
      <c r="W116" s="18"/>
      <c r="X116" s="18">
        <v>0</v>
      </c>
    </row>
    <row r="117" spans="1:24" ht="15.75" x14ac:dyDescent="0.25">
      <c r="A117" s="21" t="s">
        <v>251</v>
      </c>
      <c r="B117" s="21" t="s">
        <v>431</v>
      </c>
      <c r="C117" s="21" t="s">
        <v>273</v>
      </c>
      <c r="D117" s="21" t="s">
        <v>429</v>
      </c>
      <c r="E117" s="21"/>
      <c r="F117" s="21"/>
      <c r="G117" s="18">
        <v>10421</v>
      </c>
      <c r="H117" s="18">
        <v>10425</v>
      </c>
      <c r="I117" s="19">
        <v>10425</v>
      </c>
      <c r="J117" s="19">
        <v>10425</v>
      </c>
      <c r="K117" s="18"/>
      <c r="L117" s="18">
        <v>17191</v>
      </c>
      <c r="M117" s="19"/>
      <c r="N117" s="19">
        <v>0</v>
      </c>
      <c r="O117" s="18"/>
      <c r="P117" s="18">
        <v>0</v>
      </c>
      <c r="Q117" s="19"/>
      <c r="R117" s="19">
        <v>0</v>
      </c>
      <c r="S117" s="18"/>
      <c r="T117" s="18">
        <v>0</v>
      </c>
      <c r="U117" s="19"/>
      <c r="V117" s="19">
        <v>0</v>
      </c>
      <c r="W117" s="18"/>
      <c r="X117" s="18">
        <v>0</v>
      </c>
    </row>
    <row r="118" spans="1:24" ht="15.75" x14ac:dyDescent="0.25">
      <c r="A118" s="21" t="s">
        <v>251</v>
      </c>
      <c r="B118" s="21" t="s">
        <v>431</v>
      </c>
      <c r="C118" s="21" t="s">
        <v>274</v>
      </c>
      <c r="D118" s="21" t="s">
        <v>275</v>
      </c>
      <c r="E118" s="21"/>
      <c r="F118" s="21"/>
      <c r="G118" s="18">
        <v>10484</v>
      </c>
      <c r="H118" s="18">
        <v>10348</v>
      </c>
      <c r="I118" s="19">
        <v>10348</v>
      </c>
      <c r="J118" s="19">
        <v>10348</v>
      </c>
      <c r="K118" s="18"/>
      <c r="L118" s="18">
        <v>17191</v>
      </c>
      <c r="M118" s="19"/>
      <c r="N118" s="19">
        <v>0</v>
      </c>
      <c r="O118" s="18"/>
      <c r="P118" s="18">
        <v>0</v>
      </c>
      <c r="Q118" s="19"/>
      <c r="R118" s="19">
        <v>0</v>
      </c>
      <c r="S118" s="18"/>
      <c r="T118" s="18">
        <v>0</v>
      </c>
      <c r="U118" s="19"/>
      <c r="V118" s="19">
        <v>0</v>
      </c>
      <c r="W118" s="18"/>
      <c r="X118" s="18">
        <v>0</v>
      </c>
    </row>
    <row r="119" spans="1:24" ht="15.75" x14ac:dyDescent="0.25">
      <c r="A119" s="21" t="s">
        <v>251</v>
      </c>
      <c r="B119" s="21" t="s">
        <v>431</v>
      </c>
      <c r="C119" s="21" t="s">
        <v>276</v>
      </c>
      <c r="D119" s="21" t="s">
        <v>277</v>
      </c>
      <c r="E119" s="21"/>
      <c r="F119" s="21"/>
      <c r="G119" s="18">
        <v>11765</v>
      </c>
      <c r="H119" s="18">
        <v>11958</v>
      </c>
      <c r="I119" s="19">
        <v>11958</v>
      </c>
      <c r="J119" s="19">
        <v>11958</v>
      </c>
      <c r="K119" s="18"/>
      <c r="L119" s="18">
        <v>17191</v>
      </c>
      <c r="M119" s="19"/>
      <c r="N119" s="19">
        <v>0</v>
      </c>
      <c r="O119" s="18"/>
      <c r="P119" s="18">
        <v>0</v>
      </c>
      <c r="Q119" s="19"/>
      <c r="R119" s="19">
        <v>0</v>
      </c>
      <c r="S119" s="18"/>
      <c r="T119" s="18">
        <v>0</v>
      </c>
      <c r="U119" s="19"/>
      <c r="V119" s="19">
        <v>0</v>
      </c>
      <c r="W119" s="18"/>
      <c r="X119" s="18">
        <v>0</v>
      </c>
    </row>
    <row r="120" spans="1:24" ht="15.75" x14ac:dyDescent="0.25">
      <c r="A120" s="21" t="s">
        <v>251</v>
      </c>
      <c r="B120" s="21" t="s">
        <v>431</v>
      </c>
      <c r="C120" s="21" t="s">
        <v>278</v>
      </c>
      <c r="D120" s="21" t="s">
        <v>279</v>
      </c>
      <c r="E120" s="21"/>
      <c r="F120" s="21"/>
      <c r="G120" s="18">
        <v>11702</v>
      </c>
      <c r="H120" s="18">
        <v>12084</v>
      </c>
      <c r="I120" s="19">
        <v>12084</v>
      </c>
      <c r="J120" s="19">
        <v>12084</v>
      </c>
      <c r="K120" s="18"/>
      <c r="L120" s="18">
        <v>17191</v>
      </c>
      <c r="M120" s="19"/>
      <c r="N120" s="19">
        <v>0</v>
      </c>
      <c r="O120" s="18"/>
      <c r="P120" s="18">
        <v>0</v>
      </c>
      <c r="Q120" s="19"/>
      <c r="R120" s="19">
        <v>0</v>
      </c>
      <c r="S120" s="18"/>
      <c r="T120" s="18">
        <v>0</v>
      </c>
      <c r="U120" s="19"/>
      <c r="V120" s="19">
        <v>0</v>
      </c>
      <c r="W120" s="18"/>
      <c r="X120" s="18">
        <v>0</v>
      </c>
    </row>
    <row r="121" spans="1:24" ht="15.75" x14ac:dyDescent="0.25">
      <c r="A121" s="21" t="s">
        <v>251</v>
      </c>
      <c r="B121" s="21" t="s">
        <v>431</v>
      </c>
      <c r="C121" s="21" t="s">
        <v>280</v>
      </c>
      <c r="D121" s="21" t="s">
        <v>281</v>
      </c>
      <c r="E121" s="21"/>
      <c r="F121" s="21"/>
      <c r="G121" s="18">
        <v>158302</v>
      </c>
      <c r="H121" s="18">
        <v>157205</v>
      </c>
      <c r="I121" s="19">
        <v>157205</v>
      </c>
      <c r="J121" s="19">
        <v>157205</v>
      </c>
      <c r="K121" s="18"/>
      <c r="L121" s="18">
        <v>68764.5</v>
      </c>
      <c r="M121" s="19"/>
      <c r="N121" s="19">
        <v>0</v>
      </c>
      <c r="O121" s="18"/>
      <c r="P121" s="18">
        <v>0</v>
      </c>
      <c r="Q121" s="19"/>
      <c r="R121" s="19">
        <v>0</v>
      </c>
      <c r="S121" s="18"/>
      <c r="T121" s="18">
        <v>0</v>
      </c>
      <c r="U121" s="19"/>
      <c r="V121" s="19">
        <v>0</v>
      </c>
      <c r="W121" s="18"/>
      <c r="X121" s="18">
        <v>0</v>
      </c>
    </row>
    <row r="122" spans="1:24" ht="15.75" x14ac:dyDescent="0.25">
      <c r="A122" s="21" t="s">
        <v>251</v>
      </c>
      <c r="B122" s="21" t="s">
        <v>431</v>
      </c>
      <c r="C122" s="21" t="s">
        <v>282</v>
      </c>
      <c r="D122" s="21" t="s">
        <v>283</v>
      </c>
      <c r="E122" s="21"/>
      <c r="F122" s="21"/>
      <c r="G122" s="18">
        <v>158433</v>
      </c>
      <c r="H122" s="18">
        <v>156625</v>
      </c>
      <c r="I122" s="19">
        <v>156625</v>
      </c>
      <c r="J122" s="19">
        <v>156625</v>
      </c>
      <c r="K122" s="18"/>
      <c r="L122" s="18">
        <v>68764.5</v>
      </c>
      <c r="M122" s="19"/>
      <c r="N122" s="19">
        <v>0</v>
      </c>
      <c r="O122" s="18"/>
      <c r="P122" s="18">
        <v>0</v>
      </c>
      <c r="Q122" s="19"/>
      <c r="R122" s="19">
        <v>0</v>
      </c>
      <c r="S122" s="18"/>
      <c r="T122" s="18">
        <v>0</v>
      </c>
      <c r="U122" s="19"/>
      <c r="V122" s="19">
        <v>0</v>
      </c>
      <c r="W122" s="18"/>
      <c r="X122" s="18">
        <v>0</v>
      </c>
    </row>
    <row r="123" spans="1:24" ht="15.75" x14ac:dyDescent="0.25">
      <c r="A123" s="21" t="s">
        <v>251</v>
      </c>
      <c r="B123" s="21" t="s">
        <v>431</v>
      </c>
      <c r="C123" s="21" t="s">
        <v>284</v>
      </c>
      <c r="D123" s="21" t="s">
        <v>285</v>
      </c>
      <c r="E123" s="21">
        <v>4.76</v>
      </c>
      <c r="F123" s="21"/>
      <c r="G123" s="18">
        <v>170405</v>
      </c>
      <c r="H123" s="18">
        <v>169521</v>
      </c>
      <c r="I123" s="19">
        <v>169521</v>
      </c>
      <c r="J123" s="19">
        <v>169521</v>
      </c>
      <c r="K123" s="18"/>
      <c r="L123" s="18">
        <v>85956</v>
      </c>
      <c r="M123" s="19"/>
      <c r="N123" s="19">
        <v>0</v>
      </c>
      <c r="O123" s="18"/>
      <c r="P123" s="18">
        <v>0</v>
      </c>
      <c r="Q123" s="19"/>
      <c r="R123" s="19">
        <v>0</v>
      </c>
      <c r="S123" s="18"/>
      <c r="T123" s="18">
        <v>0</v>
      </c>
      <c r="U123" s="19"/>
      <c r="V123" s="19">
        <v>0</v>
      </c>
      <c r="W123" s="18"/>
      <c r="X123" s="18">
        <v>0</v>
      </c>
    </row>
    <row r="124" spans="1:24" ht="15.75" x14ac:dyDescent="0.25">
      <c r="A124" s="21" t="s">
        <v>251</v>
      </c>
      <c r="B124" s="21" t="s">
        <v>432</v>
      </c>
      <c r="C124" s="21" t="s">
        <v>286</v>
      </c>
      <c r="D124" s="21" t="s">
        <v>287</v>
      </c>
      <c r="E124" s="21">
        <v>4.76</v>
      </c>
      <c r="F124" s="21"/>
      <c r="G124" s="18">
        <v>11588</v>
      </c>
      <c r="H124" s="18">
        <v>214359</v>
      </c>
      <c r="I124" s="19">
        <v>214359</v>
      </c>
      <c r="J124" s="19">
        <v>214359</v>
      </c>
      <c r="K124" s="18"/>
      <c r="L124" s="18">
        <v>238306</v>
      </c>
      <c r="M124" s="19"/>
      <c r="N124" s="19">
        <v>238306</v>
      </c>
      <c r="O124" s="18"/>
      <c r="P124" s="18">
        <v>0</v>
      </c>
      <c r="Q124" s="19"/>
      <c r="R124" s="19">
        <v>0</v>
      </c>
      <c r="S124" s="18"/>
      <c r="T124" s="18">
        <v>0</v>
      </c>
      <c r="U124" s="19"/>
      <c r="V124" s="19">
        <v>0</v>
      </c>
      <c r="W124" s="18"/>
      <c r="X124" s="18">
        <v>0</v>
      </c>
    </row>
    <row r="125" spans="1:24" ht="15.75" x14ac:dyDescent="0.25">
      <c r="A125" s="21" t="s">
        <v>251</v>
      </c>
      <c r="B125" s="21" t="s">
        <v>432</v>
      </c>
      <c r="C125" s="21" t="s">
        <v>288</v>
      </c>
      <c r="D125" s="21" t="s">
        <v>289</v>
      </c>
      <c r="E125" s="21">
        <v>4.76</v>
      </c>
      <c r="F125" s="21"/>
      <c r="G125" s="18">
        <v>217205</v>
      </c>
      <c r="H125" s="18">
        <v>213913</v>
      </c>
      <c r="I125" s="19">
        <v>213913</v>
      </c>
      <c r="J125" s="19">
        <v>213913</v>
      </c>
      <c r="K125" s="18"/>
      <c r="L125" s="18">
        <v>238306</v>
      </c>
      <c r="M125" s="19"/>
      <c r="N125" s="19">
        <v>238306</v>
      </c>
      <c r="O125" s="18"/>
      <c r="P125" s="18">
        <v>0</v>
      </c>
      <c r="Q125" s="19"/>
      <c r="R125" s="19">
        <v>0</v>
      </c>
      <c r="S125" s="18"/>
      <c r="T125" s="18">
        <v>0</v>
      </c>
      <c r="U125" s="19"/>
      <c r="V125" s="19">
        <v>0</v>
      </c>
      <c r="W125" s="18"/>
      <c r="X125" s="18">
        <v>0</v>
      </c>
    </row>
    <row r="126" spans="1:24" ht="15.75" x14ac:dyDescent="0.25">
      <c r="A126" s="21" t="s">
        <v>251</v>
      </c>
      <c r="B126" s="21" t="s">
        <v>432</v>
      </c>
      <c r="C126" s="21" t="s">
        <v>290</v>
      </c>
      <c r="D126" s="21" t="s">
        <v>291</v>
      </c>
      <c r="E126" s="21">
        <v>4.76</v>
      </c>
      <c r="F126" s="21"/>
      <c r="G126" s="18">
        <v>218186</v>
      </c>
      <c r="H126" s="18">
        <v>214164</v>
      </c>
      <c r="I126" s="19">
        <v>214164</v>
      </c>
      <c r="J126" s="19">
        <v>214164</v>
      </c>
      <c r="K126" s="18"/>
      <c r="L126" s="18">
        <v>238306</v>
      </c>
      <c r="M126" s="19"/>
      <c r="N126" s="19">
        <v>238306</v>
      </c>
      <c r="O126" s="18"/>
      <c r="P126" s="18">
        <v>0</v>
      </c>
      <c r="Q126" s="19"/>
      <c r="R126" s="19">
        <v>0</v>
      </c>
      <c r="S126" s="18"/>
      <c r="T126" s="18">
        <v>0</v>
      </c>
      <c r="U126" s="19"/>
      <c r="V126" s="19">
        <v>0</v>
      </c>
      <c r="W126" s="18"/>
      <c r="X126" s="18">
        <v>0</v>
      </c>
    </row>
    <row r="127" spans="1:24" ht="15.75" x14ac:dyDescent="0.25">
      <c r="A127" s="21" t="s">
        <v>251</v>
      </c>
      <c r="B127" s="21" t="s">
        <v>432</v>
      </c>
      <c r="C127" s="21" t="s">
        <v>292</v>
      </c>
      <c r="D127" s="21" t="s">
        <v>293</v>
      </c>
      <c r="E127" s="21">
        <v>4.76</v>
      </c>
      <c r="F127" s="21"/>
      <c r="G127" s="18">
        <v>24260</v>
      </c>
      <c r="H127" s="18">
        <v>22368</v>
      </c>
      <c r="I127" s="19">
        <v>22368</v>
      </c>
      <c r="J127" s="19">
        <v>22368</v>
      </c>
      <c r="K127" s="18"/>
      <c r="L127" s="18">
        <v>24773</v>
      </c>
      <c r="M127" s="19"/>
      <c r="N127" s="19">
        <v>24773</v>
      </c>
      <c r="O127" s="18"/>
      <c r="P127" s="18">
        <v>0</v>
      </c>
      <c r="Q127" s="19"/>
      <c r="R127" s="19">
        <v>0</v>
      </c>
      <c r="S127" s="18"/>
      <c r="T127" s="18">
        <v>0</v>
      </c>
      <c r="U127" s="19"/>
      <c r="V127" s="19">
        <v>0</v>
      </c>
      <c r="W127" s="18"/>
      <c r="X127" s="18">
        <v>0</v>
      </c>
    </row>
    <row r="128" spans="1:24" ht="15.75" x14ac:dyDescent="0.25">
      <c r="A128" s="21" t="s">
        <v>251</v>
      </c>
      <c r="B128" s="21" t="s">
        <v>432</v>
      </c>
      <c r="C128" s="21" t="s">
        <v>294</v>
      </c>
      <c r="D128" s="21" t="s">
        <v>295</v>
      </c>
      <c r="E128" s="21">
        <v>4.76</v>
      </c>
      <c r="F128" s="21"/>
      <c r="G128" s="18">
        <v>24220</v>
      </c>
      <c r="H128" s="18">
        <v>22357</v>
      </c>
      <c r="I128" s="19">
        <v>22357</v>
      </c>
      <c r="J128" s="19">
        <v>22357</v>
      </c>
      <c r="K128" s="18"/>
      <c r="L128" s="18">
        <v>24773</v>
      </c>
      <c r="M128" s="19"/>
      <c r="N128" s="19">
        <v>24773</v>
      </c>
      <c r="O128" s="18"/>
      <c r="P128" s="18">
        <v>0</v>
      </c>
      <c r="Q128" s="19"/>
      <c r="R128" s="19">
        <v>0</v>
      </c>
      <c r="S128" s="18"/>
      <c r="T128" s="18">
        <v>0</v>
      </c>
      <c r="U128" s="19"/>
      <c r="V128" s="19">
        <v>0</v>
      </c>
      <c r="W128" s="18"/>
      <c r="X128" s="18">
        <v>0</v>
      </c>
    </row>
    <row r="129" spans="1:24" ht="15.75" x14ac:dyDescent="0.25">
      <c r="A129" s="21" t="s">
        <v>251</v>
      </c>
      <c r="B129" s="21" t="s">
        <v>432</v>
      </c>
      <c r="C129" s="21" t="s">
        <v>296</v>
      </c>
      <c r="D129" s="21" t="s">
        <v>297</v>
      </c>
      <c r="E129" s="21">
        <v>4.76</v>
      </c>
      <c r="F129" s="21"/>
      <c r="G129" s="18">
        <v>24222</v>
      </c>
      <c r="H129" s="18">
        <v>22327</v>
      </c>
      <c r="I129" s="19">
        <v>22327</v>
      </c>
      <c r="J129" s="19">
        <v>22327</v>
      </c>
      <c r="K129" s="18"/>
      <c r="L129" s="18">
        <v>24773</v>
      </c>
      <c r="M129" s="19"/>
      <c r="N129" s="19">
        <v>24773</v>
      </c>
      <c r="O129" s="18"/>
      <c r="P129" s="18">
        <v>0</v>
      </c>
      <c r="Q129" s="19"/>
      <c r="R129" s="19">
        <v>0</v>
      </c>
      <c r="S129" s="18"/>
      <c r="T129" s="18">
        <v>0</v>
      </c>
      <c r="U129" s="19"/>
      <c r="V129" s="19">
        <v>0</v>
      </c>
      <c r="W129" s="18"/>
      <c r="X129" s="18">
        <v>0</v>
      </c>
    </row>
    <row r="130" spans="1:24" ht="15.75" x14ac:dyDescent="0.25">
      <c r="A130" s="21" t="s">
        <v>251</v>
      </c>
      <c r="B130" s="21" t="s">
        <v>432</v>
      </c>
      <c r="C130" s="21" t="s">
        <v>298</v>
      </c>
      <c r="D130" s="21" t="s">
        <v>299</v>
      </c>
      <c r="E130" s="21">
        <v>4.76</v>
      </c>
      <c r="F130" s="21"/>
      <c r="G130" s="18">
        <v>24282</v>
      </c>
      <c r="H130" s="18">
        <v>22393</v>
      </c>
      <c r="I130" s="19">
        <v>22393</v>
      </c>
      <c r="J130" s="19">
        <v>22393</v>
      </c>
      <c r="K130" s="18"/>
      <c r="L130" s="18">
        <v>24773</v>
      </c>
      <c r="M130" s="19"/>
      <c r="N130" s="19">
        <v>24773</v>
      </c>
      <c r="O130" s="18"/>
      <c r="P130" s="18">
        <v>0</v>
      </c>
      <c r="Q130" s="19"/>
      <c r="R130" s="19">
        <v>0</v>
      </c>
      <c r="S130" s="18"/>
      <c r="T130" s="18">
        <v>0</v>
      </c>
      <c r="U130" s="19"/>
      <c r="V130" s="19">
        <v>0</v>
      </c>
      <c r="W130" s="18"/>
      <c r="X130" s="18">
        <v>0</v>
      </c>
    </row>
    <row r="131" spans="1:24" ht="15.75" x14ac:dyDescent="0.25">
      <c r="A131" s="21" t="s">
        <v>251</v>
      </c>
      <c r="B131" s="21" t="s">
        <v>432</v>
      </c>
      <c r="C131" s="21" t="s">
        <v>308</v>
      </c>
      <c r="D131" s="21" t="s">
        <v>309</v>
      </c>
      <c r="E131" s="21">
        <v>4.76</v>
      </c>
      <c r="F131" s="21"/>
      <c r="G131" s="18">
        <v>217905</v>
      </c>
      <c r="H131" s="18">
        <v>214392</v>
      </c>
      <c r="I131" s="19">
        <v>214392</v>
      </c>
      <c r="J131" s="19">
        <v>214392</v>
      </c>
      <c r="K131" s="18"/>
      <c r="L131" s="18">
        <v>238306</v>
      </c>
      <c r="M131" s="19"/>
      <c r="N131" s="19">
        <v>238306</v>
      </c>
      <c r="O131" s="18"/>
      <c r="P131" s="18">
        <v>0</v>
      </c>
      <c r="Q131" s="19"/>
      <c r="R131" s="19">
        <v>0</v>
      </c>
      <c r="S131" s="18"/>
      <c r="T131" s="18">
        <v>0</v>
      </c>
      <c r="U131" s="19"/>
      <c r="V131" s="19">
        <v>0</v>
      </c>
      <c r="W131" s="18"/>
      <c r="X131" s="18">
        <v>0</v>
      </c>
    </row>
    <row r="132" spans="1:24" ht="15.75" x14ac:dyDescent="0.25">
      <c r="A132" s="21" t="s">
        <v>251</v>
      </c>
      <c r="B132" s="21" t="s">
        <v>433</v>
      </c>
      <c r="C132" s="21" t="s">
        <v>300</v>
      </c>
      <c r="D132" s="21" t="s">
        <v>301</v>
      </c>
      <c r="E132" s="21">
        <v>4.76</v>
      </c>
      <c r="F132" s="21"/>
      <c r="G132" s="18">
        <v>210671</v>
      </c>
      <c r="H132" s="18">
        <v>210671</v>
      </c>
      <c r="I132" s="19">
        <v>205524</v>
      </c>
      <c r="J132" s="19">
        <v>205524</v>
      </c>
      <c r="K132" s="18"/>
      <c r="L132" s="18">
        <v>208293</v>
      </c>
      <c r="M132" s="19"/>
      <c r="N132" s="19">
        <v>208293</v>
      </c>
      <c r="O132" s="18"/>
      <c r="P132" s="18">
        <v>0</v>
      </c>
      <c r="Q132" s="19"/>
      <c r="R132" s="19">
        <v>0</v>
      </c>
      <c r="S132" s="18"/>
      <c r="T132" s="18">
        <v>0</v>
      </c>
      <c r="U132" s="19"/>
      <c r="V132" s="19">
        <v>0</v>
      </c>
      <c r="W132" s="18"/>
      <c r="X132" s="18">
        <v>0</v>
      </c>
    </row>
    <row r="133" spans="1:24" ht="15.75" x14ac:dyDescent="0.25">
      <c r="A133" s="21" t="s">
        <v>251</v>
      </c>
      <c r="B133" s="21" t="s">
        <v>433</v>
      </c>
      <c r="C133" s="21" t="s">
        <v>302</v>
      </c>
      <c r="D133" s="21" t="s">
        <v>303</v>
      </c>
      <c r="E133" s="21">
        <v>4.76</v>
      </c>
      <c r="F133" s="21"/>
      <c r="G133" s="18">
        <v>210632</v>
      </c>
      <c r="H133" s="18">
        <v>205421</v>
      </c>
      <c r="I133" s="19">
        <v>205421</v>
      </c>
      <c r="J133" s="19">
        <v>205421</v>
      </c>
      <c r="K133" s="18"/>
      <c r="L133" s="18">
        <v>208293</v>
      </c>
      <c r="M133" s="19"/>
      <c r="N133" s="19">
        <v>208293</v>
      </c>
      <c r="O133" s="18"/>
      <c r="P133" s="18">
        <v>0</v>
      </c>
      <c r="Q133" s="19"/>
      <c r="R133" s="19">
        <v>0</v>
      </c>
      <c r="S133" s="18"/>
      <c r="T133" s="18">
        <v>0</v>
      </c>
      <c r="U133" s="19"/>
      <c r="V133" s="19">
        <v>0</v>
      </c>
      <c r="W133" s="18"/>
      <c r="X133" s="18">
        <v>0</v>
      </c>
    </row>
    <row r="134" spans="1:24" ht="15.75" x14ac:dyDescent="0.25">
      <c r="A134" s="21" t="s">
        <v>251</v>
      </c>
      <c r="B134" s="21" t="s">
        <v>441</v>
      </c>
      <c r="C134" s="21" t="s">
        <v>304</v>
      </c>
      <c r="D134" s="21" t="s">
        <v>305</v>
      </c>
      <c r="E134" s="21"/>
      <c r="F134" s="21"/>
      <c r="G134" s="18">
        <v>55776</v>
      </c>
      <c r="H134" s="18">
        <v>54818</v>
      </c>
      <c r="I134" s="19">
        <v>54818</v>
      </c>
      <c r="J134" s="19">
        <v>54818</v>
      </c>
      <c r="K134" s="18"/>
      <c r="L134" s="18">
        <v>43979</v>
      </c>
      <c r="M134" s="19"/>
      <c r="N134" s="19">
        <v>43979</v>
      </c>
      <c r="O134" s="18"/>
      <c r="P134" s="18">
        <v>0</v>
      </c>
      <c r="Q134" s="19"/>
      <c r="R134" s="19">
        <v>0</v>
      </c>
      <c r="S134" s="18"/>
      <c r="T134" s="18">
        <v>0</v>
      </c>
      <c r="U134" s="19"/>
      <c r="V134" s="19">
        <v>0</v>
      </c>
      <c r="W134" s="18"/>
      <c r="X134" s="18">
        <v>0</v>
      </c>
    </row>
    <row r="135" spans="1:24" ht="15.75" x14ac:dyDescent="0.25">
      <c r="A135" s="21" t="s">
        <v>251</v>
      </c>
      <c r="B135" s="21" t="s">
        <v>441</v>
      </c>
      <c r="C135" s="21" t="s">
        <v>306</v>
      </c>
      <c r="D135" s="21" t="s">
        <v>307</v>
      </c>
      <c r="E135" s="21"/>
      <c r="F135" s="21"/>
      <c r="G135" s="18">
        <v>55902</v>
      </c>
      <c r="H135" s="18">
        <v>52310</v>
      </c>
      <c r="I135" s="19">
        <v>52310</v>
      </c>
      <c r="J135" s="19">
        <v>52310</v>
      </c>
      <c r="K135" s="18"/>
      <c r="L135" s="18">
        <v>43979</v>
      </c>
      <c r="M135" s="19"/>
      <c r="N135" s="19">
        <v>43979</v>
      </c>
      <c r="O135" s="18"/>
      <c r="P135" s="18">
        <v>0</v>
      </c>
      <c r="Q135" s="19"/>
      <c r="R135" s="19">
        <v>0</v>
      </c>
      <c r="S135" s="18"/>
      <c r="T135" s="18">
        <v>0</v>
      </c>
      <c r="U135" s="19"/>
      <c r="V135" s="19">
        <v>0</v>
      </c>
      <c r="W135" s="18"/>
      <c r="X135" s="18">
        <v>0</v>
      </c>
    </row>
    <row r="136" spans="1:24" ht="15.75" x14ac:dyDescent="0.25">
      <c r="A136" s="21" t="s">
        <v>310</v>
      </c>
      <c r="B136" s="21" t="s">
        <v>438</v>
      </c>
      <c r="C136" s="21" t="s">
        <v>311</v>
      </c>
      <c r="D136" s="21" t="s">
        <v>312</v>
      </c>
      <c r="E136" s="21">
        <v>4.76</v>
      </c>
      <c r="F136" s="21"/>
      <c r="G136" s="18">
        <v>38400</v>
      </c>
      <c r="H136" s="18">
        <v>50000</v>
      </c>
      <c r="I136" s="19"/>
      <c r="J136" s="19">
        <v>60000</v>
      </c>
      <c r="K136" s="18"/>
      <c r="L136" s="18">
        <v>54000</v>
      </c>
      <c r="M136" s="19"/>
      <c r="N136" s="19">
        <v>54000</v>
      </c>
      <c r="O136" s="18"/>
      <c r="P136" s="18">
        <v>54000</v>
      </c>
      <c r="Q136" s="19"/>
      <c r="R136" s="19">
        <v>54000</v>
      </c>
      <c r="S136" s="18"/>
      <c r="T136" s="18">
        <v>54000</v>
      </c>
      <c r="U136" s="19"/>
      <c r="V136" s="19">
        <v>0</v>
      </c>
      <c r="W136" s="18"/>
      <c r="X136" s="18">
        <v>0</v>
      </c>
    </row>
    <row r="137" spans="1:24" ht="15.75" x14ac:dyDescent="0.25">
      <c r="A137" s="21" t="s">
        <v>310</v>
      </c>
      <c r="B137" s="21" t="s">
        <v>438</v>
      </c>
      <c r="C137" s="21" t="s">
        <v>323</v>
      </c>
      <c r="D137" s="21" t="s">
        <v>324</v>
      </c>
      <c r="E137" s="21">
        <v>7.96</v>
      </c>
      <c r="F137" s="21"/>
      <c r="G137" s="18">
        <v>43200</v>
      </c>
      <c r="H137" s="18">
        <v>50000</v>
      </c>
      <c r="I137" s="19"/>
      <c r="J137" s="19">
        <v>60000</v>
      </c>
      <c r="K137" s="18"/>
      <c r="L137" s="18">
        <v>54000</v>
      </c>
      <c r="M137" s="19"/>
      <c r="N137" s="19">
        <v>54000</v>
      </c>
      <c r="O137" s="18"/>
      <c r="P137" s="18">
        <v>54000</v>
      </c>
      <c r="Q137" s="19"/>
      <c r="R137" s="19">
        <v>54000</v>
      </c>
      <c r="S137" s="18"/>
      <c r="T137" s="18">
        <v>54000</v>
      </c>
      <c r="U137" s="19"/>
      <c r="V137" s="19">
        <v>0</v>
      </c>
      <c r="W137" s="18"/>
      <c r="X137" s="18">
        <v>0</v>
      </c>
    </row>
    <row r="138" spans="1:24" ht="15.75" x14ac:dyDescent="0.25">
      <c r="A138" s="21" t="s">
        <v>310</v>
      </c>
      <c r="B138" s="21" t="s">
        <v>438</v>
      </c>
      <c r="C138" s="21" t="s">
        <v>313</v>
      </c>
      <c r="D138" s="21" t="s">
        <v>314</v>
      </c>
      <c r="E138" s="21">
        <v>4.76</v>
      </c>
      <c r="F138" s="21"/>
      <c r="G138" s="18">
        <v>42000</v>
      </c>
      <c r="H138" s="18">
        <v>50000</v>
      </c>
      <c r="I138" s="19"/>
      <c r="J138" s="19">
        <v>60000</v>
      </c>
      <c r="K138" s="18"/>
      <c r="L138" s="18">
        <v>54000</v>
      </c>
      <c r="M138" s="19"/>
      <c r="N138" s="19">
        <v>54000</v>
      </c>
      <c r="O138" s="18"/>
      <c r="P138" s="18">
        <v>54000</v>
      </c>
      <c r="Q138" s="19"/>
      <c r="R138" s="19">
        <v>54000</v>
      </c>
      <c r="S138" s="18"/>
      <c r="T138" s="18">
        <v>54000</v>
      </c>
      <c r="U138" s="19"/>
      <c r="V138" s="19">
        <v>0</v>
      </c>
      <c r="W138" s="18"/>
      <c r="X138" s="18">
        <v>0</v>
      </c>
    </row>
    <row r="139" spans="1:24" ht="15.75" x14ac:dyDescent="0.25">
      <c r="A139" s="21" t="s">
        <v>310</v>
      </c>
      <c r="B139" s="21" t="s">
        <v>438</v>
      </c>
      <c r="C139" s="21" t="s">
        <v>320</v>
      </c>
      <c r="D139" s="21" t="s">
        <v>405</v>
      </c>
      <c r="E139" s="21">
        <v>4.76</v>
      </c>
      <c r="F139" s="21"/>
      <c r="G139" s="18">
        <v>42000</v>
      </c>
      <c r="H139" s="18">
        <v>50000</v>
      </c>
      <c r="I139" s="19"/>
      <c r="J139" s="19">
        <v>60000</v>
      </c>
      <c r="K139" s="18"/>
      <c r="L139" s="18">
        <v>54000</v>
      </c>
      <c r="M139" s="19"/>
      <c r="N139" s="19">
        <v>54000</v>
      </c>
      <c r="O139" s="18"/>
      <c r="P139" s="18">
        <v>54000</v>
      </c>
      <c r="Q139" s="19"/>
      <c r="R139" s="19">
        <v>54000</v>
      </c>
      <c r="S139" s="18"/>
      <c r="T139" s="18">
        <v>54000</v>
      </c>
      <c r="U139" s="19"/>
      <c r="V139" s="19">
        <v>0</v>
      </c>
      <c r="W139" s="18"/>
      <c r="X139" s="18">
        <v>0</v>
      </c>
    </row>
    <row r="140" spans="1:24" ht="15.75" x14ac:dyDescent="0.25">
      <c r="A140" s="21" t="s">
        <v>310</v>
      </c>
      <c r="B140" s="21" t="s">
        <v>439</v>
      </c>
      <c r="C140" s="21" t="s">
        <v>315</v>
      </c>
      <c r="D140" s="21" t="s">
        <v>404</v>
      </c>
      <c r="E140" s="21">
        <v>4.76</v>
      </c>
      <c r="F140" s="21"/>
      <c r="G140" s="18">
        <v>17600</v>
      </c>
      <c r="H140" s="18">
        <v>20000</v>
      </c>
      <c r="I140" s="19"/>
      <c r="J140" s="19">
        <v>30000</v>
      </c>
      <c r="K140" s="18"/>
      <c r="L140" s="18">
        <v>27500</v>
      </c>
      <c r="M140" s="19"/>
      <c r="N140" s="19">
        <v>27500</v>
      </c>
      <c r="O140" s="18"/>
      <c r="P140" s="18">
        <v>27500</v>
      </c>
      <c r="Q140" s="19"/>
      <c r="R140" s="19">
        <v>27500</v>
      </c>
      <c r="S140" s="18"/>
      <c r="T140" s="18">
        <v>27500</v>
      </c>
      <c r="U140" s="19"/>
      <c r="V140" s="19">
        <v>0</v>
      </c>
      <c r="W140" s="18"/>
      <c r="X140" s="18">
        <v>0</v>
      </c>
    </row>
    <row r="141" spans="1:24" ht="15.75" x14ac:dyDescent="0.25">
      <c r="A141" s="21" t="s">
        <v>310</v>
      </c>
      <c r="B141" s="21" t="s">
        <v>439</v>
      </c>
      <c r="C141" s="21" t="s">
        <v>316</v>
      </c>
      <c r="D141" s="21" t="s">
        <v>317</v>
      </c>
      <c r="E141" s="21">
        <v>4.76</v>
      </c>
      <c r="F141" s="21"/>
      <c r="G141" s="18">
        <v>16400</v>
      </c>
      <c r="H141" s="18">
        <v>20000</v>
      </c>
      <c r="I141" s="19"/>
      <c r="J141" s="19">
        <v>30000</v>
      </c>
      <c r="K141" s="18"/>
      <c r="L141" s="18">
        <v>27500</v>
      </c>
      <c r="M141" s="19"/>
      <c r="N141" s="19">
        <v>27500</v>
      </c>
      <c r="O141" s="18"/>
      <c r="P141" s="18">
        <v>27500</v>
      </c>
      <c r="Q141" s="19"/>
      <c r="R141" s="19">
        <v>27500</v>
      </c>
      <c r="S141" s="18"/>
      <c r="T141" s="18">
        <v>27500</v>
      </c>
      <c r="U141" s="19"/>
      <c r="V141" s="19">
        <v>0</v>
      </c>
      <c r="W141" s="18"/>
      <c r="X141" s="18">
        <v>0</v>
      </c>
    </row>
    <row r="142" spans="1:24" ht="15.75" x14ac:dyDescent="0.25">
      <c r="A142" s="21" t="s">
        <v>310</v>
      </c>
      <c r="B142" s="21" t="s">
        <v>439</v>
      </c>
      <c r="C142" s="21" t="s">
        <v>318</v>
      </c>
      <c r="D142" s="21" t="s">
        <v>319</v>
      </c>
      <c r="E142" s="21">
        <v>4.76</v>
      </c>
      <c r="F142" s="21"/>
      <c r="G142" s="18">
        <v>16800</v>
      </c>
      <c r="H142" s="18">
        <v>20000</v>
      </c>
      <c r="I142" s="19"/>
      <c r="J142" s="19">
        <v>30000</v>
      </c>
      <c r="K142" s="18"/>
      <c r="L142" s="18">
        <v>27500</v>
      </c>
      <c r="M142" s="19"/>
      <c r="N142" s="19">
        <v>27500</v>
      </c>
      <c r="O142" s="18"/>
      <c r="P142" s="18">
        <v>27500</v>
      </c>
      <c r="Q142" s="19"/>
      <c r="R142" s="19">
        <v>27500</v>
      </c>
      <c r="S142" s="18"/>
      <c r="T142" s="18">
        <v>27500</v>
      </c>
      <c r="U142" s="19"/>
      <c r="V142" s="19">
        <v>0</v>
      </c>
      <c r="W142" s="18"/>
      <c r="X142" s="18">
        <v>0</v>
      </c>
    </row>
    <row r="143" spans="1:24" ht="15.75" x14ac:dyDescent="0.25">
      <c r="A143" s="21" t="s">
        <v>310</v>
      </c>
      <c r="B143" s="21" t="s">
        <v>439</v>
      </c>
      <c r="C143" s="21" t="s">
        <v>321</v>
      </c>
      <c r="D143" s="21" t="s">
        <v>322</v>
      </c>
      <c r="E143" s="21">
        <v>4.76</v>
      </c>
      <c r="F143" s="21"/>
      <c r="G143" s="18">
        <v>18800</v>
      </c>
      <c r="H143" s="18">
        <v>20000</v>
      </c>
      <c r="I143" s="19"/>
      <c r="J143" s="19">
        <v>30000</v>
      </c>
      <c r="K143" s="18"/>
      <c r="L143" s="18">
        <v>27500</v>
      </c>
      <c r="M143" s="19"/>
      <c r="N143" s="19">
        <v>27500</v>
      </c>
      <c r="O143" s="18"/>
      <c r="P143" s="18">
        <v>27500</v>
      </c>
      <c r="Q143" s="19"/>
      <c r="R143" s="19">
        <v>27500</v>
      </c>
      <c r="S143" s="18"/>
      <c r="T143" s="18">
        <v>27500</v>
      </c>
      <c r="U143" s="19"/>
      <c r="V143" s="19">
        <v>0</v>
      </c>
      <c r="W143" s="18"/>
      <c r="X143" s="18">
        <v>0</v>
      </c>
    </row>
    <row r="144" spans="1:24" ht="15.75" x14ac:dyDescent="0.25">
      <c r="A144" s="21" t="s">
        <v>310</v>
      </c>
      <c r="B144" s="21" t="s">
        <v>440</v>
      </c>
      <c r="C144" s="21" t="s">
        <v>325</v>
      </c>
      <c r="D144" s="21" t="s">
        <v>406</v>
      </c>
      <c r="E144" s="21">
        <v>4.76</v>
      </c>
      <c r="F144" s="21"/>
      <c r="G144" s="18">
        <v>21800</v>
      </c>
      <c r="H144" s="18">
        <v>30000</v>
      </c>
      <c r="I144" s="19"/>
      <c r="J144" s="19">
        <v>30000</v>
      </c>
      <c r="K144" s="18"/>
      <c r="L144" s="18">
        <v>26500</v>
      </c>
      <c r="M144" s="19"/>
      <c r="N144" s="19">
        <v>26500</v>
      </c>
      <c r="O144" s="18"/>
      <c r="P144" s="18">
        <v>26500</v>
      </c>
      <c r="Q144" s="19"/>
      <c r="R144" s="19">
        <v>26500</v>
      </c>
      <c r="S144" s="18"/>
      <c r="T144" s="18">
        <v>26500</v>
      </c>
      <c r="U144" s="19"/>
      <c r="V144" s="19">
        <v>0</v>
      </c>
      <c r="W144" s="18"/>
      <c r="X144" s="18">
        <v>0</v>
      </c>
    </row>
    <row r="145" spans="1:24" ht="15.75" x14ac:dyDescent="0.25">
      <c r="A145" s="21" t="s">
        <v>310</v>
      </c>
      <c r="B145" s="21" t="s">
        <v>440</v>
      </c>
      <c r="C145" s="21" t="s">
        <v>326</v>
      </c>
      <c r="D145" s="21" t="s">
        <v>327</v>
      </c>
      <c r="E145" s="21">
        <v>4.76</v>
      </c>
      <c r="F145" s="21"/>
      <c r="G145" s="18">
        <v>19600</v>
      </c>
      <c r="H145" s="18">
        <v>30000</v>
      </c>
      <c r="I145" s="19"/>
      <c r="J145" s="19">
        <v>30000</v>
      </c>
      <c r="K145" s="18"/>
      <c r="L145" s="18">
        <v>26500</v>
      </c>
      <c r="M145" s="19"/>
      <c r="N145" s="19">
        <v>26500</v>
      </c>
      <c r="O145" s="18"/>
      <c r="P145" s="18">
        <v>26500</v>
      </c>
      <c r="Q145" s="19"/>
      <c r="R145" s="19">
        <v>26500</v>
      </c>
      <c r="S145" s="18"/>
      <c r="T145" s="18">
        <v>26500</v>
      </c>
      <c r="U145" s="19"/>
      <c r="V145" s="19">
        <v>0</v>
      </c>
      <c r="W145" s="18"/>
      <c r="X145" s="18">
        <v>0</v>
      </c>
    </row>
    <row r="146" spans="1:24" ht="15.75" x14ac:dyDescent="0.25">
      <c r="A146" s="21" t="s">
        <v>310</v>
      </c>
      <c r="B146" s="21" t="s">
        <v>440</v>
      </c>
      <c r="C146" s="21" t="s">
        <v>328</v>
      </c>
      <c r="D146" s="21" t="s">
        <v>329</v>
      </c>
      <c r="E146" s="21">
        <v>4.76</v>
      </c>
      <c r="F146" s="21"/>
      <c r="G146" s="18">
        <v>21400</v>
      </c>
      <c r="H146" s="18">
        <v>30000</v>
      </c>
      <c r="I146" s="19"/>
      <c r="J146" s="19">
        <v>30000</v>
      </c>
      <c r="K146" s="18"/>
      <c r="L146" s="18">
        <v>26500</v>
      </c>
      <c r="M146" s="19"/>
      <c r="N146" s="19">
        <v>26500</v>
      </c>
      <c r="O146" s="18"/>
      <c r="P146" s="18">
        <v>26500</v>
      </c>
      <c r="Q146" s="19"/>
      <c r="R146" s="19">
        <v>26500</v>
      </c>
      <c r="S146" s="18"/>
      <c r="T146" s="18">
        <v>26500</v>
      </c>
      <c r="U146" s="19"/>
      <c r="V146" s="19">
        <v>0</v>
      </c>
      <c r="W146" s="18"/>
      <c r="X146" s="18">
        <v>0</v>
      </c>
    </row>
    <row r="147" spans="1:24" ht="15.75" x14ac:dyDescent="0.25">
      <c r="A147" s="21" t="s">
        <v>310</v>
      </c>
      <c r="B147" s="21" t="s">
        <v>440</v>
      </c>
      <c r="C147" s="21" t="s">
        <v>330</v>
      </c>
      <c r="D147" s="21" t="s">
        <v>331</v>
      </c>
      <c r="E147" s="21">
        <v>4.76</v>
      </c>
      <c r="F147" s="21"/>
      <c r="G147" s="18">
        <v>22000</v>
      </c>
      <c r="H147" s="18">
        <v>30000</v>
      </c>
      <c r="I147" s="19"/>
      <c r="J147" s="19">
        <v>30000</v>
      </c>
      <c r="K147" s="18"/>
      <c r="L147" s="18">
        <v>26500</v>
      </c>
      <c r="M147" s="19"/>
      <c r="N147" s="19">
        <v>26500</v>
      </c>
      <c r="O147" s="18"/>
      <c r="P147" s="18">
        <v>26500</v>
      </c>
      <c r="Q147" s="19"/>
      <c r="R147" s="19">
        <v>26500</v>
      </c>
      <c r="S147" s="18"/>
      <c r="T147" s="18">
        <v>26500</v>
      </c>
      <c r="U147" s="19"/>
      <c r="V147" s="19">
        <v>0</v>
      </c>
      <c r="W147" s="18"/>
      <c r="X147" s="18">
        <v>0</v>
      </c>
    </row>
    <row r="148" spans="1:24" ht="15.75" x14ac:dyDescent="0.25">
      <c r="A148" s="21" t="s">
        <v>310</v>
      </c>
      <c r="B148" s="21" t="s">
        <v>434</v>
      </c>
      <c r="C148" s="21" t="s">
        <v>332</v>
      </c>
      <c r="D148" s="21" t="s">
        <v>407</v>
      </c>
      <c r="E148" s="21">
        <v>4.76</v>
      </c>
      <c r="F148" s="21"/>
      <c r="G148" s="18">
        <v>0</v>
      </c>
      <c r="H148" s="18">
        <v>4995.4108502463532</v>
      </c>
      <c r="I148" s="19"/>
      <c r="J148" s="19">
        <v>17515.652000762144</v>
      </c>
      <c r="K148" s="18"/>
      <c r="L148" s="18">
        <v>19615.145347931539</v>
      </c>
      <c r="M148" s="19"/>
      <c r="N148" s="19">
        <v>19571.992976294991</v>
      </c>
      <c r="O148" s="18"/>
      <c r="P148" s="18">
        <v>0</v>
      </c>
      <c r="Q148" s="19"/>
      <c r="R148" s="19">
        <v>0</v>
      </c>
      <c r="S148" s="18"/>
      <c r="T148" s="18">
        <v>0</v>
      </c>
      <c r="U148" s="19"/>
      <c r="V148" s="19">
        <v>0</v>
      </c>
      <c r="W148" s="18"/>
      <c r="X148" s="18">
        <v>0</v>
      </c>
    </row>
    <row r="149" spans="1:24" ht="15.75" x14ac:dyDescent="0.25">
      <c r="A149" s="21" t="s">
        <v>310</v>
      </c>
      <c r="B149" s="21" t="s">
        <v>434</v>
      </c>
      <c r="C149" s="21" t="s">
        <v>333</v>
      </c>
      <c r="D149" s="21" t="s">
        <v>391</v>
      </c>
      <c r="E149" s="21">
        <v>4.76</v>
      </c>
      <c r="F149" s="21"/>
      <c r="G149" s="18">
        <v>0</v>
      </c>
      <c r="H149" s="18">
        <v>4995.4108502463532</v>
      </c>
      <c r="I149" s="19"/>
      <c r="J149" s="19">
        <v>17515.652000762144</v>
      </c>
      <c r="K149" s="18"/>
      <c r="L149" s="18">
        <v>19615.145347931539</v>
      </c>
      <c r="M149" s="19"/>
      <c r="N149" s="19">
        <v>19571.992976294991</v>
      </c>
      <c r="O149" s="18"/>
      <c r="P149" s="18">
        <v>0</v>
      </c>
      <c r="Q149" s="19"/>
      <c r="R149" s="19">
        <v>0</v>
      </c>
      <c r="S149" s="18"/>
      <c r="T149" s="18">
        <v>0</v>
      </c>
      <c r="U149" s="19"/>
      <c r="V149" s="19">
        <v>0</v>
      </c>
      <c r="W149" s="18"/>
      <c r="X149" s="18">
        <v>0</v>
      </c>
    </row>
    <row r="150" spans="1:24" ht="15.75" x14ac:dyDescent="0.25">
      <c r="A150" s="21" t="s">
        <v>310</v>
      </c>
      <c r="B150" s="21" t="s">
        <v>434</v>
      </c>
      <c r="C150" s="21" t="s">
        <v>337</v>
      </c>
      <c r="D150" s="21" t="s">
        <v>410</v>
      </c>
      <c r="E150" s="21">
        <v>7.96</v>
      </c>
      <c r="F150" s="21"/>
      <c r="G150" s="18">
        <v>0</v>
      </c>
      <c r="H150" s="18">
        <v>4995.4108502463532</v>
      </c>
      <c r="I150" s="19"/>
      <c r="J150" s="19">
        <v>17515.652000762144</v>
      </c>
      <c r="K150" s="18"/>
      <c r="L150" s="18">
        <v>19615.145347931539</v>
      </c>
      <c r="M150" s="19"/>
      <c r="N150" s="19">
        <v>19571.992976294991</v>
      </c>
      <c r="O150" s="18"/>
      <c r="P150" s="18">
        <v>0</v>
      </c>
      <c r="Q150" s="19"/>
      <c r="R150" s="19">
        <v>0</v>
      </c>
      <c r="S150" s="18"/>
      <c r="T150" s="18">
        <v>0</v>
      </c>
      <c r="U150" s="19"/>
      <c r="V150" s="19">
        <v>0</v>
      </c>
      <c r="W150" s="18"/>
      <c r="X150" s="18">
        <v>0</v>
      </c>
    </row>
    <row r="151" spans="1:24" ht="15.75" x14ac:dyDescent="0.25">
      <c r="A151" s="21" t="s">
        <v>310</v>
      </c>
      <c r="B151" s="21" t="s">
        <v>434</v>
      </c>
      <c r="C151" s="21" t="s">
        <v>338</v>
      </c>
      <c r="D151" s="21" t="s">
        <v>411</v>
      </c>
      <c r="E151" s="21">
        <v>4.76</v>
      </c>
      <c r="F151" s="21" t="s">
        <v>386</v>
      </c>
      <c r="G151" s="18">
        <v>0</v>
      </c>
      <c r="H151" s="18">
        <v>4995.4108502463532</v>
      </c>
      <c r="I151" s="19"/>
      <c r="J151" s="19">
        <v>17515.652000762144</v>
      </c>
      <c r="K151" s="18"/>
      <c r="L151" s="18">
        <v>19615.145347931539</v>
      </c>
      <c r="M151" s="19"/>
      <c r="N151" s="19">
        <v>19571.992976294991</v>
      </c>
      <c r="O151" s="18"/>
      <c r="P151" s="18">
        <v>0</v>
      </c>
      <c r="Q151" s="19"/>
      <c r="R151" s="19">
        <v>0</v>
      </c>
      <c r="S151" s="18"/>
      <c r="T151" s="18">
        <v>0</v>
      </c>
      <c r="U151" s="19"/>
      <c r="V151" s="19">
        <v>0</v>
      </c>
      <c r="W151" s="18"/>
      <c r="X151" s="18">
        <v>0</v>
      </c>
    </row>
    <row r="152" spans="1:24" ht="15.75" x14ac:dyDescent="0.25">
      <c r="A152" s="21" t="s">
        <v>310</v>
      </c>
      <c r="B152" s="21" t="s">
        <v>434</v>
      </c>
      <c r="C152" s="21" t="s">
        <v>339</v>
      </c>
      <c r="D152" s="21" t="s">
        <v>443</v>
      </c>
      <c r="E152" s="21">
        <v>4.76</v>
      </c>
      <c r="F152" s="21" t="s">
        <v>387</v>
      </c>
      <c r="G152" s="18">
        <v>0</v>
      </c>
      <c r="H152" s="18">
        <v>4995.4108502463532</v>
      </c>
      <c r="I152" s="19"/>
      <c r="J152" s="19">
        <v>17515.652000762144</v>
      </c>
      <c r="K152" s="18"/>
      <c r="L152" s="18">
        <v>19615.145347931539</v>
      </c>
      <c r="M152" s="19"/>
      <c r="N152" s="19">
        <v>19571.992976294991</v>
      </c>
      <c r="O152" s="18"/>
      <c r="P152" s="18">
        <v>0</v>
      </c>
      <c r="Q152" s="19"/>
      <c r="R152" s="19">
        <v>0</v>
      </c>
      <c r="S152" s="18"/>
      <c r="T152" s="18">
        <v>0</v>
      </c>
      <c r="U152" s="19"/>
      <c r="V152" s="19">
        <v>0</v>
      </c>
      <c r="W152" s="18"/>
      <c r="X152" s="18">
        <v>0</v>
      </c>
    </row>
    <row r="153" spans="1:24" ht="15.75" x14ac:dyDescent="0.25">
      <c r="A153" s="21" t="s">
        <v>310</v>
      </c>
      <c r="B153" s="21" t="s">
        <v>436</v>
      </c>
      <c r="C153" s="21" t="s">
        <v>340</v>
      </c>
      <c r="D153" s="21" t="s">
        <v>412</v>
      </c>
      <c r="E153" s="21">
        <v>4.76</v>
      </c>
      <c r="F153" s="21" t="s">
        <v>388</v>
      </c>
      <c r="G153" s="18">
        <v>150</v>
      </c>
      <c r="H153" s="18">
        <v>15435.378492835003</v>
      </c>
      <c r="I153" s="19"/>
      <c r="J153" s="19">
        <v>37963.28570506566</v>
      </c>
      <c r="K153" s="18"/>
      <c r="L153" s="18">
        <v>39544.591507867808</v>
      </c>
      <c r="M153" s="19"/>
      <c r="N153" s="19">
        <v>34999.999999999993</v>
      </c>
      <c r="O153" s="18"/>
      <c r="P153" s="18">
        <v>0</v>
      </c>
      <c r="Q153" s="19"/>
      <c r="R153" s="19">
        <v>0</v>
      </c>
      <c r="S153" s="18"/>
      <c r="T153" s="18">
        <v>0</v>
      </c>
      <c r="U153" s="19"/>
      <c r="V153" s="19">
        <v>0</v>
      </c>
      <c r="W153" s="18"/>
      <c r="X153" s="18">
        <v>0</v>
      </c>
    </row>
    <row r="154" spans="1:24" ht="15.75" x14ac:dyDescent="0.25">
      <c r="A154" s="21" t="s">
        <v>310</v>
      </c>
      <c r="B154" s="21" t="s">
        <v>436</v>
      </c>
      <c r="C154" s="21" t="s">
        <v>341</v>
      </c>
      <c r="D154" s="21" t="s">
        <v>413</v>
      </c>
      <c r="E154" s="21">
        <v>4.76</v>
      </c>
      <c r="F154" s="21" t="s">
        <v>388</v>
      </c>
      <c r="G154" s="18">
        <v>0</v>
      </c>
      <c r="H154" s="18">
        <v>15435.378492835003</v>
      </c>
      <c r="I154" s="19"/>
      <c r="J154" s="19">
        <v>37963.28570506566</v>
      </c>
      <c r="K154" s="18"/>
      <c r="L154" s="18">
        <v>39544.591507867808</v>
      </c>
      <c r="M154" s="19"/>
      <c r="N154" s="19">
        <v>34999.999999999993</v>
      </c>
      <c r="O154" s="18"/>
      <c r="P154" s="18">
        <v>0</v>
      </c>
      <c r="Q154" s="19"/>
      <c r="R154" s="19">
        <v>0</v>
      </c>
      <c r="S154" s="18"/>
      <c r="T154" s="18">
        <v>0</v>
      </c>
      <c r="U154" s="19"/>
      <c r="V154" s="19">
        <v>0</v>
      </c>
      <c r="W154" s="18"/>
      <c r="X154" s="18">
        <v>0</v>
      </c>
    </row>
    <row r="155" spans="1:24" ht="15.75" x14ac:dyDescent="0.25">
      <c r="A155" s="21" t="s">
        <v>310</v>
      </c>
      <c r="B155" s="21" t="s">
        <v>436</v>
      </c>
      <c r="C155" s="21" t="s">
        <v>342</v>
      </c>
      <c r="D155" s="21" t="s">
        <v>414</v>
      </c>
      <c r="E155" s="21">
        <v>4.76</v>
      </c>
      <c r="F155" s="21" t="s">
        <v>389</v>
      </c>
      <c r="G155" s="18">
        <v>20400</v>
      </c>
      <c r="H155" s="18">
        <v>15435.378492835003</v>
      </c>
      <c r="I155" s="19"/>
      <c r="J155" s="19">
        <v>37963.28570506566</v>
      </c>
      <c r="K155" s="18"/>
      <c r="L155" s="18">
        <v>39544.591507867808</v>
      </c>
      <c r="M155" s="19"/>
      <c r="N155" s="19">
        <v>34999.999999999993</v>
      </c>
      <c r="O155" s="18"/>
      <c r="P155" s="18">
        <v>0</v>
      </c>
      <c r="Q155" s="19"/>
      <c r="R155" s="19">
        <v>0</v>
      </c>
      <c r="S155" s="18"/>
      <c r="T155" s="18">
        <v>0</v>
      </c>
      <c r="U155" s="19"/>
      <c r="V155" s="19">
        <v>0</v>
      </c>
      <c r="W155" s="18"/>
      <c r="X155" s="18">
        <v>0</v>
      </c>
    </row>
    <row r="156" spans="1:24" ht="15.75" x14ac:dyDescent="0.25">
      <c r="A156" s="21" t="s">
        <v>310</v>
      </c>
      <c r="B156" s="21" t="s">
        <v>436</v>
      </c>
      <c r="C156" s="21" t="s">
        <v>343</v>
      </c>
      <c r="D156" s="21" t="s">
        <v>415</v>
      </c>
      <c r="E156" s="21">
        <v>4.76</v>
      </c>
      <c r="F156" s="21" t="s">
        <v>385</v>
      </c>
      <c r="G156" s="18">
        <v>18900</v>
      </c>
      <c r="H156" s="18">
        <v>15435.378492835003</v>
      </c>
      <c r="I156" s="19"/>
      <c r="J156" s="19">
        <v>37963.28570506566</v>
      </c>
      <c r="K156" s="18"/>
      <c r="L156" s="18">
        <v>39544.591507867808</v>
      </c>
      <c r="M156" s="19"/>
      <c r="N156" s="19">
        <v>34999.999999999993</v>
      </c>
      <c r="O156" s="18"/>
      <c r="P156" s="18">
        <v>0</v>
      </c>
      <c r="Q156" s="19"/>
      <c r="R156" s="19">
        <v>0</v>
      </c>
      <c r="S156" s="18"/>
      <c r="T156" s="18">
        <v>0</v>
      </c>
      <c r="U156" s="19"/>
      <c r="V156" s="19">
        <v>0</v>
      </c>
      <c r="W156" s="18"/>
      <c r="X156" s="18">
        <v>0</v>
      </c>
    </row>
    <row r="157" spans="1:24" ht="15.75" x14ac:dyDescent="0.25">
      <c r="A157" s="21" t="s">
        <v>310</v>
      </c>
      <c r="B157" s="21" t="s">
        <v>436</v>
      </c>
      <c r="C157" s="21" t="s">
        <v>344</v>
      </c>
      <c r="D157" s="21" t="s">
        <v>416</v>
      </c>
      <c r="E157" s="21">
        <v>4.76</v>
      </c>
      <c r="F157" s="21" t="s">
        <v>390</v>
      </c>
      <c r="G157" s="18">
        <v>18900</v>
      </c>
      <c r="H157" s="18">
        <v>15435.378492835003</v>
      </c>
      <c r="I157" s="19"/>
      <c r="J157" s="19">
        <v>37963.28570506566</v>
      </c>
      <c r="K157" s="18"/>
      <c r="L157" s="18">
        <v>39544.591507867808</v>
      </c>
      <c r="M157" s="19"/>
      <c r="N157" s="19">
        <v>34999.999999999993</v>
      </c>
      <c r="O157" s="18"/>
      <c r="P157" s="18">
        <v>0</v>
      </c>
      <c r="Q157" s="19"/>
      <c r="R157" s="19">
        <v>0</v>
      </c>
      <c r="S157" s="18"/>
      <c r="T157" s="18">
        <v>0</v>
      </c>
      <c r="U157" s="19"/>
      <c r="V157" s="19">
        <v>0</v>
      </c>
      <c r="W157" s="18"/>
      <c r="X157" s="18">
        <v>0</v>
      </c>
    </row>
    <row r="158" spans="1:24" ht="15.75" x14ac:dyDescent="0.25">
      <c r="A158" s="21" t="s">
        <v>310</v>
      </c>
      <c r="B158" s="21" t="s">
        <v>436</v>
      </c>
      <c r="C158" s="21" t="s">
        <v>345</v>
      </c>
      <c r="D158" s="21" t="s">
        <v>417</v>
      </c>
      <c r="E158" s="21">
        <v>4.76</v>
      </c>
      <c r="F158" s="21" t="s">
        <v>385</v>
      </c>
      <c r="G158" s="18">
        <v>18600</v>
      </c>
      <c r="H158" s="18">
        <v>15435.378492835003</v>
      </c>
      <c r="I158" s="19"/>
      <c r="J158" s="19">
        <v>37963.28570506566</v>
      </c>
      <c r="K158" s="18"/>
      <c r="L158" s="18">
        <v>39544.591507867808</v>
      </c>
      <c r="M158" s="19"/>
      <c r="N158" s="19">
        <v>34999.999999999993</v>
      </c>
      <c r="O158" s="18"/>
      <c r="P158" s="18">
        <v>0</v>
      </c>
      <c r="Q158" s="19"/>
      <c r="R158" s="19">
        <v>0</v>
      </c>
      <c r="S158" s="18"/>
      <c r="T158" s="18">
        <v>0</v>
      </c>
      <c r="U158" s="19"/>
      <c r="V158" s="19">
        <v>0</v>
      </c>
      <c r="W158" s="18"/>
      <c r="X158" s="18">
        <v>0</v>
      </c>
    </row>
    <row r="159" spans="1:24" ht="15.75" x14ac:dyDescent="0.25">
      <c r="A159" s="21" t="s">
        <v>310</v>
      </c>
      <c r="B159" s="21" t="s">
        <v>436</v>
      </c>
      <c r="C159" s="21" t="s">
        <v>346</v>
      </c>
      <c r="D159" s="21" t="s">
        <v>418</v>
      </c>
      <c r="E159" s="21">
        <v>7.96</v>
      </c>
      <c r="F159" s="21"/>
      <c r="G159" s="18">
        <v>0</v>
      </c>
      <c r="H159" s="18">
        <v>15435.378492835003</v>
      </c>
      <c r="I159" s="19"/>
      <c r="J159" s="19">
        <v>37963.28570506566</v>
      </c>
      <c r="K159" s="18"/>
      <c r="L159" s="18">
        <v>39544.591507867808</v>
      </c>
      <c r="M159" s="19"/>
      <c r="N159" s="19">
        <v>34999.999999999993</v>
      </c>
      <c r="O159" s="18"/>
      <c r="P159" s="18">
        <v>0</v>
      </c>
      <c r="Q159" s="19"/>
      <c r="R159" s="19">
        <v>0</v>
      </c>
      <c r="S159" s="18"/>
      <c r="T159" s="18">
        <v>0</v>
      </c>
      <c r="U159" s="19"/>
      <c r="V159" s="19">
        <v>0</v>
      </c>
      <c r="W159" s="18"/>
      <c r="X159" s="18">
        <v>0</v>
      </c>
    </row>
    <row r="160" spans="1:24" ht="15.75" x14ac:dyDescent="0.25">
      <c r="A160" s="21" t="s">
        <v>310</v>
      </c>
      <c r="B160" s="21" t="s">
        <v>436</v>
      </c>
      <c r="C160" s="21" t="s">
        <v>347</v>
      </c>
      <c r="D160" s="21" t="s">
        <v>419</v>
      </c>
      <c r="E160" s="21">
        <v>7.96</v>
      </c>
      <c r="F160" s="21"/>
      <c r="G160" s="18">
        <v>0</v>
      </c>
      <c r="H160" s="18">
        <v>15435.378492835003</v>
      </c>
      <c r="I160" s="19"/>
      <c r="J160" s="19">
        <v>37963.28570506566</v>
      </c>
      <c r="K160" s="18"/>
      <c r="L160" s="18">
        <v>39544.591507867808</v>
      </c>
      <c r="M160" s="19"/>
      <c r="N160" s="19">
        <v>34999.999999999993</v>
      </c>
      <c r="O160" s="18"/>
      <c r="P160" s="18">
        <v>0</v>
      </c>
      <c r="Q160" s="19"/>
      <c r="R160" s="19">
        <v>0</v>
      </c>
      <c r="S160" s="18"/>
      <c r="T160" s="18">
        <v>0</v>
      </c>
      <c r="U160" s="19"/>
      <c r="V160" s="19">
        <v>0</v>
      </c>
      <c r="W160" s="18"/>
      <c r="X160" s="18">
        <v>0</v>
      </c>
    </row>
    <row r="161" spans="1:24" ht="15.75" x14ac:dyDescent="0.25">
      <c r="A161" s="21" t="s">
        <v>310</v>
      </c>
      <c r="B161" s="21" t="s">
        <v>435</v>
      </c>
      <c r="C161" s="21" t="s">
        <v>334</v>
      </c>
      <c r="D161" s="21"/>
      <c r="E161" s="21">
        <v>7.96</v>
      </c>
      <c r="F161" s="21" t="s">
        <v>384</v>
      </c>
      <c r="G161" s="18">
        <v>0</v>
      </c>
      <c r="H161" s="18">
        <v>10439.96764258865</v>
      </c>
      <c r="I161" s="19"/>
      <c r="J161" s="19">
        <v>20447.63370430352</v>
      </c>
      <c r="K161" s="18"/>
      <c r="L161" s="18">
        <v>19929.446159936266</v>
      </c>
      <c r="M161" s="19"/>
      <c r="N161" s="19">
        <v>15428.007023705004</v>
      </c>
      <c r="O161" s="18"/>
      <c r="P161" s="18">
        <v>0</v>
      </c>
      <c r="Q161" s="19"/>
      <c r="R161" s="19">
        <v>0</v>
      </c>
      <c r="S161" s="18"/>
      <c r="T161" s="18">
        <v>0</v>
      </c>
      <c r="U161" s="19"/>
      <c r="V161" s="19">
        <v>0</v>
      </c>
      <c r="W161" s="18"/>
      <c r="X161" s="18">
        <v>0</v>
      </c>
    </row>
    <row r="162" spans="1:24" ht="15.75" x14ac:dyDescent="0.25">
      <c r="A162" s="21" t="s">
        <v>310</v>
      </c>
      <c r="B162" s="21" t="s">
        <v>435</v>
      </c>
      <c r="C162" s="21" t="s">
        <v>335</v>
      </c>
      <c r="D162" s="21" t="s">
        <v>408</v>
      </c>
      <c r="E162" s="21">
        <v>7.96</v>
      </c>
      <c r="F162" s="21" t="s">
        <v>385</v>
      </c>
      <c r="G162" s="18">
        <v>200</v>
      </c>
      <c r="H162" s="18">
        <v>10439.96764258865</v>
      </c>
      <c r="I162" s="19"/>
      <c r="J162" s="19">
        <v>20447.63370430352</v>
      </c>
      <c r="K162" s="18"/>
      <c r="L162" s="18">
        <v>19929.446159936266</v>
      </c>
      <c r="M162" s="19"/>
      <c r="N162" s="19">
        <v>15428.007023705004</v>
      </c>
      <c r="O162" s="18"/>
      <c r="P162" s="18">
        <v>0</v>
      </c>
      <c r="Q162" s="19"/>
      <c r="R162" s="19">
        <v>0</v>
      </c>
      <c r="S162" s="18"/>
      <c r="T162" s="18">
        <v>0</v>
      </c>
      <c r="U162" s="19"/>
      <c r="V162" s="19">
        <v>0</v>
      </c>
      <c r="W162" s="18"/>
      <c r="X162" s="18">
        <v>0</v>
      </c>
    </row>
    <row r="163" spans="1:24" ht="15.75" x14ac:dyDescent="0.25">
      <c r="A163" s="21" t="s">
        <v>310</v>
      </c>
      <c r="B163" s="21" t="s">
        <v>435</v>
      </c>
      <c r="C163" s="21" t="s">
        <v>336</v>
      </c>
      <c r="D163" s="21" t="s">
        <v>409</v>
      </c>
      <c r="E163" s="21">
        <v>7.96</v>
      </c>
      <c r="F163" s="21" t="s">
        <v>385</v>
      </c>
      <c r="G163" s="18">
        <v>200</v>
      </c>
      <c r="H163" s="18">
        <v>10439.96764258865</v>
      </c>
      <c r="I163" s="19"/>
      <c r="J163" s="19">
        <v>20447.63370430352</v>
      </c>
      <c r="K163" s="18"/>
      <c r="L163" s="18">
        <v>19929.446159936266</v>
      </c>
      <c r="M163" s="19"/>
      <c r="N163" s="19">
        <v>15428.007023705004</v>
      </c>
      <c r="O163" s="18"/>
      <c r="P163" s="18">
        <v>0</v>
      </c>
      <c r="Q163" s="19"/>
      <c r="R163" s="19">
        <v>0</v>
      </c>
      <c r="S163" s="18"/>
      <c r="T163" s="18">
        <v>0</v>
      </c>
      <c r="U163" s="19"/>
      <c r="V163" s="19">
        <v>0</v>
      </c>
      <c r="W163" s="18"/>
      <c r="X163" s="18">
        <v>0</v>
      </c>
    </row>
    <row r="164" spans="1:24" ht="15.75" x14ac:dyDescent="0.25">
      <c r="A164" s="21" t="s">
        <v>310</v>
      </c>
      <c r="B164" s="21" t="s">
        <v>435</v>
      </c>
      <c r="C164" s="21" t="s">
        <v>348</v>
      </c>
      <c r="D164" s="21" t="s">
        <v>392</v>
      </c>
      <c r="E164" s="21">
        <v>7.96</v>
      </c>
      <c r="F164" s="21"/>
      <c r="G164" s="18">
        <v>14800</v>
      </c>
      <c r="H164" s="18">
        <v>10439.96764258865</v>
      </c>
      <c r="I164" s="19"/>
      <c r="J164" s="19">
        <v>20447.63370430352</v>
      </c>
      <c r="K164" s="18"/>
      <c r="L164" s="18">
        <v>19929.446159936266</v>
      </c>
      <c r="M164" s="19"/>
      <c r="N164" s="19">
        <v>15428.007023705004</v>
      </c>
      <c r="O164" s="18"/>
      <c r="P164" s="18">
        <v>0</v>
      </c>
      <c r="Q164" s="19"/>
      <c r="R164" s="19">
        <v>0</v>
      </c>
      <c r="S164" s="18"/>
      <c r="T164" s="18">
        <v>0</v>
      </c>
      <c r="U164" s="19"/>
      <c r="V164" s="19">
        <v>0</v>
      </c>
      <c r="W164" s="18"/>
      <c r="X164" s="18">
        <v>0</v>
      </c>
    </row>
    <row r="165" spans="1:24" ht="15.75" x14ac:dyDescent="0.25">
      <c r="A165" s="21" t="s">
        <v>310</v>
      </c>
      <c r="B165" s="21" t="s">
        <v>435</v>
      </c>
      <c r="C165" s="21" t="s">
        <v>349</v>
      </c>
      <c r="D165" s="21" t="s">
        <v>393</v>
      </c>
      <c r="E165" s="21">
        <v>4.76</v>
      </c>
      <c r="F165" s="21" t="s">
        <v>386</v>
      </c>
      <c r="G165" s="18">
        <v>14800</v>
      </c>
      <c r="H165" s="18">
        <v>10439.96764258865</v>
      </c>
      <c r="I165" s="19"/>
      <c r="J165" s="19">
        <v>20447.63370430352</v>
      </c>
      <c r="K165" s="18"/>
      <c r="L165" s="18">
        <v>19929.446159936266</v>
      </c>
      <c r="M165" s="19"/>
      <c r="N165" s="19">
        <v>15428.007023705004</v>
      </c>
      <c r="O165" s="18"/>
      <c r="P165" s="18">
        <v>0</v>
      </c>
      <c r="Q165" s="19"/>
      <c r="R165" s="19">
        <v>0</v>
      </c>
      <c r="S165" s="18"/>
      <c r="T165" s="18">
        <v>0</v>
      </c>
      <c r="U165" s="19"/>
      <c r="V165" s="19">
        <v>0</v>
      </c>
      <c r="W165" s="18"/>
      <c r="X165" s="18">
        <v>0</v>
      </c>
    </row>
    <row r="166" spans="1:24" ht="15.75" x14ac:dyDescent="0.25">
      <c r="A166" s="21" t="s">
        <v>310</v>
      </c>
      <c r="B166" s="21" t="s">
        <v>435</v>
      </c>
      <c r="C166" s="21" t="s">
        <v>350</v>
      </c>
      <c r="D166" s="21" t="s">
        <v>394</v>
      </c>
      <c r="E166" s="21">
        <v>4.76</v>
      </c>
      <c r="F166" s="21"/>
      <c r="G166" s="18">
        <v>15600</v>
      </c>
      <c r="H166" s="18">
        <v>10439.96764258865</v>
      </c>
      <c r="I166" s="19"/>
      <c r="J166" s="19">
        <v>20447.63370430352</v>
      </c>
      <c r="K166" s="18"/>
      <c r="L166" s="18">
        <v>19929.446159936266</v>
      </c>
      <c r="M166" s="19"/>
      <c r="N166" s="19">
        <v>15428.007023705004</v>
      </c>
      <c r="O166" s="18"/>
      <c r="P166" s="18">
        <v>0</v>
      </c>
      <c r="Q166" s="19"/>
      <c r="R166" s="19">
        <v>0</v>
      </c>
      <c r="S166" s="18"/>
      <c r="T166" s="18">
        <v>0</v>
      </c>
      <c r="U166" s="19"/>
      <c r="V166" s="19">
        <v>0</v>
      </c>
      <c r="W166" s="18"/>
      <c r="X166" s="18">
        <v>0</v>
      </c>
    </row>
    <row r="167" spans="1:24" ht="15.75" x14ac:dyDescent="0.25">
      <c r="A167" s="21" t="s">
        <v>310</v>
      </c>
      <c r="B167" s="21" t="s">
        <v>435</v>
      </c>
      <c r="C167" s="21" t="s">
        <v>351</v>
      </c>
      <c r="D167" s="21" t="s">
        <v>395</v>
      </c>
      <c r="E167" s="21">
        <v>4.76</v>
      </c>
      <c r="F167" s="21" t="s">
        <v>387</v>
      </c>
      <c r="G167" s="18">
        <v>14660</v>
      </c>
      <c r="H167" s="18">
        <v>10439.96764258865</v>
      </c>
      <c r="I167" s="19"/>
      <c r="J167" s="19">
        <v>20447.63370430352</v>
      </c>
      <c r="K167" s="18"/>
      <c r="L167" s="18">
        <v>19929.446159936266</v>
      </c>
      <c r="M167" s="19"/>
      <c r="N167" s="19">
        <v>15428.007023705004</v>
      </c>
      <c r="O167" s="18"/>
      <c r="P167" s="18">
        <v>0</v>
      </c>
      <c r="Q167" s="19"/>
      <c r="R167" s="19">
        <v>0</v>
      </c>
      <c r="S167" s="18"/>
      <c r="T167" s="18">
        <v>0</v>
      </c>
      <c r="U167" s="19"/>
      <c r="V167" s="19">
        <v>0</v>
      </c>
      <c r="W167" s="18"/>
      <c r="X167" s="18">
        <v>0</v>
      </c>
    </row>
    <row r="168" spans="1:24" ht="15.75" x14ac:dyDescent="0.25">
      <c r="A168" s="21" t="s">
        <v>310</v>
      </c>
      <c r="B168" s="21" t="s">
        <v>435</v>
      </c>
      <c r="C168" s="21" t="s">
        <v>352</v>
      </c>
      <c r="D168" s="21" t="s">
        <v>396</v>
      </c>
      <c r="E168" s="21">
        <v>4.76</v>
      </c>
      <c r="F168" s="21"/>
      <c r="G168" s="18">
        <v>15600</v>
      </c>
      <c r="H168" s="18">
        <v>10439.96764258865</v>
      </c>
      <c r="I168" s="19"/>
      <c r="J168" s="19">
        <v>20447.63370430352</v>
      </c>
      <c r="K168" s="18"/>
      <c r="L168" s="18">
        <v>19929.446159936266</v>
      </c>
      <c r="M168" s="19"/>
      <c r="N168" s="19">
        <v>15428.007023705004</v>
      </c>
      <c r="O168" s="18"/>
      <c r="P168" s="18">
        <v>0</v>
      </c>
      <c r="Q168" s="19"/>
      <c r="R168" s="19">
        <v>0</v>
      </c>
      <c r="S168" s="18"/>
      <c r="T168" s="18">
        <v>0</v>
      </c>
      <c r="U168" s="19"/>
      <c r="V168" s="19">
        <v>0</v>
      </c>
      <c r="W168" s="18"/>
      <c r="X168" s="18">
        <v>0</v>
      </c>
    </row>
    <row r="169" spans="1:24" ht="15.75" x14ac:dyDescent="0.25">
      <c r="A169" s="21" t="s">
        <v>310</v>
      </c>
      <c r="B169" s="21" t="s">
        <v>435</v>
      </c>
      <c r="C169" s="21" t="s">
        <v>353</v>
      </c>
      <c r="D169" s="21" t="s">
        <v>397</v>
      </c>
      <c r="E169" s="21">
        <v>4.76</v>
      </c>
      <c r="F169" s="21"/>
      <c r="G169" s="18">
        <v>15600</v>
      </c>
      <c r="H169" s="18">
        <v>10439.96764258865</v>
      </c>
      <c r="I169" s="19"/>
      <c r="J169" s="19">
        <v>20447.63370430352</v>
      </c>
      <c r="K169" s="18"/>
      <c r="L169" s="18">
        <v>19929.446159936266</v>
      </c>
      <c r="M169" s="19"/>
      <c r="N169" s="19">
        <v>15428.007023705004</v>
      </c>
      <c r="O169" s="18"/>
      <c r="P169" s="18">
        <v>0</v>
      </c>
      <c r="Q169" s="19"/>
      <c r="R169" s="19">
        <v>0</v>
      </c>
      <c r="S169" s="18"/>
      <c r="T169" s="18">
        <v>0</v>
      </c>
      <c r="U169" s="19"/>
      <c r="V169" s="19">
        <v>0</v>
      </c>
      <c r="W169" s="18"/>
      <c r="X169" s="18">
        <v>0</v>
      </c>
    </row>
    <row r="170" spans="1:24" ht="15.75" x14ac:dyDescent="0.25">
      <c r="A170" s="21" t="s">
        <v>310</v>
      </c>
      <c r="B170" s="21" t="s">
        <v>435</v>
      </c>
      <c r="C170" s="21" t="s">
        <v>354</v>
      </c>
      <c r="D170" s="21" t="s">
        <v>420</v>
      </c>
      <c r="E170" s="21">
        <v>4.76</v>
      </c>
      <c r="F170" s="21"/>
      <c r="G170" s="18">
        <v>15600</v>
      </c>
      <c r="H170" s="18">
        <v>10439.96764258865</v>
      </c>
      <c r="I170" s="19"/>
      <c r="J170" s="19">
        <v>20447.63370430352</v>
      </c>
      <c r="K170" s="18"/>
      <c r="L170" s="18">
        <v>19929.446159936266</v>
      </c>
      <c r="M170" s="19"/>
      <c r="N170" s="19">
        <v>15428.007023705004</v>
      </c>
      <c r="O170" s="18"/>
      <c r="P170" s="18">
        <v>0</v>
      </c>
      <c r="Q170" s="19"/>
      <c r="R170" s="19">
        <v>0</v>
      </c>
      <c r="S170" s="18"/>
      <c r="T170" s="18">
        <v>0</v>
      </c>
      <c r="U170" s="19"/>
      <c r="V170" s="19">
        <v>0</v>
      </c>
      <c r="W170" s="18"/>
      <c r="X170" s="18">
        <v>0</v>
      </c>
    </row>
    <row r="171" spans="1:24" ht="15.75" x14ac:dyDescent="0.25">
      <c r="A171" s="21" t="s">
        <v>310</v>
      </c>
      <c r="B171" s="21" t="s">
        <v>437</v>
      </c>
      <c r="C171" s="21" t="s">
        <v>355</v>
      </c>
      <c r="D171" s="21" t="s">
        <v>421</v>
      </c>
      <c r="E171" s="21">
        <v>4.76</v>
      </c>
      <c r="F171" s="21"/>
      <c r="G171" s="18">
        <v>0</v>
      </c>
      <c r="H171" s="18">
        <v>4995.4108502463532</v>
      </c>
      <c r="I171" s="19"/>
      <c r="J171" s="19">
        <v>17515.652000762144</v>
      </c>
      <c r="K171" s="18"/>
      <c r="L171" s="18">
        <v>18600.695964398939</v>
      </c>
      <c r="M171" s="19"/>
      <c r="N171" s="19">
        <v>17571.992976294991</v>
      </c>
      <c r="O171" s="18"/>
      <c r="P171" s="18">
        <v>0</v>
      </c>
      <c r="Q171" s="19"/>
      <c r="R171" s="19">
        <v>0</v>
      </c>
      <c r="S171" s="18"/>
      <c r="T171" s="18">
        <v>0</v>
      </c>
      <c r="U171" s="19"/>
      <c r="V171" s="19">
        <v>0</v>
      </c>
      <c r="W171" s="18"/>
      <c r="X171" s="18">
        <v>0</v>
      </c>
    </row>
    <row r="172" spans="1:24" ht="15.75" x14ac:dyDescent="0.25">
      <c r="A172" s="21" t="s">
        <v>310</v>
      </c>
      <c r="B172" s="21" t="s">
        <v>437</v>
      </c>
      <c r="C172" s="21" t="s">
        <v>356</v>
      </c>
      <c r="D172" s="21" t="s">
        <v>422</v>
      </c>
      <c r="E172" s="21">
        <v>4.76</v>
      </c>
      <c r="F172" s="21"/>
      <c r="G172" s="18">
        <v>0</v>
      </c>
      <c r="H172" s="18">
        <v>4995.4108502463532</v>
      </c>
      <c r="I172" s="19"/>
      <c r="J172" s="19">
        <v>17515.652000762144</v>
      </c>
      <c r="K172" s="18"/>
      <c r="L172" s="18">
        <v>18600.695964398939</v>
      </c>
      <c r="M172" s="19"/>
      <c r="N172" s="19">
        <v>17571.992976294991</v>
      </c>
      <c r="O172" s="18"/>
      <c r="P172" s="18">
        <v>0</v>
      </c>
      <c r="Q172" s="19"/>
      <c r="R172" s="19">
        <v>0</v>
      </c>
      <c r="S172" s="18"/>
      <c r="T172" s="18">
        <v>0</v>
      </c>
      <c r="U172" s="19"/>
      <c r="V172" s="19">
        <v>0</v>
      </c>
      <c r="W172" s="18"/>
      <c r="X172" s="18">
        <v>0</v>
      </c>
    </row>
    <row r="173" spans="1:24" ht="15.75" x14ac:dyDescent="0.25">
      <c r="A173" s="21" t="s">
        <v>310</v>
      </c>
      <c r="B173" s="21" t="s">
        <v>435</v>
      </c>
      <c r="C173" s="21" t="s">
        <v>357</v>
      </c>
      <c r="D173" s="21"/>
      <c r="E173" s="21">
        <v>4.76</v>
      </c>
      <c r="F173" s="21"/>
      <c r="G173" s="18">
        <v>0</v>
      </c>
      <c r="H173" s="18">
        <v>10439.96764258865</v>
      </c>
      <c r="I173" s="19"/>
      <c r="J173" s="19">
        <v>20447.63370430352</v>
      </c>
      <c r="K173" s="18"/>
      <c r="L173" s="18">
        <v>19929.446159936266</v>
      </c>
      <c r="M173" s="19"/>
      <c r="N173" s="19">
        <v>15428.007023705004</v>
      </c>
      <c r="O173" s="18"/>
      <c r="P173" s="18">
        <v>0</v>
      </c>
      <c r="Q173" s="19"/>
      <c r="R173" s="19">
        <v>0</v>
      </c>
      <c r="S173" s="18"/>
      <c r="T173" s="18">
        <v>0</v>
      </c>
      <c r="U173" s="19"/>
      <c r="V173" s="19">
        <v>0</v>
      </c>
      <c r="W173" s="18"/>
      <c r="X173" s="18">
        <v>0</v>
      </c>
    </row>
    <row r="174" spans="1:24" ht="15.75" x14ac:dyDescent="0.25">
      <c r="A174" s="21" t="s">
        <v>310</v>
      </c>
      <c r="B174" s="21" t="s">
        <v>435</v>
      </c>
      <c r="C174" s="21" t="s">
        <v>358</v>
      </c>
      <c r="D174" s="21"/>
      <c r="E174" s="21">
        <v>4.76</v>
      </c>
      <c r="F174" s="21"/>
      <c r="G174" s="18">
        <v>0</v>
      </c>
      <c r="H174" s="18">
        <v>10439.96764258865</v>
      </c>
      <c r="I174" s="19"/>
      <c r="J174" s="19">
        <v>20447.63370430352</v>
      </c>
      <c r="K174" s="18"/>
      <c r="L174" s="18">
        <v>19929.446159936266</v>
      </c>
      <c r="M174" s="19"/>
      <c r="N174" s="19">
        <v>15428.007023705004</v>
      </c>
      <c r="O174" s="18"/>
      <c r="P174" s="18">
        <v>0</v>
      </c>
      <c r="Q174" s="19"/>
      <c r="R174" s="19">
        <v>0</v>
      </c>
      <c r="S174" s="18"/>
      <c r="T174" s="18">
        <v>0</v>
      </c>
      <c r="U174" s="19"/>
      <c r="V174" s="19">
        <v>0</v>
      </c>
      <c r="W174" s="18"/>
      <c r="X174" s="18">
        <v>0</v>
      </c>
    </row>
    <row r="175" spans="1:24" ht="15.75" x14ac:dyDescent="0.25">
      <c r="A175" s="21" t="s">
        <v>310</v>
      </c>
      <c r="B175" s="21" t="s">
        <v>435</v>
      </c>
      <c r="C175" s="21" t="s">
        <v>359</v>
      </c>
      <c r="D175" s="21"/>
      <c r="E175" s="21">
        <v>4.76</v>
      </c>
      <c r="F175" s="21"/>
      <c r="G175" s="18">
        <v>0</v>
      </c>
      <c r="H175" s="18">
        <v>10439.96764258865</v>
      </c>
      <c r="I175" s="19"/>
      <c r="J175" s="19">
        <v>20447.63370430352</v>
      </c>
      <c r="K175" s="18"/>
      <c r="L175" s="18">
        <v>19929.446159936266</v>
      </c>
      <c r="M175" s="19"/>
      <c r="N175" s="19">
        <v>15428.007023705004</v>
      </c>
      <c r="O175" s="18"/>
      <c r="P175" s="18">
        <v>0</v>
      </c>
      <c r="Q175" s="19"/>
      <c r="R175" s="19">
        <v>0</v>
      </c>
      <c r="S175" s="18"/>
      <c r="T175" s="18">
        <v>0</v>
      </c>
      <c r="U175" s="19"/>
      <c r="V175" s="19">
        <v>0</v>
      </c>
      <c r="W175" s="18"/>
      <c r="X175" s="18">
        <v>0</v>
      </c>
    </row>
    <row r="176" spans="1:24" ht="15.75" x14ac:dyDescent="0.25">
      <c r="A176" s="21" t="s">
        <v>310</v>
      </c>
      <c r="B176" s="21" t="s">
        <v>435</v>
      </c>
      <c r="C176" s="21" t="s">
        <v>360</v>
      </c>
      <c r="D176" s="21"/>
      <c r="E176" s="21">
        <v>4.76</v>
      </c>
      <c r="F176" s="21"/>
      <c r="G176" s="18">
        <v>0</v>
      </c>
      <c r="H176" s="18">
        <v>10439.96764258865</v>
      </c>
      <c r="I176" s="19"/>
      <c r="J176" s="19">
        <v>20447.63370430352</v>
      </c>
      <c r="K176" s="18"/>
      <c r="L176" s="18">
        <v>19929.446159936266</v>
      </c>
      <c r="M176" s="19"/>
      <c r="N176" s="19">
        <v>15428.007023705004</v>
      </c>
      <c r="O176" s="18"/>
      <c r="P176" s="18">
        <v>0</v>
      </c>
      <c r="Q176" s="19"/>
      <c r="R176" s="19">
        <v>0</v>
      </c>
      <c r="S176" s="18"/>
      <c r="T176" s="18">
        <v>0</v>
      </c>
      <c r="U176" s="19"/>
      <c r="V176" s="19">
        <v>0</v>
      </c>
      <c r="W176" s="18"/>
      <c r="X176" s="18">
        <v>0</v>
      </c>
    </row>
    <row r="177" spans="1:24" ht="15.75" x14ac:dyDescent="0.25">
      <c r="A177" s="21" t="s">
        <v>361</v>
      </c>
      <c r="B177" s="21" t="s">
        <v>362</v>
      </c>
      <c r="C177" s="21" t="s">
        <v>399</v>
      </c>
      <c r="D177" s="21" t="s">
        <v>363</v>
      </c>
      <c r="E177" s="21"/>
      <c r="F177" s="21"/>
      <c r="G177" s="18">
        <v>31</v>
      </c>
      <c r="H177" s="18">
        <v>1027</v>
      </c>
      <c r="I177" s="19"/>
      <c r="J177" s="19">
        <v>0</v>
      </c>
      <c r="K177" s="18"/>
      <c r="L177" s="18">
        <v>0</v>
      </c>
      <c r="M177" s="19"/>
      <c r="N177" s="19">
        <v>0</v>
      </c>
      <c r="O177" s="18"/>
      <c r="P177" s="18">
        <v>0</v>
      </c>
      <c r="Q177" s="19"/>
      <c r="R177" s="19">
        <v>0</v>
      </c>
      <c r="S177" s="18"/>
      <c r="T177" s="18">
        <v>0</v>
      </c>
      <c r="U177" s="19"/>
      <c r="V177" s="19">
        <v>0</v>
      </c>
      <c r="W177" s="18"/>
      <c r="X177" s="18">
        <v>0</v>
      </c>
    </row>
    <row r="178" spans="1:24" ht="15.75" x14ac:dyDescent="0.25">
      <c r="A178" s="21" t="s">
        <v>361</v>
      </c>
      <c r="B178" s="21" t="s">
        <v>362</v>
      </c>
      <c r="C178" s="21" t="s">
        <v>400</v>
      </c>
      <c r="D178" s="21" t="s">
        <v>364</v>
      </c>
      <c r="E178" s="21"/>
      <c r="F178" s="21"/>
      <c r="G178" s="18">
        <v>17550</v>
      </c>
      <c r="H178" s="18">
        <v>18000</v>
      </c>
      <c r="I178" s="19"/>
      <c r="J178" s="19">
        <v>0</v>
      </c>
      <c r="K178" s="18"/>
      <c r="L178" s="18">
        <v>0</v>
      </c>
      <c r="M178" s="19"/>
      <c r="N178" s="19">
        <v>0</v>
      </c>
      <c r="O178" s="18"/>
      <c r="P178" s="18">
        <v>0</v>
      </c>
      <c r="Q178" s="19"/>
      <c r="R178" s="19">
        <v>0</v>
      </c>
      <c r="S178" s="18"/>
      <c r="T178" s="18">
        <v>0</v>
      </c>
      <c r="U178" s="19"/>
      <c r="V178" s="19">
        <v>0</v>
      </c>
      <c r="W178" s="18"/>
      <c r="X178" s="18">
        <v>0</v>
      </c>
    </row>
    <row r="179" spans="1:24" ht="15.75" x14ac:dyDescent="0.25">
      <c r="A179" s="21" t="s">
        <v>361</v>
      </c>
      <c r="B179" s="21" t="s">
        <v>362</v>
      </c>
      <c r="C179" s="21" t="s">
        <v>401</v>
      </c>
      <c r="D179" s="21" t="s">
        <v>365</v>
      </c>
      <c r="E179" s="21"/>
      <c r="F179" s="21"/>
      <c r="G179" s="18">
        <v>810</v>
      </c>
      <c r="H179" s="18">
        <v>18000</v>
      </c>
      <c r="I179" s="19"/>
      <c r="J179" s="19">
        <v>0</v>
      </c>
      <c r="K179" s="18"/>
      <c r="L179" s="18">
        <v>0</v>
      </c>
      <c r="M179" s="19"/>
      <c r="N179" s="19">
        <v>0</v>
      </c>
      <c r="O179" s="18"/>
      <c r="P179" s="18">
        <v>0</v>
      </c>
      <c r="Q179" s="19"/>
      <c r="R179" s="19">
        <v>0</v>
      </c>
      <c r="S179" s="18"/>
      <c r="T179" s="18">
        <v>0</v>
      </c>
      <c r="U179" s="19"/>
      <c r="V179" s="19">
        <v>0</v>
      </c>
      <c r="W179" s="18"/>
      <c r="X179" s="18">
        <v>0</v>
      </c>
    </row>
    <row r="180" spans="1:24" ht="15.75" x14ac:dyDescent="0.25">
      <c r="A180" s="21" t="s">
        <v>361</v>
      </c>
      <c r="B180" s="21" t="s">
        <v>362</v>
      </c>
      <c r="C180" s="21" t="s">
        <v>402</v>
      </c>
      <c r="D180" s="21" t="s">
        <v>366</v>
      </c>
      <c r="E180" s="21"/>
      <c r="F180" s="21"/>
      <c r="G180" s="18">
        <v>4050</v>
      </c>
      <c r="H180" s="18">
        <v>12733</v>
      </c>
      <c r="I180" s="19"/>
      <c r="J180" s="19">
        <v>0</v>
      </c>
      <c r="K180" s="18"/>
      <c r="L180" s="18">
        <v>0</v>
      </c>
      <c r="M180" s="19"/>
      <c r="N180" s="19">
        <v>0</v>
      </c>
      <c r="O180" s="18"/>
      <c r="P180" s="18">
        <v>0</v>
      </c>
      <c r="Q180" s="19"/>
      <c r="R180" s="19">
        <v>0</v>
      </c>
      <c r="S180" s="18"/>
      <c r="T180" s="18">
        <v>0</v>
      </c>
      <c r="U180" s="19"/>
      <c r="V180" s="19">
        <v>0</v>
      </c>
      <c r="W180" s="18"/>
      <c r="X180" s="18">
        <v>0</v>
      </c>
    </row>
    <row r="181" spans="1:24" ht="15.75" x14ac:dyDescent="0.25">
      <c r="A181" s="21" t="s">
        <v>361</v>
      </c>
      <c r="B181" s="21" t="s">
        <v>362</v>
      </c>
      <c r="C181" s="21" t="s">
        <v>403</v>
      </c>
      <c r="D181" s="21" t="s">
        <v>367</v>
      </c>
      <c r="E181" s="21"/>
      <c r="F181" s="21"/>
      <c r="G181" s="18">
        <v>900</v>
      </c>
      <c r="H181" s="18">
        <v>7397</v>
      </c>
      <c r="I181" s="19"/>
      <c r="J181" s="19">
        <v>0</v>
      </c>
      <c r="K181" s="18"/>
      <c r="L181" s="18">
        <v>0</v>
      </c>
      <c r="M181" s="19"/>
      <c r="N181" s="19">
        <v>0</v>
      </c>
      <c r="O181" s="18"/>
      <c r="P181" s="18">
        <v>0</v>
      </c>
      <c r="Q181" s="19"/>
      <c r="R181" s="19">
        <v>0</v>
      </c>
      <c r="S181" s="18"/>
      <c r="T181" s="18">
        <v>0</v>
      </c>
      <c r="U181" s="19"/>
      <c r="V181" s="19">
        <v>0</v>
      </c>
      <c r="W181" s="18"/>
      <c r="X181" s="18">
        <v>0</v>
      </c>
    </row>
    <row r="182" spans="1:24" ht="15.75" x14ac:dyDescent="0.25">
      <c r="A182" s="21"/>
      <c r="B182" s="21"/>
      <c r="C182" s="21"/>
      <c r="D182" s="21"/>
      <c r="E182" s="21"/>
      <c r="F182" s="21"/>
      <c r="G182" s="18"/>
      <c r="H182" s="18"/>
      <c r="I182" s="19"/>
      <c r="J182" s="19"/>
      <c r="K182" s="18"/>
      <c r="L182" s="18"/>
      <c r="M182" s="19"/>
      <c r="N182" s="19"/>
      <c r="O182" s="18"/>
      <c r="P182" s="18"/>
      <c r="Q182" s="19"/>
      <c r="R182" s="19"/>
      <c r="S182" s="18"/>
      <c r="T182" s="18"/>
      <c r="U182" s="19"/>
      <c r="V182" s="19"/>
      <c r="W182" s="18"/>
      <c r="X182" s="18"/>
    </row>
    <row r="183" spans="1:24" ht="15.75" x14ac:dyDescent="0.25">
      <c r="A183" s="21"/>
      <c r="B183" s="21"/>
      <c r="C183" s="21"/>
      <c r="D183" s="21"/>
      <c r="E183" s="21"/>
      <c r="F183" s="21"/>
      <c r="G183" s="18"/>
      <c r="H183" s="18"/>
      <c r="I183" s="19"/>
      <c r="J183" s="19"/>
      <c r="K183" s="18"/>
      <c r="L183" s="18"/>
      <c r="M183" s="19"/>
      <c r="N183" s="19"/>
      <c r="O183" s="18"/>
      <c r="P183" s="18"/>
      <c r="Q183" s="19"/>
      <c r="R183" s="19"/>
      <c r="S183" s="18"/>
      <c r="T183" s="18"/>
      <c r="U183" s="19"/>
      <c r="V183" s="19"/>
      <c r="W183" s="18"/>
      <c r="X183" s="18"/>
    </row>
    <row r="184" spans="1:24" ht="15.75" x14ac:dyDescent="0.25">
      <c r="A184" s="21"/>
      <c r="B184" s="21"/>
      <c r="C184" s="21"/>
      <c r="D184" s="21"/>
      <c r="E184" s="21"/>
      <c r="F184" s="21"/>
      <c r="G184" s="18"/>
      <c r="H184" s="18"/>
      <c r="I184" s="19"/>
      <c r="J184" s="19"/>
      <c r="K184" s="18"/>
      <c r="L184" s="18"/>
      <c r="M184" s="19"/>
      <c r="N184" s="19"/>
      <c r="O184" s="18"/>
      <c r="P184" s="18"/>
      <c r="Q184" s="19"/>
      <c r="R184" s="19"/>
      <c r="S184" s="18"/>
      <c r="T184" s="18"/>
      <c r="U184" s="19"/>
      <c r="V184" s="19"/>
      <c r="W184" s="18"/>
      <c r="X184" s="18"/>
    </row>
    <row r="185" spans="1:24" ht="15.75" x14ac:dyDescent="0.25">
      <c r="A185" s="21"/>
      <c r="B185" s="21"/>
      <c r="C185" s="21"/>
      <c r="D185" s="21"/>
      <c r="E185" s="21"/>
      <c r="F185" s="21"/>
      <c r="G185" s="18"/>
      <c r="H185" s="18"/>
      <c r="I185" s="19"/>
      <c r="J185" s="19"/>
      <c r="K185" s="18"/>
      <c r="L185" s="18"/>
      <c r="M185" s="19"/>
      <c r="N185" s="19"/>
      <c r="O185" s="18"/>
      <c r="P185" s="18"/>
      <c r="Q185" s="19"/>
      <c r="R185" s="19"/>
      <c r="S185" s="18"/>
      <c r="T185" s="18"/>
      <c r="U185" s="19"/>
      <c r="V185" s="19"/>
      <c r="W185" s="18"/>
      <c r="X185" s="18"/>
    </row>
    <row r="186" spans="1:24" ht="15.75" x14ac:dyDescent="0.25">
      <c r="A186" s="21"/>
      <c r="B186" s="21"/>
      <c r="C186" s="21"/>
      <c r="D186" s="21"/>
      <c r="E186" s="21"/>
      <c r="F186" s="21"/>
      <c r="G186" s="18"/>
      <c r="H186" s="18"/>
      <c r="I186" s="19"/>
      <c r="J186" s="19"/>
      <c r="K186" s="18"/>
      <c r="L186" s="18"/>
      <c r="M186" s="19"/>
      <c r="N186" s="19"/>
      <c r="O186" s="18"/>
      <c r="P186" s="18"/>
      <c r="Q186" s="19"/>
      <c r="R186" s="19"/>
      <c r="S186" s="18"/>
      <c r="T186" s="18"/>
      <c r="U186" s="19"/>
      <c r="V186" s="19"/>
      <c r="W186" s="18"/>
      <c r="X186" s="18"/>
    </row>
    <row r="187" spans="1:24" ht="15.75" x14ac:dyDescent="0.25">
      <c r="A187" s="21"/>
      <c r="B187" s="21"/>
      <c r="C187" s="21"/>
      <c r="D187" s="21"/>
      <c r="E187" s="21"/>
      <c r="F187" s="21"/>
      <c r="G187" s="18"/>
      <c r="H187" s="18"/>
      <c r="I187" s="19"/>
      <c r="J187" s="19"/>
      <c r="K187" s="18"/>
      <c r="L187" s="18"/>
      <c r="M187" s="19"/>
      <c r="N187" s="19"/>
      <c r="O187" s="18"/>
      <c r="P187" s="18"/>
      <c r="Q187" s="19"/>
      <c r="R187" s="19"/>
      <c r="S187" s="18"/>
      <c r="T187" s="18"/>
      <c r="U187" s="19"/>
      <c r="V187" s="19"/>
      <c r="W187" s="18"/>
      <c r="X187" s="18"/>
    </row>
    <row r="188" spans="1:24" ht="15.75" x14ac:dyDescent="0.25">
      <c r="A188" s="21"/>
      <c r="B188" s="21"/>
      <c r="C188" s="21"/>
      <c r="D188" s="21"/>
      <c r="E188" s="21"/>
      <c r="F188" s="21"/>
      <c r="G188" s="18"/>
      <c r="H188" s="18"/>
      <c r="I188" s="19"/>
      <c r="J188" s="19"/>
      <c r="K188" s="18"/>
      <c r="L188" s="18"/>
      <c r="M188" s="19"/>
      <c r="N188" s="19"/>
      <c r="O188" s="18"/>
      <c r="P188" s="18"/>
      <c r="Q188" s="19"/>
      <c r="R188" s="19"/>
      <c r="S188" s="18"/>
      <c r="T188" s="18"/>
      <c r="U188" s="19"/>
      <c r="V188" s="19"/>
      <c r="W188" s="18"/>
      <c r="X188" s="18"/>
    </row>
    <row r="189" spans="1:24" ht="15.75" x14ac:dyDescent="0.25">
      <c r="A189" s="21"/>
      <c r="B189" s="21"/>
      <c r="C189" s="21"/>
      <c r="D189" s="21"/>
      <c r="E189" s="21"/>
      <c r="F189" s="21"/>
      <c r="G189" s="18"/>
      <c r="H189" s="18"/>
      <c r="I189" s="19"/>
      <c r="J189" s="19"/>
      <c r="K189" s="18"/>
      <c r="L189" s="18"/>
      <c r="M189" s="19"/>
      <c r="N189" s="19"/>
      <c r="O189" s="18"/>
      <c r="P189" s="18"/>
      <c r="Q189" s="19"/>
      <c r="R189" s="19"/>
      <c r="S189" s="18"/>
      <c r="T189" s="18"/>
      <c r="U189" s="19"/>
      <c r="V189" s="19"/>
      <c r="W189" s="18"/>
      <c r="X189" s="18"/>
    </row>
    <row r="190" spans="1:24" ht="15.75" x14ac:dyDescent="0.25">
      <c r="A190" s="21"/>
      <c r="B190" s="21"/>
      <c r="C190" s="21"/>
      <c r="D190" s="21"/>
      <c r="E190" s="21"/>
      <c r="F190" s="21"/>
      <c r="G190" s="18"/>
      <c r="H190" s="18"/>
      <c r="I190" s="19"/>
      <c r="J190" s="19"/>
      <c r="K190" s="18"/>
      <c r="L190" s="18"/>
      <c r="M190" s="19"/>
      <c r="N190" s="19"/>
      <c r="O190" s="18"/>
      <c r="P190" s="18"/>
      <c r="Q190" s="19"/>
      <c r="R190" s="19"/>
      <c r="S190" s="18"/>
      <c r="T190" s="18"/>
      <c r="U190" s="19"/>
      <c r="V190" s="19"/>
      <c r="W190" s="18"/>
      <c r="X190" s="18"/>
    </row>
    <row r="191" spans="1:24" ht="15.75" x14ac:dyDescent="0.25">
      <c r="A191" s="21"/>
      <c r="B191" s="21"/>
      <c r="C191" s="21"/>
      <c r="D191" s="21"/>
      <c r="E191" s="21"/>
      <c r="F191" s="21"/>
      <c r="G191" s="18"/>
      <c r="H191" s="18"/>
      <c r="I191" s="19"/>
      <c r="J191" s="19"/>
      <c r="K191" s="18"/>
      <c r="L191" s="18"/>
      <c r="M191" s="19"/>
      <c r="N191" s="19"/>
      <c r="O191" s="18"/>
      <c r="P191" s="18"/>
      <c r="Q191" s="19"/>
      <c r="R191" s="19"/>
      <c r="S191" s="18"/>
      <c r="T191" s="18"/>
      <c r="U191" s="19"/>
      <c r="V191" s="19"/>
      <c r="W191" s="18"/>
      <c r="X191" s="18"/>
    </row>
    <row r="192" spans="1:24" ht="15.75" x14ac:dyDescent="0.25">
      <c r="A192" s="21"/>
      <c r="B192" s="21"/>
      <c r="C192" s="21"/>
      <c r="D192" s="21"/>
      <c r="E192" s="21"/>
      <c r="F192" s="21"/>
      <c r="G192" s="18"/>
      <c r="H192" s="18"/>
      <c r="I192" s="19"/>
      <c r="J192" s="19"/>
      <c r="K192" s="18"/>
      <c r="L192" s="18"/>
      <c r="M192" s="19"/>
      <c r="N192" s="19"/>
      <c r="O192" s="18"/>
      <c r="P192" s="18"/>
      <c r="Q192" s="19"/>
      <c r="R192" s="19"/>
      <c r="S192" s="18"/>
      <c r="T192" s="18"/>
      <c r="U192" s="19"/>
      <c r="V192" s="19"/>
      <c r="W192" s="18"/>
      <c r="X192" s="18"/>
    </row>
    <row r="193" spans="1:24" ht="15.75" x14ac:dyDescent="0.25">
      <c r="A193" s="21"/>
      <c r="B193" s="21"/>
      <c r="C193" s="21"/>
      <c r="D193" s="21"/>
      <c r="E193" s="21"/>
      <c r="F193" s="21"/>
      <c r="G193" s="18"/>
      <c r="H193" s="18"/>
      <c r="I193" s="19"/>
      <c r="J193" s="19"/>
      <c r="K193" s="18"/>
      <c r="L193" s="18"/>
      <c r="M193" s="19"/>
      <c r="N193" s="19"/>
      <c r="O193" s="18"/>
      <c r="P193" s="18"/>
      <c r="Q193" s="19"/>
      <c r="R193" s="19"/>
      <c r="S193" s="18"/>
      <c r="T193" s="18"/>
      <c r="U193" s="19"/>
      <c r="V193" s="19"/>
      <c r="W193" s="18"/>
      <c r="X193" s="18"/>
    </row>
    <row r="194" spans="1:24" ht="15.75" x14ac:dyDescent="0.25">
      <c r="A194" s="21"/>
      <c r="B194" s="21"/>
      <c r="C194" s="21"/>
      <c r="D194" s="21"/>
      <c r="E194" s="21"/>
      <c r="F194" s="21"/>
      <c r="G194" s="18"/>
      <c r="H194" s="18"/>
      <c r="I194" s="19"/>
      <c r="J194" s="19"/>
      <c r="K194" s="18"/>
      <c r="L194" s="18"/>
      <c r="M194" s="19"/>
      <c r="N194" s="19"/>
      <c r="O194" s="18"/>
      <c r="P194" s="18"/>
      <c r="Q194" s="19"/>
      <c r="R194" s="19"/>
      <c r="S194" s="18"/>
      <c r="T194" s="18"/>
      <c r="U194" s="19"/>
      <c r="V194" s="19"/>
      <c r="W194" s="18"/>
      <c r="X194" s="18"/>
    </row>
    <row r="195" spans="1:24" x14ac:dyDescent="0.25">
      <c r="A195" s="13"/>
      <c r="B195" s="13"/>
      <c r="C195" s="13"/>
      <c r="D195" s="13"/>
      <c r="E195" s="13"/>
      <c r="F195" s="13"/>
      <c r="G195" s="13"/>
      <c r="H195" s="14"/>
      <c r="I195" s="13"/>
      <c r="J195" s="14"/>
      <c r="K195" s="13"/>
      <c r="L195" s="14"/>
      <c r="M195" s="13"/>
      <c r="O195" s="13"/>
      <c r="P195" s="14"/>
      <c r="Q195" s="13"/>
      <c r="R195" s="14"/>
      <c r="S195" s="13"/>
      <c r="T195" s="14"/>
      <c r="U195" s="13"/>
      <c r="V195" s="14"/>
      <c r="W195" s="13"/>
      <c r="X195" s="13"/>
    </row>
    <row r="196" spans="1:24" x14ac:dyDescent="0.25">
      <c r="A196" s="13"/>
      <c r="B196" s="13"/>
      <c r="C196" s="13"/>
      <c r="D196" s="13"/>
      <c r="E196" s="13"/>
      <c r="F196" s="13"/>
      <c r="G196" s="13"/>
      <c r="H196" s="14"/>
      <c r="I196" s="13"/>
      <c r="J196" s="14"/>
      <c r="K196" s="13"/>
      <c r="L196" s="14"/>
      <c r="M196" s="13"/>
      <c r="O196" s="13"/>
      <c r="P196" s="14"/>
      <c r="Q196" s="13"/>
      <c r="R196" s="14"/>
      <c r="S196" s="13"/>
      <c r="T196" s="14"/>
      <c r="U196" s="13"/>
      <c r="V196" s="14"/>
      <c r="W196" s="13"/>
      <c r="X196" s="13"/>
    </row>
    <row r="197" spans="1:24" x14ac:dyDescent="0.25">
      <c r="A197" s="13"/>
      <c r="B197" s="13"/>
      <c r="C197" s="13"/>
      <c r="D197" s="13"/>
      <c r="E197" s="13"/>
      <c r="F197" s="13"/>
      <c r="G197" s="13"/>
      <c r="H197" s="14"/>
      <c r="I197" s="13"/>
      <c r="J197" s="14"/>
      <c r="K197" s="13"/>
      <c r="L197" s="14"/>
      <c r="M197" s="13"/>
      <c r="O197" s="13"/>
      <c r="P197" s="14"/>
      <c r="Q197" s="13"/>
      <c r="R197" s="14"/>
      <c r="S197" s="13"/>
      <c r="T197" s="14"/>
      <c r="U197" s="13"/>
      <c r="V197" s="14"/>
      <c r="W197" s="13"/>
      <c r="X197" s="13"/>
    </row>
    <row r="198" spans="1:24" x14ac:dyDescent="0.25">
      <c r="A198" s="13"/>
      <c r="B198" s="13"/>
      <c r="C198" s="13"/>
      <c r="D198" s="13"/>
      <c r="E198" s="13"/>
      <c r="F198" s="13"/>
      <c r="G198" s="13"/>
      <c r="H198" s="14"/>
      <c r="I198" s="13"/>
      <c r="J198" s="14"/>
      <c r="K198" s="13"/>
      <c r="L198" s="14"/>
      <c r="M198" s="13"/>
      <c r="O198" s="13"/>
      <c r="P198" s="14"/>
      <c r="Q198" s="13"/>
      <c r="R198" s="14"/>
      <c r="S198" s="13"/>
      <c r="T198" s="14"/>
      <c r="U198" s="13"/>
      <c r="V198" s="14"/>
      <c r="W198" s="13"/>
      <c r="X198" s="13"/>
    </row>
    <row r="199" spans="1:24" x14ac:dyDescent="0.25">
      <c r="A199" s="13"/>
      <c r="B199" s="13"/>
      <c r="C199" s="13"/>
      <c r="D199" s="13"/>
      <c r="E199" s="13"/>
      <c r="F199" s="13"/>
      <c r="G199" s="13"/>
      <c r="H199" s="14"/>
      <c r="I199" s="13"/>
      <c r="J199" s="14"/>
      <c r="K199" s="13"/>
      <c r="L199" s="14"/>
      <c r="M199" s="13"/>
      <c r="O199" s="13"/>
      <c r="P199" s="14"/>
      <c r="Q199" s="13"/>
      <c r="R199" s="14"/>
      <c r="S199" s="13"/>
      <c r="T199" s="14"/>
      <c r="U199" s="13"/>
      <c r="V199" s="14"/>
      <c r="W199" s="13"/>
      <c r="X199" s="13"/>
    </row>
    <row r="200" spans="1:24" x14ac:dyDescent="0.25">
      <c r="A200" s="13"/>
      <c r="B200" s="13"/>
      <c r="C200" s="13"/>
      <c r="D200" s="13"/>
      <c r="E200" s="13"/>
      <c r="F200" s="13"/>
      <c r="G200" s="13"/>
      <c r="H200" s="14"/>
      <c r="I200" s="13"/>
      <c r="J200" s="14"/>
      <c r="K200" s="13"/>
      <c r="L200" s="14"/>
      <c r="M200" s="13"/>
      <c r="O200" s="13"/>
      <c r="P200" s="14"/>
      <c r="Q200" s="13"/>
      <c r="R200" s="14"/>
      <c r="S200" s="13"/>
      <c r="T200" s="14"/>
      <c r="U200" s="13"/>
      <c r="V200" s="14"/>
      <c r="W200" s="13"/>
      <c r="X200" s="13"/>
    </row>
    <row r="201" spans="1:24" x14ac:dyDescent="0.25">
      <c r="A201" s="13"/>
      <c r="B201" s="13"/>
      <c r="C201" s="13"/>
      <c r="D201" s="13"/>
      <c r="E201" s="13"/>
      <c r="F201" s="13"/>
      <c r="G201" s="13"/>
      <c r="H201" s="14"/>
      <c r="I201" s="13"/>
      <c r="J201" s="14"/>
      <c r="K201" s="13"/>
      <c r="L201" s="14"/>
      <c r="M201" s="13"/>
      <c r="O201" s="13"/>
      <c r="P201" s="14"/>
      <c r="Q201" s="13"/>
      <c r="R201" s="14"/>
      <c r="S201" s="13"/>
      <c r="T201" s="14"/>
      <c r="U201" s="13"/>
      <c r="V201" s="14"/>
      <c r="W201" s="13"/>
      <c r="X201" s="13"/>
    </row>
    <row r="202" spans="1:24" x14ac:dyDescent="0.25">
      <c r="A202" s="13"/>
      <c r="B202" s="13"/>
      <c r="C202" s="13"/>
      <c r="D202" s="13"/>
      <c r="E202" s="13"/>
      <c r="F202" s="13"/>
      <c r="G202" s="13"/>
      <c r="H202" s="14"/>
      <c r="I202" s="13"/>
      <c r="J202" s="14"/>
      <c r="K202" s="13"/>
      <c r="L202" s="14"/>
      <c r="M202" s="13"/>
      <c r="O202" s="13"/>
      <c r="P202" s="14"/>
      <c r="Q202" s="13"/>
      <c r="R202" s="14"/>
      <c r="S202" s="13"/>
      <c r="T202" s="14"/>
      <c r="U202" s="13"/>
      <c r="V202" s="14"/>
      <c r="W202" s="13"/>
      <c r="X202" s="13"/>
    </row>
    <row r="203" spans="1:24" x14ac:dyDescent="0.25">
      <c r="A203" s="13"/>
      <c r="B203" s="13"/>
      <c r="C203" s="13"/>
      <c r="D203" s="13"/>
      <c r="E203" s="13"/>
      <c r="F203" s="13"/>
      <c r="G203" s="13"/>
      <c r="H203" s="14"/>
      <c r="I203" s="13"/>
      <c r="J203" s="14"/>
      <c r="K203" s="13"/>
      <c r="L203" s="14"/>
      <c r="M203" s="13"/>
      <c r="O203" s="13"/>
      <c r="P203" s="14"/>
      <c r="Q203" s="13"/>
      <c r="R203" s="14"/>
      <c r="S203" s="13"/>
      <c r="T203" s="14"/>
      <c r="U203" s="13"/>
      <c r="V203" s="14"/>
      <c r="W203" s="13"/>
      <c r="X203" s="13"/>
    </row>
    <row r="204" spans="1:24" x14ac:dyDescent="0.25">
      <c r="A204" s="13"/>
      <c r="B204" s="13"/>
      <c r="C204" s="13"/>
      <c r="D204" s="13"/>
      <c r="E204" s="13"/>
      <c r="F204" s="13"/>
      <c r="G204" s="13"/>
      <c r="H204" s="14"/>
      <c r="I204" s="13"/>
      <c r="J204" s="14"/>
      <c r="K204" s="13"/>
      <c r="L204" s="14"/>
      <c r="M204" s="13"/>
      <c r="O204" s="13"/>
      <c r="P204" s="14"/>
      <c r="Q204" s="13"/>
      <c r="R204" s="14"/>
      <c r="S204" s="13"/>
      <c r="T204" s="14"/>
      <c r="U204" s="13"/>
      <c r="V204" s="14"/>
      <c r="W204" s="13"/>
      <c r="X204" s="13"/>
    </row>
    <row r="205" spans="1:24" x14ac:dyDescent="0.25">
      <c r="A205" s="13"/>
      <c r="B205" s="13"/>
      <c r="C205" s="13"/>
      <c r="D205" s="13"/>
      <c r="E205" s="13"/>
      <c r="F205" s="13"/>
      <c r="G205" s="13"/>
      <c r="H205" s="14"/>
      <c r="I205" s="13"/>
      <c r="J205" s="14"/>
      <c r="K205" s="13"/>
      <c r="L205" s="14"/>
      <c r="M205" s="13"/>
      <c r="O205" s="13"/>
      <c r="P205" s="14"/>
      <c r="Q205" s="13"/>
      <c r="R205" s="14"/>
      <c r="S205" s="13"/>
      <c r="T205" s="14"/>
      <c r="U205" s="13"/>
      <c r="V205" s="14"/>
      <c r="W205" s="13"/>
      <c r="X205" s="13"/>
    </row>
    <row r="206" spans="1:24" x14ac:dyDescent="0.25">
      <c r="A206" s="13"/>
      <c r="B206" s="13"/>
      <c r="C206" s="13"/>
      <c r="D206" s="13"/>
      <c r="E206" s="13"/>
      <c r="F206" s="13"/>
      <c r="G206" s="13"/>
      <c r="H206" s="14"/>
      <c r="I206" s="13"/>
      <c r="J206" s="14"/>
      <c r="K206" s="13"/>
      <c r="L206" s="14"/>
      <c r="M206" s="13"/>
      <c r="O206" s="13"/>
      <c r="P206" s="14"/>
      <c r="Q206" s="13"/>
      <c r="R206" s="14"/>
      <c r="S206" s="13"/>
      <c r="T206" s="14"/>
      <c r="U206" s="13"/>
      <c r="V206" s="14"/>
      <c r="W206" s="13"/>
      <c r="X206" s="13"/>
    </row>
    <row r="207" spans="1:24" x14ac:dyDescent="0.25">
      <c r="A207" s="13"/>
      <c r="B207" s="13"/>
      <c r="C207" s="13"/>
      <c r="D207" s="13"/>
      <c r="E207" s="13"/>
      <c r="F207" s="13"/>
      <c r="G207" s="13"/>
      <c r="H207" s="14"/>
      <c r="I207" s="13"/>
      <c r="J207" s="14"/>
      <c r="K207" s="13"/>
      <c r="L207" s="14"/>
      <c r="M207" s="13"/>
      <c r="O207" s="13"/>
      <c r="P207" s="14"/>
      <c r="Q207" s="13"/>
      <c r="R207" s="14"/>
      <c r="S207" s="13"/>
      <c r="T207" s="14"/>
      <c r="U207" s="13"/>
      <c r="V207" s="14"/>
      <c r="W207" s="13"/>
      <c r="X207" s="13"/>
    </row>
    <row r="208" spans="1:24" x14ac:dyDescent="0.25">
      <c r="A208" s="13"/>
      <c r="B208" s="13"/>
      <c r="C208" s="13"/>
      <c r="D208" s="13"/>
      <c r="E208" s="13"/>
      <c r="F208" s="13"/>
      <c r="G208" s="13"/>
      <c r="H208" s="14"/>
      <c r="I208" s="13"/>
      <c r="J208" s="14"/>
      <c r="K208" s="13"/>
      <c r="L208" s="14"/>
      <c r="M208" s="13"/>
      <c r="O208" s="13"/>
      <c r="P208" s="14"/>
      <c r="Q208" s="13"/>
      <c r="R208" s="14"/>
      <c r="S208" s="13"/>
      <c r="T208" s="14"/>
      <c r="U208" s="13"/>
      <c r="V208" s="14"/>
      <c r="W208" s="13"/>
      <c r="X208" s="13"/>
    </row>
    <row r="209" spans="1:24" x14ac:dyDescent="0.25">
      <c r="A209" s="13"/>
      <c r="B209" s="13"/>
      <c r="C209" s="13"/>
      <c r="D209" s="13"/>
      <c r="E209" s="13"/>
      <c r="F209" s="13"/>
      <c r="G209" s="13"/>
      <c r="H209" s="14"/>
      <c r="I209" s="13"/>
      <c r="J209" s="14"/>
      <c r="K209" s="13"/>
      <c r="L209" s="14"/>
      <c r="M209" s="13"/>
      <c r="O209" s="13"/>
      <c r="P209" s="14"/>
      <c r="Q209" s="13"/>
      <c r="R209" s="14"/>
      <c r="S209" s="13"/>
      <c r="T209" s="14"/>
      <c r="U209" s="13"/>
      <c r="V209" s="14"/>
      <c r="W209" s="13"/>
      <c r="X209" s="13"/>
    </row>
    <row r="210" spans="1:24" x14ac:dyDescent="0.25">
      <c r="A210" s="13"/>
      <c r="B210" s="13"/>
      <c r="C210" s="13"/>
      <c r="D210" s="13"/>
      <c r="E210" s="13"/>
      <c r="F210" s="13"/>
      <c r="G210" s="13"/>
      <c r="H210" s="14"/>
      <c r="I210" s="13"/>
      <c r="J210" s="14"/>
      <c r="K210" s="13"/>
      <c r="L210" s="14"/>
      <c r="M210" s="13"/>
      <c r="O210" s="13"/>
      <c r="P210" s="14"/>
      <c r="Q210" s="13"/>
      <c r="R210" s="14"/>
      <c r="S210" s="13"/>
      <c r="T210" s="14"/>
      <c r="U210" s="13"/>
      <c r="V210" s="14"/>
      <c r="W210" s="13"/>
      <c r="X210" s="13"/>
    </row>
    <row r="211" spans="1:24" x14ac:dyDescent="0.25">
      <c r="A211" s="13"/>
      <c r="B211" s="13"/>
      <c r="C211" s="13"/>
      <c r="D211" s="13"/>
      <c r="E211" s="13"/>
      <c r="F211" s="13"/>
      <c r="G211" s="13"/>
      <c r="H211" s="14"/>
      <c r="I211" s="13"/>
      <c r="J211" s="14"/>
      <c r="K211" s="13"/>
      <c r="L211" s="14"/>
      <c r="M211" s="13"/>
      <c r="O211" s="13"/>
      <c r="P211" s="14"/>
      <c r="Q211" s="13"/>
      <c r="R211" s="14"/>
      <c r="S211" s="13"/>
      <c r="T211" s="14"/>
      <c r="U211" s="13"/>
      <c r="V211" s="14"/>
      <c r="W211" s="13"/>
      <c r="X211" s="13"/>
    </row>
    <row r="212" spans="1:24" x14ac:dyDescent="0.25">
      <c r="A212" s="13"/>
      <c r="B212" s="13"/>
      <c r="C212" s="13"/>
      <c r="D212" s="13"/>
      <c r="E212" s="13"/>
      <c r="F212" s="13"/>
      <c r="G212" s="13"/>
      <c r="H212" s="14"/>
      <c r="I212" s="13"/>
      <c r="J212" s="14"/>
      <c r="K212" s="13"/>
      <c r="L212" s="14"/>
      <c r="M212" s="13"/>
      <c r="O212" s="13"/>
      <c r="P212" s="14"/>
      <c r="Q212" s="13"/>
      <c r="R212" s="14"/>
      <c r="S212" s="13"/>
      <c r="T212" s="14"/>
      <c r="U212" s="13"/>
      <c r="V212" s="14"/>
      <c r="W212" s="13"/>
      <c r="X212" s="13"/>
    </row>
    <row r="213" spans="1:24" x14ac:dyDescent="0.25">
      <c r="A213" s="13"/>
      <c r="B213" s="13"/>
      <c r="C213" s="13"/>
      <c r="D213" s="13"/>
      <c r="E213" s="13"/>
      <c r="F213" s="13"/>
      <c r="G213" s="13"/>
      <c r="H213" s="14"/>
      <c r="I213" s="13"/>
      <c r="J213" s="14"/>
      <c r="K213" s="13"/>
      <c r="L213" s="14"/>
      <c r="M213" s="13"/>
      <c r="O213" s="13"/>
      <c r="P213" s="14"/>
      <c r="Q213" s="13"/>
      <c r="R213" s="14"/>
      <c r="S213" s="13"/>
      <c r="T213" s="14"/>
      <c r="U213" s="13"/>
      <c r="V213" s="14"/>
      <c r="W213" s="13"/>
      <c r="X213" s="13"/>
    </row>
    <row r="214" spans="1:24" x14ac:dyDescent="0.25">
      <c r="A214" s="13"/>
      <c r="B214" s="13"/>
      <c r="C214" s="13"/>
      <c r="D214" s="13"/>
      <c r="E214" s="13"/>
      <c r="F214" s="13"/>
      <c r="G214" s="13"/>
      <c r="H214" s="14"/>
      <c r="I214" s="13"/>
      <c r="J214" s="14"/>
      <c r="K214" s="13"/>
      <c r="L214" s="14"/>
      <c r="M214" s="13"/>
      <c r="O214" s="13"/>
      <c r="P214" s="14"/>
      <c r="Q214" s="13"/>
      <c r="R214" s="14"/>
      <c r="S214" s="13"/>
      <c r="T214" s="14"/>
      <c r="U214" s="13"/>
      <c r="V214" s="14"/>
      <c r="W214" s="13"/>
      <c r="X214" s="13"/>
    </row>
    <row r="215" spans="1:24" x14ac:dyDescent="0.25">
      <c r="A215" s="13"/>
      <c r="B215" s="13"/>
      <c r="C215" s="13"/>
      <c r="D215" s="13"/>
      <c r="E215" s="13"/>
      <c r="F215" s="13"/>
      <c r="G215" s="13"/>
      <c r="H215" s="14"/>
      <c r="I215" s="13"/>
      <c r="J215" s="14"/>
      <c r="K215" s="13"/>
      <c r="L215" s="14"/>
      <c r="M215" s="13"/>
      <c r="O215" s="13"/>
      <c r="P215" s="14"/>
      <c r="Q215" s="13"/>
      <c r="R215" s="14"/>
      <c r="S215" s="13"/>
      <c r="T215" s="14"/>
      <c r="U215" s="13"/>
      <c r="V215" s="14"/>
      <c r="W215" s="13"/>
      <c r="X215" s="13"/>
    </row>
    <row r="216" spans="1:24" x14ac:dyDescent="0.25">
      <c r="A216" s="13"/>
      <c r="B216" s="13"/>
      <c r="C216" s="13"/>
      <c r="D216" s="13"/>
      <c r="E216" s="13"/>
      <c r="F216" s="13"/>
      <c r="G216" s="13"/>
      <c r="H216" s="14"/>
      <c r="I216" s="13"/>
      <c r="J216" s="14"/>
      <c r="K216" s="13"/>
      <c r="L216" s="14"/>
      <c r="M216" s="13"/>
      <c r="O216" s="13"/>
      <c r="P216" s="14"/>
      <c r="Q216" s="13"/>
      <c r="R216" s="14"/>
      <c r="S216" s="13"/>
      <c r="T216" s="14"/>
      <c r="U216" s="13"/>
      <c r="V216" s="14"/>
      <c r="W216" s="13"/>
      <c r="X216" s="13"/>
    </row>
    <row r="217" spans="1:24" x14ac:dyDescent="0.25">
      <c r="A217" s="13"/>
      <c r="B217" s="13"/>
      <c r="C217" s="13"/>
      <c r="D217" s="13"/>
      <c r="E217" s="13"/>
      <c r="F217" s="13"/>
      <c r="G217" s="13"/>
      <c r="H217" s="14"/>
      <c r="I217" s="13"/>
      <c r="J217" s="14"/>
      <c r="K217" s="13"/>
      <c r="L217" s="14"/>
      <c r="M217" s="13"/>
      <c r="O217" s="13"/>
      <c r="P217" s="14"/>
      <c r="Q217" s="13"/>
      <c r="R217" s="14"/>
      <c r="S217" s="13"/>
      <c r="T217" s="14"/>
      <c r="U217" s="13"/>
      <c r="V217" s="14"/>
      <c r="W217" s="13"/>
      <c r="X217" s="13"/>
    </row>
    <row r="218" spans="1:24" x14ac:dyDescent="0.25">
      <c r="A218" s="13"/>
      <c r="B218" s="13"/>
      <c r="C218" s="13"/>
      <c r="D218" s="13"/>
      <c r="E218" s="13"/>
      <c r="F218" s="13"/>
      <c r="G218" s="13"/>
      <c r="H218" s="14"/>
      <c r="I218" s="13"/>
      <c r="J218" s="14"/>
      <c r="K218" s="13"/>
      <c r="L218" s="14"/>
      <c r="M218" s="13"/>
      <c r="O218" s="13"/>
      <c r="P218" s="14"/>
      <c r="Q218" s="13"/>
      <c r="R218" s="14"/>
      <c r="S218" s="13"/>
      <c r="T218" s="14"/>
      <c r="U218" s="13"/>
      <c r="V218" s="14"/>
      <c r="W218" s="13"/>
      <c r="X218" s="13"/>
    </row>
    <row r="219" spans="1:24" x14ac:dyDescent="0.25">
      <c r="A219" s="13"/>
      <c r="B219" s="13"/>
      <c r="C219" s="13"/>
      <c r="D219" s="13"/>
      <c r="E219" s="13"/>
      <c r="F219" s="13"/>
      <c r="G219" s="13"/>
      <c r="H219" s="14"/>
      <c r="I219" s="13"/>
      <c r="J219" s="14"/>
      <c r="K219" s="13"/>
      <c r="L219" s="14"/>
      <c r="M219" s="13"/>
      <c r="O219" s="13"/>
      <c r="P219" s="14"/>
      <c r="Q219" s="13"/>
      <c r="R219" s="14"/>
      <c r="S219" s="13"/>
      <c r="T219" s="14"/>
      <c r="U219" s="13"/>
      <c r="V219" s="14"/>
      <c r="W219" s="13"/>
      <c r="X219" s="13"/>
    </row>
    <row r="220" spans="1:24" x14ac:dyDescent="0.25">
      <c r="A220" s="13"/>
      <c r="B220" s="13"/>
      <c r="C220" s="13"/>
      <c r="D220" s="13"/>
      <c r="E220" s="13"/>
      <c r="F220" s="13"/>
      <c r="G220" s="13"/>
      <c r="H220" s="14"/>
      <c r="I220" s="13"/>
      <c r="J220" s="14"/>
      <c r="K220" s="13"/>
      <c r="L220" s="14"/>
      <c r="M220" s="13"/>
      <c r="O220" s="13"/>
      <c r="P220" s="14"/>
      <c r="Q220" s="13"/>
      <c r="R220" s="14"/>
      <c r="S220" s="13"/>
      <c r="T220" s="14"/>
      <c r="U220" s="13"/>
      <c r="V220" s="14"/>
      <c r="W220" s="13"/>
      <c r="X220" s="13"/>
    </row>
    <row r="221" spans="1:24" x14ac:dyDescent="0.25">
      <c r="A221" s="13"/>
      <c r="B221" s="13"/>
      <c r="C221" s="13"/>
      <c r="D221" s="13"/>
      <c r="E221" s="13"/>
      <c r="F221" s="13"/>
      <c r="G221" s="13"/>
      <c r="H221" s="14"/>
      <c r="I221" s="13"/>
      <c r="J221" s="14"/>
      <c r="K221" s="13"/>
      <c r="L221" s="14"/>
      <c r="M221" s="13"/>
      <c r="O221" s="13"/>
      <c r="P221" s="14"/>
      <c r="Q221" s="13"/>
      <c r="R221" s="14"/>
      <c r="S221" s="13"/>
      <c r="T221" s="14"/>
      <c r="U221" s="13"/>
      <c r="V221" s="14"/>
      <c r="W221" s="13"/>
      <c r="X221" s="13"/>
    </row>
    <row r="222" spans="1:24" x14ac:dyDescent="0.25">
      <c r="A222" s="13"/>
      <c r="B222" s="13"/>
      <c r="C222" s="13"/>
      <c r="D222" s="13"/>
      <c r="E222" s="13"/>
      <c r="F222" s="13"/>
      <c r="G222" s="13"/>
      <c r="H222" s="14"/>
      <c r="I222" s="13"/>
      <c r="J222" s="14"/>
      <c r="K222" s="13"/>
      <c r="L222" s="14"/>
      <c r="M222" s="13"/>
      <c r="O222" s="13"/>
      <c r="P222" s="14"/>
      <c r="Q222" s="13"/>
      <c r="R222" s="14"/>
      <c r="S222" s="13"/>
      <c r="T222" s="14"/>
      <c r="U222" s="13"/>
      <c r="V222" s="14"/>
      <c r="W222" s="13"/>
      <c r="X222" s="13"/>
    </row>
    <row r="223" spans="1:24" x14ac:dyDescent="0.25">
      <c r="A223" s="13"/>
      <c r="B223" s="13"/>
      <c r="C223" s="13"/>
      <c r="D223" s="13"/>
      <c r="E223" s="13"/>
      <c r="F223" s="13"/>
      <c r="G223" s="13"/>
      <c r="H223" s="14"/>
      <c r="I223" s="13"/>
      <c r="J223" s="14"/>
      <c r="K223" s="13"/>
      <c r="L223" s="14"/>
      <c r="M223" s="13"/>
      <c r="O223" s="13"/>
      <c r="P223" s="14"/>
      <c r="Q223" s="13"/>
      <c r="R223" s="14"/>
      <c r="S223" s="13"/>
      <c r="T223" s="14"/>
      <c r="U223" s="13"/>
      <c r="V223" s="14"/>
      <c r="W223" s="13"/>
      <c r="X223" s="13"/>
    </row>
    <row r="224" spans="1:24" x14ac:dyDescent="0.25">
      <c r="A224" s="13"/>
      <c r="B224" s="13"/>
      <c r="C224" s="13"/>
      <c r="D224" s="13"/>
      <c r="E224" s="13"/>
      <c r="F224" s="13"/>
      <c r="G224" s="13"/>
      <c r="H224" s="14"/>
      <c r="I224" s="13"/>
      <c r="J224" s="14"/>
      <c r="K224" s="13"/>
      <c r="L224" s="14"/>
      <c r="M224" s="13"/>
      <c r="O224" s="13"/>
      <c r="P224" s="14"/>
      <c r="Q224" s="13"/>
      <c r="R224" s="14"/>
      <c r="S224" s="13"/>
      <c r="T224" s="14"/>
      <c r="U224" s="13"/>
      <c r="V224" s="14"/>
      <c r="W224" s="13"/>
      <c r="X224" s="13"/>
    </row>
    <row r="225" spans="1:24" x14ac:dyDescent="0.25">
      <c r="A225" s="13"/>
      <c r="B225" s="13"/>
      <c r="C225" s="13"/>
      <c r="D225" s="13"/>
      <c r="E225" s="13"/>
      <c r="F225" s="13"/>
      <c r="G225" s="13"/>
      <c r="H225" s="14"/>
      <c r="I225" s="13"/>
      <c r="J225" s="14"/>
      <c r="K225" s="13"/>
      <c r="L225" s="14"/>
      <c r="M225" s="13"/>
      <c r="O225" s="13"/>
      <c r="P225" s="14"/>
      <c r="Q225" s="13"/>
      <c r="R225" s="14"/>
      <c r="S225" s="13"/>
      <c r="T225" s="14"/>
      <c r="U225" s="13"/>
      <c r="V225" s="14"/>
      <c r="W225" s="13"/>
      <c r="X225" s="13"/>
    </row>
    <row r="226" spans="1:24" x14ac:dyDescent="0.25">
      <c r="A226" s="13"/>
      <c r="B226" s="13"/>
      <c r="C226" s="13"/>
      <c r="D226" s="13"/>
      <c r="E226" s="13"/>
      <c r="F226" s="13"/>
      <c r="G226" s="13"/>
      <c r="H226" s="14"/>
      <c r="I226" s="13"/>
      <c r="J226" s="14"/>
      <c r="K226" s="13"/>
      <c r="L226" s="14"/>
      <c r="M226" s="13"/>
      <c r="O226" s="13"/>
      <c r="P226" s="14"/>
      <c r="Q226" s="13"/>
      <c r="R226" s="14"/>
      <c r="S226" s="13"/>
      <c r="T226" s="14"/>
      <c r="U226" s="13"/>
      <c r="V226" s="14"/>
      <c r="W226" s="13"/>
      <c r="X226" s="13"/>
    </row>
    <row r="227" spans="1:24" x14ac:dyDescent="0.25">
      <c r="A227" s="13"/>
      <c r="B227" s="13"/>
      <c r="C227" s="13"/>
      <c r="D227" s="13"/>
      <c r="E227" s="13"/>
      <c r="F227" s="13"/>
      <c r="G227" s="13"/>
      <c r="H227" s="14"/>
      <c r="I227" s="13"/>
      <c r="J227" s="14"/>
      <c r="K227" s="13"/>
      <c r="L227" s="14"/>
      <c r="M227" s="13"/>
      <c r="O227" s="13"/>
      <c r="P227" s="14"/>
      <c r="Q227" s="13"/>
      <c r="R227" s="14"/>
      <c r="S227" s="13"/>
      <c r="T227" s="14"/>
      <c r="U227" s="13"/>
      <c r="V227" s="14"/>
      <c r="W227" s="13"/>
      <c r="X227" s="13"/>
    </row>
    <row r="228" spans="1:24" x14ac:dyDescent="0.25">
      <c r="A228" s="13"/>
      <c r="B228" s="13"/>
      <c r="C228" s="13"/>
      <c r="D228" s="13"/>
      <c r="E228" s="13"/>
      <c r="F228" s="13"/>
      <c r="G228" s="13"/>
      <c r="H228" s="14"/>
      <c r="I228" s="13"/>
      <c r="J228" s="14"/>
      <c r="K228" s="13"/>
      <c r="L228" s="14"/>
      <c r="M228" s="13"/>
      <c r="O228" s="13"/>
      <c r="P228" s="14"/>
      <c r="Q228" s="13"/>
      <c r="R228" s="14"/>
      <c r="S228" s="13"/>
      <c r="T228" s="14"/>
      <c r="U228" s="13"/>
      <c r="V228" s="14"/>
      <c r="W228" s="13"/>
      <c r="X228" s="13"/>
    </row>
    <row r="229" spans="1:24" x14ac:dyDescent="0.25">
      <c r="A229" s="13"/>
      <c r="B229" s="13"/>
      <c r="C229" s="13"/>
      <c r="D229" s="13"/>
      <c r="E229" s="13"/>
      <c r="F229" s="13"/>
      <c r="G229" s="13"/>
      <c r="H229" s="14"/>
      <c r="I229" s="13"/>
      <c r="J229" s="14"/>
      <c r="K229" s="13"/>
      <c r="L229" s="14"/>
      <c r="M229" s="13"/>
      <c r="O229" s="13"/>
      <c r="P229" s="14"/>
      <c r="Q229" s="13"/>
      <c r="R229" s="14"/>
      <c r="S229" s="13"/>
      <c r="T229" s="14"/>
      <c r="U229" s="13"/>
      <c r="V229" s="14"/>
      <c r="W229" s="13"/>
      <c r="X229" s="13"/>
    </row>
    <row r="230" spans="1:24" x14ac:dyDescent="0.25">
      <c r="A230" s="13"/>
      <c r="B230" s="13"/>
      <c r="C230" s="13"/>
      <c r="D230" s="13"/>
      <c r="E230" s="13"/>
      <c r="F230" s="13"/>
      <c r="G230" s="13"/>
      <c r="H230" s="14"/>
      <c r="I230" s="13"/>
      <c r="J230" s="14"/>
      <c r="K230" s="13"/>
      <c r="L230" s="14"/>
      <c r="M230" s="13"/>
      <c r="O230" s="13"/>
      <c r="P230" s="14"/>
      <c r="Q230" s="13"/>
      <c r="R230" s="14"/>
      <c r="S230" s="13"/>
      <c r="T230" s="14"/>
      <c r="U230" s="13"/>
      <c r="V230" s="14"/>
      <c r="W230" s="13"/>
      <c r="X230" s="13"/>
    </row>
    <row r="231" spans="1:24" x14ac:dyDescent="0.25">
      <c r="A231" s="13"/>
      <c r="B231" s="13"/>
      <c r="C231" s="13"/>
      <c r="D231" s="13"/>
      <c r="E231" s="13"/>
      <c r="F231" s="13"/>
      <c r="G231" s="13"/>
      <c r="H231" s="14"/>
      <c r="I231" s="13"/>
      <c r="J231" s="14"/>
      <c r="K231" s="13"/>
      <c r="L231" s="14"/>
      <c r="M231" s="13"/>
      <c r="O231" s="13"/>
      <c r="P231" s="14"/>
      <c r="Q231" s="13"/>
      <c r="R231" s="14"/>
      <c r="S231" s="13"/>
      <c r="T231" s="14"/>
      <c r="U231" s="13"/>
      <c r="V231" s="14"/>
      <c r="W231" s="13"/>
      <c r="X231" s="13"/>
    </row>
    <row r="232" spans="1:24" x14ac:dyDescent="0.25">
      <c r="A232" s="13"/>
      <c r="B232" s="13"/>
      <c r="C232" s="13"/>
      <c r="D232" s="13"/>
      <c r="E232" s="13"/>
      <c r="F232" s="13"/>
      <c r="G232" s="13"/>
      <c r="H232" s="14"/>
      <c r="I232" s="13"/>
      <c r="J232" s="14"/>
      <c r="K232" s="13"/>
      <c r="L232" s="14"/>
      <c r="M232" s="13"/>
      <c r="O232" s="13"/>
      <c r="P232" s="14"/>
      <c r="Q232" s="13"/>
      <c r="R232" s="14"/>
      <c r="S232" s="13"/>
      <c r="T232" s="14"/>
      <c r="U232" s="13"/>
      <c r="V232" s="14"/>
      <c r="W232" s="13"/>
      <c r="X232" s="13"/>
    </row>
    <row r="233" spans="1:24" x14ac:dyDescent="0.25">
      <c r="A233" s="13"/>
      <c r="B233" s="13"/>
      <c r="C233" s="13"/>
      <c r="D233" s="13"/>
      <c r="E233" s="13"/>
      <c r="F233" s="13"/>
      <c r="G233" s="13"/>
      <c r="H233" s="14"/>
      <c r="I233" s="13"/>
      <c r="J233" s="14"/>
      <c r="K233" s="13"/>
      <c r="L233" s="14"/>
      <c r="M233" s="13"/>
      <c r="O233" s="13"/>
      <c r="P233" s="14"/>
      <c r="Q233" s="13"/>
      <c r="R233" s="14"/>
      <c r="S233" s="13"/>
      <c r="T233" s="14"/>
      <c r="U233" s="13"/>
      <c r="V233" s="14"/>
      <c r="W233" s="13"/>
      <c r="X233" s="13"/>
    </row>
    <row r="234" spans="1:24" x14ac:dyDescent="0.25">
      <c r="A234" s="13"/>
      <c r="B234" s="13"/>
      <c r="C234" s="13"/>
      <c r="D234" s="13"/>
      <c r="E234" s="13"/>
      <c r="F234" s="13"/>
      <c r="G234" s="13"/>
      <c r="H234" s="14"/>
      <c r="I234" s="13"/>
      <c r="J234" s="14"/>
      <c r="K234" s="13"/>
      <c r="L234" s="14"/>
      <c r="M234" s="13"/>
      <c r="O234" s="13"/>
      <c r="P234" s="14"/>
      <c r="Q234" s="13"/>
      <c r="R234" s="14"/>
      <c r="S234" s="13"/>
      <c r="T234" s="14"/>
      <c r="U234" s="13"/>
      <c r="V234" s="14"/>
      <c r="W234" s="13"/>
      <c r="X234" s="13"/>
    </row>
    <row r="235" spans="1:24" x14ac:dyDescent="0.25">
      <c r="A235" s="13"/>
      <c r="B235" s="13"/>
      <c r="C235" s="13"/>
      <c r="D235" s="13"/>
      <c r="E235" s="13"/>
      <c r="F235" s="13"/>
      <c r="G235" s="13"/>
      <c r="H235" s="14"/>
      <c r="I235" s="13"/>
      <c r="J235" s="14"/>
      <c r="K235" s="13"/>
      <c r="L235" s="14"/>
      <c r="M235" s="13"/>
      <c r="O235" s="13"/>
      <c r="P235" s="14"/>
      <c r="Q235" s="13"/>
      <c r="R235" s="14"/>
      <c r="S235" s="13"/>
      <c r="T235" s="14"/>
      <c r="U235" s="13"/>
      <c r="V235" s="14"/>
      <c r="W235" s="13"/>
      <c r="X235" s="13"/>
    </row>
    <row r="236" spans="1:24" x14ac:dyDescent="0.25">
      <c r="A236" s="13"/>
      <c r="B236" s="13"/>
      <c r="C236" s="13"/>
      <c r="D236" s="13"/>
      <c r="E236" s="13"/>
      <c r="F236" s="13"/>
      <c r="G236" s="13"/>
      <c r="H236" s="14"/>
      <c r="I236" s="13"/>
      <c r="J236" s="14"/>
      <c r="K236" s="13"/>
      <c r="L236" s="14"/>
      <c r="M236" s="13"/>
      <c r="O236" s="13"/>
      <c r="P236" s="14"/>
      <c r="Q236" s="13"/>
      <c r="R236" s="14"/>
      <c r="S236" s="13"/>
      <c r="T236" s="14"/>
      <c r="U236" s="13"/>
      <c r="V236" s="14"/>
      <c r="W236" s="13"/>
      <c r="X236" s="13"/>
    </row>
    <row r="237" spans="1:24" x14ac:dyDescent="0.25">
      <c r="A237" s="13"/>
      <c r="B237" s="13"/>
      <c r="C237" s="13"/>
      <c r="D237" s="13"/>
      <c r="E237" s="13"/>
      <c r="F237" s="13"/>
      <c r="G237" s="13"/>
      <c r="H237" s="14"/>
      <c r="I237" s="13"/>
      <c r="J237" s="14"/>
      <c r="K237" s="13"/>
      <c r="L237" s="14"/>
      <c r="M237" s="13"/>
      <c r="O237" s="13"/>
      <c r="P237" s="14"/>
      <c r="Q237" s="13"/>
      <c r="R237" s="14"/>
      <c r="S237" s="13"/>
      <c r="T237" s="14"/>
      <c r="U237" s="13"/>
      <c r="V237" s="14"/>
      <c r="W237" s="13"/>
      <c r="X237" s="13"/>
    </row>
    <row r="238" spans="1:24" x14ac:dyDescent="0.25">
      <c r="A238" s="13"/>
      <c r="B238" s="13"/>
      <c r="C238" s="13"/>
      <c r="D238" s="13"/>
      <c r="E238" s="13"/>
      <c r="F238" s="13"/>
      <c r="G238" s="13"/>
      <c r="H238" s="14"/>
      <c r="I238" s="13"/>
      <c r="J238" s="14"/>
      <c r="K238" s="13"/>
      <c r="L238" s="14"/>
      <c r="M238" s="13"/>
      <c r="O238" s="13"/>
      <c r="P238" s="14"/>
      <c r="Q238" s="13"/>
      <c r="R238" s="14"/>
      <c r="S238" s="13"/>
      <c r="T238" s="14"/>
      <c r="U238" s="13"/>
      <c r="V238" s="14"/>
      <c r="W238" s="13"/>
      <c r="X238" s="13"/>
    </row>
    <row r="239" spans="1:24" x14ac:dyDescent="0.25">
      <c r="A239" s="13"/>
      <c r="B239" s="13"/>
      <c r="C239" s="13"/>
      <c r="D239" s="13"/>
      <c r="E239" s="13"/>
      <c r="F239" s="13"/>
      <c r="G239" s="13"/>
      <c r="H239" s="14"/>
      <c r="I239" s="13"/>
      <c r="J239" s="14"/>
      <c r="K239" s="13"/>
      <c r="L239" s="14"/>
      <c r="M239" s="13"/>
      <c r="O239" s="13"/>
      <c r="P239" s="14"/>
      <c r="Q239" s="13"/>
      <c r="R239" s="14"/>
      <c r="S239" s="13"/>
      <c r="T239" s="14"/>
      <c r="U239" s="13"/>
      <c r="V239" s="14"/>
      <c r="W239" s="13"/>
      <c r="X239" s="13"/>
    </row>
    <row r="240" spans="1:24" x14ac:dyDescent="0.25">
      <c r="A240" s="13"/>
      <c r="B240" s="13"/>
      <c r="C240" s="13"/>
      <c r="D240" s="13"/>
      <c r="E240" s="13"/>
      <c r="F240" s="13"/>
      <c r="G240" s="13"/>
      <c r="H240" s="14"/>
      <c r="I240" s="13"/>
      <c r="J240" s="14"/>
      <c r="K240" s="13"/>
      <c r="L240" s="14"/>
      <c r="M240" s="13"/>
      <c r="O240" s="13"/>
      <c r="P240" s="14"/>
      <c r="Q240" s="13"/>
      <c r="R240" s="14"/>
      <c r="S240" s="13"/>
      <c r="T240" s="14"/>
      <c r="U240" s="13"/>
      <c r="V240" s="14"/>
      <c r="W240" s="13"/>
      <c r="X240" s="13"/>
    </row>
    <row r="241" spans="1:24" x14ac:dyDescent="0.25">
      <c r="A241" s="13"/>
      <c r="B241" s="13"/>
      <c r="C241" s="13"/>
      <c r="D241" s="13"/>
      <c r="E241" s="13"/>
      <c r="F241" s="13"/>
      <c r="G241" s="13"/>
      <c r="H241" s="14"/>
      <c r="I241" s="13"/>
      <c r="J241" s="14"/>
      <c r="K241" s="13"/>
      <c r="L241" s="14"/>
      <c r="M241" s="13"/>
      <c r="O241" s="13"/>
      <c r="P241" s="14"/>
      <c r="Q241" s="13"/>
      <c r="R241" s="14"/>
      <c r="S241" s="13"/>
      <c r="T241" s="14"/>
      <c r="U241" s="13"/>
      <c r="V241" s="14"/>
      <c r="W241" s="13"/>
      <c r="X241" s="13"/>
    </row>
    <row r="242" spans="1:24" x14ac:dyDescent="0.25">
      <c r="A242" s="13"/>
      <c r="B242" s="13"/>
      <c r="C242" s="13"/>
      <c r="D242" s="13"/>
      <c r="E242" s="13"/>
      <c r="F242" s="13"/>
      <c r="G242" s="13"/>
      <c r="H242" s="14"/>
      <c r="I242" s="13"/>
      <c r="J242" s="14"/>
      <c r="K242" s="13"/>
      <c r="L242" s="14"/>
      <c r="M242" s="13"/>
      <c r="O242" s="13"/>
      <c r="P242" s="14"/>
      <c r="Q242" s="13"/>
      <c r="R242" s="14"/>
      <c r="S242" s="13"/>
      <c r="T242" s="14"/>
      <c r="U242" s="13"/>
      <c r="V242" s="14"/>
      <c r="W242" s="13"/>
      <c r="X242" s="13"/>
    </row>
    <row r="243" spans="1:24" x14ac:dyDescent="0.25">
      <c r="A243" s="13"/>
      <c r="B243" s="13"/>
      <c r="C243" s="13"/>
      <c r="D243" s="13"/>
      <c r="E243" s="13"/>
      <c r="F243" s="13"/>
      <c r="G243" s="13"/>
      <c r="H243" s="14"/>
      <c r="I243" s="13"/>
      <c r="J243" s="14"/>
      <c r="K243" s="13"/>
      <c r="L243" s="14"/>
      <c r="M243" s="13"/>
      <c r="O243" s="13"/>
      <c r="P243" s="14"/>
      <c r="Q243" s="13"/>
      <c r="R243" s="14"/>
      <c r="S243" s="13"/>
      <c r="T243" s="14"/>
      <c r="U243" s="13"/>
      <c r="V243" s="14"/>
      <c r="W243" s="13"/>
      <c r="X243" s="13"/>
    </row>
    <row r="244" spans="1:24" x14ac:dyDescent="0.25">
      <c r="A244" s="13"/>
      <c r="B244" s="13"/>
      <c r="C244" s="13"/>
      <c r="D244" s="13"/>
      <c r="E244" s="13"/>
      <c r="F244" s="13"/>
      <c r="G244" s="13"/>
      <c r="H244" s="14"/>
      <c r="I244" s="13"/>
      <c r="J244" s="14"/>
      <c r="K244" s="13"/>
      <c r="L244" s="14"/>
      <c r="M244" s="13"/>
      <c r="O244" s="13"/>
      <c r="P244" s="14"/>
      <c r="Q244" s="13"/>
      <c r="R244" s="14"/>
      <c r="S244" s="13"/>
      <c r="T244" s="14"/>
      <c r="U244" s="13"/>
      <c r="V244" s="14"/>
      <c r="W244" s="13"/>
      <c r="X244" s="13"/>
    </row>
    <row r="245" spans="1:24" x14ac:dyDescent="0.25">
      <c r="A245" s="13"/>
      <c r="B245" s="13"/>
      <c r="C245" s="13"/>
      <c r="D245" s="13"/>
      <c r="E245" s="13"/>
      <c r="F245" s="13"/>
      <c r="G245" s="13"/>
      <c r="H245" s="14"/>
      <c r="I245" s="13"/>
      <c r="J245" s="14"/>
      <c r="K245" s="13"/>
      <c r="L245" s="14"/>
      <c r="M245" s="13"/>
      <c r="O245" s="13"/>
      <c r="P245" s="14"/>
      <c r="Q245" s="13"/>
      <c r="R245" s="14"/>
      <c r="S245" s="13"/>
      <c r="T245" s="14"/>
      <c r="U245" s="13"/>
      <c r="V245" s="14"/>
      <c r="W245" s="13"/>
      <c r="X245" s="13"/>
    </row>
    <row r="246" spans="1:24" x14ac:dyDescent="0.25">
      <c r="A246" s="13"/>
      <c r="B246" s="13"/>
      <c r="C246" s="13"/>
      <c r="D246" s="13"/>
      <c r="E246" s="13"/>
      <c r="F246" s="13"/>
      <c r="G246" s="13"/>
      <c r="H246" s="14"/>
      <c r="I246" s="13"/>
      <c r="J246" s="14"/>
      <c r="K246" s="13"/>
      <c r="L246" s="14"/>
      <c r="M246" s="13"/>
      <c r="O246" s="13"/>
      <c r="P246" s="14"/>
      <c r="Q246" s="13"/>
      <c r="R246" s="14"/>
      <c r="S246" s="13"/>
      <c r="T246" s="14"/>
      <c r="U246" s="13"/>
      <c r="V246" s="14"/>
      <c r="W246" s="13"/>
      <c r="X246" s="13"/>
    </row>
    <row r="247" spans="1:24" x14ac:dyDescent="0.25">
      <c r="A247" s="13"/>
      <c r="B247" s="13"/>
      <c r="C247" s="13"/>
      <c r="D247" s="13"/>
      <c r="E247" s="13"/>
      <c r="F247" s="13"/>
      <c r="G247" s="13"/>
      <c r="H247" s="14"/>
      <c r="I247" s="13"/>
      <c r="J247" s="14"/>
      <c r="K247" s="13"/>
      <c r="L247" s="14"/>
      <c r="M247" s="13"/>
      <c r="O247" s="13"/>
      <c r="P247" s="14"/>
      <c r="Q247" s="13"/>
      <c r="R247" s="14"/>
      <c r="S247" s="13"/>
      <c r="T247" s="14"/>
      <c r="U247" s="13"/>
      <c r="V247" s="14"/>
      <c r="W247" s="13"/>
      <c r="X247" s="13"/>
    </row>
    <row r="248" spans="1:24" x14ac:dyDescent="0.25">
      <c r="A248" s="13"/>
      <c r="B248" s="13"/>
      <c r="C248" s="13"/>
      <c r="D248" s="13"/>
      <c r="E248" s="13"/>
      <c r="F248" s="13"/>
      <c r="G248" s="13"/>
      <c r="H248" s="14"/>
      <c r="I248" s="13"/>
      <c r="J248" s="14"/>
      <c r="K248" s="13"/>
      <c r="L248" s="14"/>
      <c r="M248" s="13"/>
      <c r="O248" s="13"/>
      <c r="P248" s="14"/>
      <c r="Q248" s="13"/>
      <c r="R248" s="14"/>
      <c r="S248" s="13"/>
      <c r="T248" s="14"/>
      <c r="U248" s="13"/>
      <c r="V248" s="14"/>
      <c r="W248" s="13"/>
      <c r="X248" s="13"/>
    </row>
    <row r="249" spans="1:24" x14ac:dyDescent="0.25">
      <c r="A249" s="13"/>
      <c r="B249" s="13"/>
      <c r="C249" s="13"/>
      <c r="D249" s="13"/>
      <c r="E249" s="13"/>
      <c r="F249" s="13"/>
      <c r="G249" s="13"/>
      <c r="H249" s="14"/>
      <c r="I249" s="13"/>
      <c r="J249" s="14"/>
      <c r="K249" s="13"/>
      <c r="L249" s="14"/>
      <c r="M249" s="13"/>
      <c r="O249" s="13"/>
      <c r="P249" s="14"/>
      <c r="Q249" s="13"/>
      <c r="R249" s="14"/>
      <c r="S249" s="13"/>
      <c r="T249" s="14"/>
      <c r="U249" s="13"/>
      <c r="V249" s="14"/>
      <c r="W249" s="13"/>
      <c r="X249" s="13"/>
    </row>
    <row r="250" spans="1:24" x14ac:dyDescent="0.25">
      <c r="A250" s="13"/>
      <c r="B250" s="13"/>
      <c r="C250" s="13"/>
      <c r="D250" s="13"/>
      <c r="E250" s="13"/>
      <c r="F250" s="13"/>
      <c r="G250" s="13"/>
      <c r="H250" s="14"/>
      <c r="I250" s="13"/>
      <c r="J250" s="14"/>
      <c r="K250" s="13"/>
      <c r="L250" s="14"/>
      <c r="M250" s="13"/>
      <c r="O250" s="13"/>
      <c r="P250" s="14"/>
      <c r="Q250" s="13"/>
      <c r="R250" s="14"/>
      <c r="S250" s="13"/>
      <c r="T250" s="14"/>
      <c r="U250" s="13"/>
      <c r="V250" s="14"/>
      <c r="W250" s="13"/>
      <c r="X250" s="13"/>
    </row>
    <row r="251" spans="1:24" x14ac:dyDescent="0.25">
      <c r="A251" s="13"/>
      <c r="B251" s="13"/>
      <c r="C251" s="13"/>
      <c r="D251" s="13"/>
      <c r="E251" s="13"/>
      <c r="F251" s="13"/>
      <c r="G251" s="13"/>
      <c r="H251" s="14"/>
      <c r="I251" s="13"/>
      <c r="J251" s="14"/>
      <c r="K251" s="13"/>
      <c r="L251" s="14"/>
      <c r="M251" s="13"/>
      <c r="O251" s="13"/>
      <c r="P251" s="14"/>
      <c r="Q251" s="13"/>
      <c r="R251" s="14"/>
      <c r="S251" s="13"/>
      <c r="T251" s="14"/>
      <c r="U251" s="13"/>
      <c r="V251" s="14"/>
      <c r="W251" s="13"/>
      <c r="X251" s="13"/>
    </row>
    <row r="252" spans="1:24" x14ac:dyDescent="0.25">
      <c r="A252" s="13"/>
      <c r="B252" s="13"/>
      <c r="C252" s="13"/>
      <c r="D252" s="13"/>
      <c r="E252" s="13"/>
      <c r="F252" s="13"/>
      <c r="G252" s="13"/>
      <c r="H252" s="14"/>
      <c r="I252" s="13"/>
      <c r="J252" s="14"/>
      <c r="K252" s="13"/>
      <c r="L252" s="14"/>
      <c r="M252" s="13"/>
      <c r="O252" s="13"/>
      <c r="P252" s="14"/>
      <c r="Q252" s="13"/>
      <c r="R252" s="14"/>
      <c r="S252" s="13"/>
      <c r="T252" s="14"/>
      <c r="U252" s="13"/>
      <c r="V252" s="14"/>
      <c r="W252" s="13"/>
      <c r="X252" s="13"/>
    </row>
    <row r="253" spans="1:24" x14ac:dyDescent="0.25">
      <c r="A253" s="13"/>
      <c r="B253" s="13"/>
      <c r="C253" s="13"/>
      <c r="D253" s="13"/>
      <c r="E253" s="13"/>
      <c r="F253" s="13"/>
      <c r="G253" s="13"/>
      <c r="H253" s="14"/>
      <c r="I253" s="13"/>
      <c r="J253" s="14"/>
      <c r="K253" s="13"/>
      <c r="L253" s="14"/>
      <c r="M253" s="13"/>
      <c r="O253" s="13"/>
      <c r="P253" s="14"/>
      <c r="Q253" s="13"/>
      <c r="R253" s="14"/>
      <c r="S253" s="13"/>
      <c r="T253" s="14"/>
      <c r="U253" s="13"/>
      <c r="V253" s="14"/>
      <c r="W253" s="13"/>
      <c r="X253" s="13"/>
    </row>
    <row r="254" spans="1:24" x14ac:dyDescent="0.25">
      <c r="A254" s="13"/>
      <c r="B254" s="13"/>
      <c r="C254" s="13"/>
      <c r="D254" s="13"/>
      <c r="E254" s="13"/>
      <c r="F254" s="13"/>
      <c r="G254" s="13"/>
      <c r="H254" s="14"/>
      <c r="I254" s="13"/>
      <c r="J254" s="14"/>
      <c r="K254" s="13"/>
      <c r="L254" s="14"/>
      <c r="M254" s="13"/>
      <c r="O254" s="13"/>
      <c r="P254" s="14"/>
      <c r="Q254" s="13"/>
      <c r="R254" s="14"/>
      <c r="S254" s="13"/>
      <c r="T254" s="14"/>
      <c r="U254" s="13"/>
      <c r="V254" s="14"/>
      <c r="W254" s="13"/>
      <c r="X254" s="13"/>
    </row>
    <row r="255" spans="1:24" x14ac:dyDescent="0.25">
      <c r="A255" s="13"/>
      <c r="B255" s="13"/>
      <c r="C255" s="13"/>
      <c r="D255" s="13"/>
      <c r="E255" s="13"/>
      <c r="F255" s="13"/>
      <c r="G255" s="13"/>
      <c r="H255" s="14"/>
      <c r="I255" s="13"/>
      <c r="J255" s="14"/>
      <c r="K255" s="13"/>
      <c r="L255" s="14"/>
      <c r="M255" s="13"/>
      <c r="O255" s="13"/>
      <c r="P255" s="14"/>
      <c r="Q255" s="13"/>
      <c r="R255" s="14"/>
      <c r="S255" s="13"/>
      <c r="T255" s="14"/>
      <c r="U255" s="13"/>
      <c r="V255" s="14"/>
      <c r="W255" s="13"/>
      <c r="X255" s="13"/>
    </row>
    <row r="256" spans="1:24" x14ac:dyDescent="0.25">
      <c r="A256" s="13"/>
      <c r="B256" s="13"/>
      <c r="C256" s="13"/>
      <c r="D256" s="13"/>
      <c r="E256" s="13"/>
      <c r="F256" s="13"/>
      <c r="G256" s="13"/>
      <c r="H256" s="14"/>
      <c r="I256" s="13"/>
      <c r="J256" s="14"/>
      <c r="K256" s="13"/>
      <c r="L256" s="14"/>
      <c r="M256" s="13"/>
      <c r="O256" s="13"/>
      <c r="P256" s="14"/>
      <c r="Q256" s="13"/>
      <c r="R256" s="14"/>
      <c r="S256" s="13"/>
      <c r="T256" s="14"/>
      <c r="U256" s="13"/>
      <c r="V256" s="14"/>
      <c r="W256" s="13"/>
      <c r="X256" s="13"/>
    </row>
    <row r="257" spans="1:24" x14ac:dyDescent="0.25">
      <c r="A257" s="13"/>
      <c r="B257" s="13"/>
      <c r="C257" s="13"/>
      <c r="D257" s="13"/>
      <c r="E257" s="13"/>
      <c r="F257" s="13"/>
      <c r="G257" s="13"/>
      <c r="H257" s="14"/>
      <c r="I257" s="13"/>
      <c r="J257" s="14"/>
      <c r="K257" s="13"/>
      <c r="L257" s="14"/>
      <c r="M257" s="13"/>
      <c r="O257" s="13"/>
      <c r="P257" s="14"/>
      <c r="Q257" s="13"/>
      <c r="R257" s="14"/>
      <c r="S257" s="13"/>
      <c r="T257" s="14"/>
      <c r="U257" s="13"/>
      <c r="V257" s="14"/>
      <c r="W257" s="13"/>
      <c r="X257" s="13"/>
    </row>
    <row r="258" spans="1:24" x14ac:dyDescent="0.25">
      <c r="A258" s="13"/>
      <c r="B258" s="13"/>
      <c r="C258" s="13"/>
      <c r="D258" s="13"/>
      <c r="E258" s="13"/>
      <c r="F258" s="13"/>
      <c r="G258" s="13"/>
      <c r="H258" s="14"/>
      <c r="I258" s="13"/>
      <c r="J258" s="14"/>
      <c r="K258" s="13"/>
      <c r="L258" s="14"/>
      <c r="M258" s="13"/>
      <c r="O258" s="13"/>
      <c r="P258" s="14"/>
      <c r="Q258" s="13"/>
      <c r="R258" s="14"/>
      <c r="S258" s="13"/>
      <c r="T258" s="14"/>
      <c r="U258" s="13"/>
      <c r="V258" s="14"/>
      <c r="W258" s="13"/>
      <c r="X258" s="13"/>
    </row>
    <row r="259" spans="1:24" x14ac:dyDescent="0.25">
      <c r="A259" s="13"/>
      <c r="B259" s="13"/>
      <c r="C259" s="13"/>
      <c r="D259" s="13"/>
      <c r="E259" s="13"/>
      <c r="F259" s="13"/>
      <c r="G259" s="13"/>
      <c r="H259" s="14"/>
      <c r="I259" s="13"/>
      <c r="J259" s="14"/>
      <c r="K259" s="13"/>
      <c r="L259" s="14"/>
      <c r="M259" s="13"/>
      <c r="O259" s="13"/>
      <c r="P259" s="14"/>
      <c r="Q259" s="13"/>
      <c r="R259" s="14"/>
      <c r="S259" s="13"/>
      <c r="T259" s="14"/>
      <c r="U259" s="13"/>
      <c r="V259" s="14"/>
      <c r="W259" s="13"/>
      <c r="X259" s="13"/>
    </row>
    <row r="260" spans="1:24" x14ac:dyDescent="0.25">
      <c r="A260" s="13"/>
      <c r="B260" s="13"/>
      <c r="C260" s="13"/>
      <c r="D260" s="13"/>
      <c r="E260" s="13"/>
      <c r="F260" s="13"/>
      <c r="G260" s="13"/>
      <c r="H260" s="14"/>
      <c r="I260" s="13"/>
      <c r="J260" s="14"/>
      <c r="K260" s="13"/>
      <c r="L260" s="14"/>
      <c r="M260" s="13"/>
      <c r="O260" s="13"/>
      <c r="P260" s="14"/>
      <c r="Q260" s="13"/>
      <c r="R260" s="14"/>
      <c r="S260" s="13"/>
      <c r="T260" s="14"/>
      <c r="U260" s="13"/>
      <c r="V260" s="14"/>
      <c r="W260" s="13"/>
      <c r="X260" s="13"/>
    </row>
    <row r="261" spans="1:24" x14ac:dyDescent="0.25">
      <c r="A261" s="13"/>
      <c r="B261" s="13"/>
      <c r="C261" s="13"/>
      <c r="D261" s="13"/>
      <c r="E261" s="13"/>
      <c r="F261" s="13"/>
      <c r="G261" s="13"/>
      <c r="H261" s="14"/>
      <c r="I261" s="13"/>
      <c r="J261" s="14"/>
      <c r="K261" s="13"/>
      <c r="L261" s="14"/>
      <c r="M261" s="13"/>
      <c r="O261" s="13"/>
      <c r="P261" s="14"/>
      <c r="Q261" s="13"/>
      <c r="R261" s="14"/>
      <c r="S261" s="13"/>
      <c r="T261" s="14"/>
      <c r="U261" s="13"/>
      <c r="V261" s="14"/>
      <c r="W261" s="13"/>
      <c r="X261" s="13"/>
    </row>
    <row r="262" spans="1:24" x14ac:dyDescent="0.25">
      <c r="A262" s="13"/>
      <c r="B262" s="13"/>
      <c r="C262" s="13"/>
      <c r="D262" s="13"/>
      <c r="E262" s="13"/>
      <c r="F262" s="13"/>
      <c r="G262" s="13"/>
      <c r="H262" s="14"/>
      <c r="I262" s="13"/>
      <c r="J262" s="14"/>
      <c r="K262" s="13"/>
      <c r="L262" s="14"/>
      <c r="M262" s="13"/>
      <c r="O262" s="13"/>
      <c r="P262" s="14"/>
      <c r="Q262" s="13"/>
      <c r="R262" s="14"/>
      <c r="S262" s="13"/>
      <c r="T262" s="14"/>
      <c r="U262" s="13"/>
      <c r="V262" s="14"/>
      <c r="W262" s="13"/>
      <c r="X262" s="13"/>
    </row>
    <row r="263" spans="1:24" x14ac:dyDescent="0.25">
      <c r="A263" s="13"/>
      <c r="B263" s="13"/>
      <c r="C263" s="13"/>
      <c r="D263" s="13"/>
      <c r="E263" s="13"/>
      <c r="F263" s="13"/>
      <c r="G263" s="13"/>
      <c r="H263" s="14"/>
      <c r="I263" s="13"/>
      <c r="J263" s="14"/>
      <c r="K263" s="13"/>
      <c r="L263" s="14"/>
      <c r="M263" s="13"/>
      <c r="O263" s="13"/>
      <c r="P263" s="14"/>
      <c r="Q263" s="13"/>
      <c r="R263" s="14"/>
      <c r="S263" s="13"/>
      <c r="T263" s="14"/>
      <c r="U263" s="13"/>
      <c r="V263" s="14"/>
      <c r="W263" s="13"/>
      <c r="X263" s="13"/>
    </row>
    <row r="264" spans="1:24" x14ac:dyDescent="0.25">
      <c r="A264" s="13"/>
      <c r="B264" s="13"/>
      <c r="C264" s="13"/>
      <c r="D264" s="13"/>
      <c r="E264" s="13"/>
      <c r="F264" s="13"/>
      <c r="G264" s="13"/>
      <c r="H264" s="14"/>
      <c r="I264" s="13"/>
      <c r="J264" s="14"/>
      <c r="K264" s="13"/>
      <c r="L264" s="14"/>
      <c r="M264" s="13"/>
      <c r="O264" s="13"/>
      <c r="P264" s="14"/>
      <c r="Q264" s="13"/>
      <c r="R264" s="14"/>
      <c r="S264" s="13"/>
      <c r="T264" s="14"/>
      <c r="U264" s="13"/>
      <c r="V264" s="14"/>
      <c r="W264" s="13"/>
      <c r="X264" s="13"/>
    </row>
    <row r="265" spans="1:24" x14ac:dyDescent="0.25">
      <c r="A265" s="13"/>
      <c r="B265" s="13"/>
      <c r="C265" s="13"/>
      <c r="D265" s="13"/>
      <c r="E265" s="13"/>
      <c r="F265" s="13"/>
      <c r="G265" s="13"/>
      <c r="H265" s="14"/>
      <c r="I265" s="13"/>
      <c r="J265" s="14"/>
      <c r="K265" s="13"/>
      <c r="L265" s="14"/>
      <c r="M265" s="13"/>
      <c r="O265" s="13"/>
      <c r="P265" s="14"/>
      <c r="Q265" s="13"/>
      <c r="R265" s="14"/>
      <c r="S265" s="13"/>
      <c r="T265" s="14"/>
      <c r="U265" s="13"/>
      <c r="V265" s="14"/>
      <c r="W265" s="13"/>
      <c r="X265" s="13"/>
    </row>
    <row r="266" spans="1:24" x14ac:dyDescent="0.25">
      <c r="A266" s="13"/>
      <c r="B266" s="13"/>
      <c r="C266" s="13"/>
      <c r="D266" s="13"/>
      <c r="E266" s="13"/>
      <c r="F266" s="13"/>
      <c r="G266" s="13"/>
      <c r="H266" s="14"/>
      <c r="I266" s="13"/>
      <c r="J266" s="14"/>
      <c r="K266" s="13"/>
      <c r="L266" s="14"/>
      <c r="M266" s="13"/>
      <c r="O266" s="13"/>
      <c r="P266" s="14"/>
      <c r="Q266" s="13"/>
      <c r="R266" s="14"/>
      <c r="S266" s="13"/>
      <c r="T266" s="14"/>
      <c r="U266" s="13"/>
      <c r="V266" s="14"/>
      <c r="W266" s="13"/>
      <c r="X266" s="13"/>
    </row>
    <row r="267" spans="1:24" x14ac:dyDescent="0.25">
      <c r="A267" s="13"/>
      <c r="B267" s="13"/>
      <c r="C267" s="13"/>
      <c r="D267" s="13"/>
      <c r="E267" s="13"/>
      <c r="F267" s="13"/>
      <c r="G267" s="13"/>
      <c r="H267" s="14"/>
      <c r="I267" s="13"/>
      <c r="J267" s="14"/>
      <c r="K267" s="13"/>
      <c r="L267" s="14"/>
      <c r="M267" s="13"/>
      <c r="O267" s="13"/>
      <c r="P267" s="14"/>
      <c r="Q267" s="13"/>
      <c r="R267" s="14"/>
      <c r="S267" s="13"/>
      <c r="T267" s="14"/>
      <c r="U267" s="13"/>
      <c r="V267" s="14"/>
      <c r="W267" s="13"/>
      <c r="X267" s="13"/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967D-5790-4292-8FF6-500F245A6519}">
  <sheetPr codeName="Sheet4"/>
  <dimension ref="A1:AX62"/>
  <sheetViews>
    <sheetView workbookViewId="0">
      <selection activeCell="C35" sqref="C35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/>
      <c r="B3" s="24"/>
      <c r="C3" s="20" t="str">
        <f>IFERROR(VLOOKUP(A3,'Parts List and Volumes'!C2:D194,2,FALSE),"")</f>
        <v/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/>
      <c r="G3" s="40" t="str">
        <f>IFERROR(VLOOKUP($A3,'Parts List and Volumes'!$C$2:$W194,5,FALSE),"")</f>
        <v/>
      </c>
      <c r="H3" s="41" t="str">
        <f>IFERROR(VLOOKUP($A3,'Parts List and Volumes'!$C$2:$W194,6,FALSE),"")</f>
        <v/>
      </c>
      <c r="I3" s="42" t="str">
        <f t="shared" ref="I3:I50" si="0">IFERROR((($F3*G3)/FourHeadAssumption),"")</f>
        <v/>
      </c>
      <c r="J3" s="43" t="str">
        <f t="shared" ref="J3:J50" si="1">IFERROR((($F3*H3)/FourHeadAssumption),"")</f>
        <v/>
      </c>
      <c r="K3" s="44" t="str">
        <f>IFERROR(VLOOKUP($A3,'Parts List and Volumes'!$C$2:$W194,7,FALSE),"")</f>
        <v/>
      </c>
      <c r="L3" s="45" t="str">
        <f>IFERROR(VLOOKUP($A3,'Parts List and Volumes'!$C$2:$W194,8,FALSE),"")</f>
        <v/>
      </c>
      <c r="M3" s="46" t="str">
        <f t="shared" ref="M3:M50" si="2">IFERROR((($F3*K3)/FourHeadAssumption),"")</f>
        <v/>
      </c>
      <c r="N3" s="47" t="str">
        <f t="shared" ref="N3:N50" si="3">IFERROR((($F3*L3)/FourHeadAssumption),"")</f>
        <v/>
      </c>
      <c r="O3" s="41" t="str">
        <f>IFERROR(VLOOKUP($A3,'Parts List and Volumes'!$C$2:$W194,9,FALSE),"")</f>
        <v/>
      </c>
      <c r="P3" s="41" t="str">
        <f>IFERROR(VLOOKUP($A3,'Parts List and Volumes'!$C$2:$W194,10,FALSE),"")</f>
        <v/>
      </c>
      <c r="Q3" s="48" t="str">
        <f t="shared" ref="Q3:Q50" si="4">IFERROR((($F3*O3)/FourHeadAssumption),"")</f>
        <v/>
      </c>
      <c r="R3" s="43" t="str">
        <f t="shared" ref="R3:R50" si="5">IFERROR((($F3*P3)/FourHeadAssumption),"")</f>
        <v/>
      </c>
      <c r="S3" s="44" t="str">
        <f>IFERROR(VLOOKUP($A3,'Parts List and Volumes'!$C$2:$W194,11,FALSE),"")</f>
        <v/>
      </c>
      <c r="T3" s="45" t="str">
        <f>IFERROR(VLOOKUP($A3,'Parts List and Volumes'!$C$2:$W194,12,FALSE),"")</f>
        <v/>
      </c>
      <c r="U3" s="46" t="str">
        <f t="shared" ref="U3:U50" si="6">IFERROR((($F3*S3)/FourHeadAssumption),"")</f>
        <v/>
      </c>
      <c r="V3" s="47" t="str">
        <f t="shared" ref="V3:V50" si="7">IFERROR((($F3*T3)/FourHeadAssumption),"")</f>
        <v/>
      </c>
      <c r="W3" s="40" t="str">
        <f>IFERROR(VLOOKUP($A3,'Parts List and Volumes'!$C$2:$W194,13,FALSE),"")</f>
        <v/>
      </c>
      <c r="X3" s="41" t="str">
        <f>IFERROR(VLOOKUP($A3,'Parts List and Volumes'!$C$2:$W194,14,FALSE),"")</f>
        <v/>
      </c>
      <c r="Y3" s="48" t="str">
        <f t="shared" ref="Y3:Y50" si="8">IFERROR((($F3*W3)/FourHeadAssumption),"")</f>
        <v/>
      </c>
      <c r="Z3" s="43" t="str">
        <f t="shared" ref="Z3:Z50" si="9">IFERROR((($F3*X3)/FourHeadAssumption),"")</f>
        <v/>
      </c>
      <c r="AA3" s="49" t="str">
        <f>IFERROR(VLOOKUP($A3,'Parts List and Volumes'!$C$2:$W194,15,FALSE),"")</f>
        <v/>
      </c>
      <c r="AB3" s="50" t="str">
        <f>IFERROR(VLOOKUP($A3,'Parts List and Volumes'!$C$2:$W194,16,FALSE),"")</f>
        <v/>
      </c>
      <c r="AC3" s="51" t="str">
        <f t="shared" ref="AC3:AC50" si="10">IFERROR((($F3*AA3)/FourHeadAssumption),"")</f>
        <v/>
      </c>
      <c r="AD3" s="52" t="str">
        <f t="shared" ref="AD3:AD50" si="11">IFERROR((($F3*AB3)/FourHeadAssumption),"")</f>
        <v/>
      </c>
      <c r="AE3" s="40" t="str">
        <f>IFERROR(VLOOKUP($A3,'Parts List and Volumes'!$C$2:$W194,17,FALSE),"")</f>
        <v/>
      </c>
      <c r="AF3" s="41" t="str">
        <f>IFERROR(VLOOKUP($A3,'Parts List and Volumes'!$C$2:$W194,18,FALSE),"")</f>
        <v/>
      </c>
      <c r="AG3" s="48" t="str">
        <f t="shared" ref="AG3:AG50" si="12">IFERROR((($F3*AE3)/FourHeadAssumption),"")</f>
        <v/>
      </c>
      <c r="AH3" s="43" t="str">
        <f t="shared" ref="AH3:AH50" si="13">IFERROR((($F3*AF3)/FourHeadAssumption),"")</f>
        <v/>
      </c>
      <c r="AI3" s="49" t="str">
        <f>IFERROR(VLOOKUP($A3,'Parts List and Volumes'!$C$2:$W194,19,FALSE),"")</f>
        <v/>
      </c>
      <c r="AJ3" s="50" t="str">
        <f>IFERROR(VLOOKUP($A3,'Parts List and Volumes'!$C$2:$W194,20,FALSE),"")</f>
        <v/>
      </c>
      <c r="AK3" s="51" t="str">
        <f t="shared" ref="AK3:AK50" si="14">IFERROR((($F3*AI3)/FourHeadAssumption),"")</f>
        <v/>
      </c>
      <c r="AL3" s="52" t="str">
        <f t="shared" ref="AL3:AL50" si="15">IFERROR((($F3*AJ3)/FourHeadAssumption),"")</f>
        <v/>
      </c>
      <c r="AM3" s="40" t="str">
        <f>IFERROR(VLOOKUP($A3,'Parts List and Volumes'!$C$2:$W194,21,FALSE),"")</f>
        <v/>
      </c>
      <c r="AN3" s="41" t="str">
        <f>IFERROR(VLOOKUP($A3,'Parts List and Volumes'!$C$2:$W194,22,FALSE),"")</f>
        <v/>
      </c>
      <c r="AO3" s="48" t="str">
        <f t="shared" ref="AO3:AO50" si="16">IFERROR((($F3*AM3)/FourHeadAssumption),"")</f>
        <v/>
      </c>
      <c r="AP3" s="43" t="str">
        <f t="shared" ref="AP3:AP50" si="17">IFERROR((($F3*AN3)/FourHeadAssumption),"")</f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S50" si="18">IFERROR((($F3*AQ3)/FourHeadAssumption),"")</f>
        <v/>
      </c>
      <c r="AT3" s="52" t="str">
        <f t="shared" ref="AT3:AT50" si="19">IFERROR((($F3*AR3)/FourHeadAssumption),"")</f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W50" si="20">IFERROR((($F3*AU3)/FourHeadAssumption),"")</f>
        <v/>
      </c>
      <c r="AX3" s="43" t="str">
        <f t="shared" ref="AX3:AX50" si="21">IFERROR((($F3*AV3)/FourHeadAssumption),"")</f>
        <v/>
      </c>
    </row>
    <row r="4" spans="1:50" x14ac:dyDescent="0.25">
      <c r="A4" s="23"/>
      <c r="B4" s="24"/>
      <c r="C4" s="20" t="str">
        <f>IFERROR(VLOOKUP(A4,'Parts List and Volumes'!C3:D195,2,FALSE),"")</f>
        <v/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/>
      <c r="G4" s="40" t="str">
        <f>IFERROR(VLOOKUP($A4,'Parts List and Volumes'!$C$2:$W195,5,FALSE),"")</f>
        <v/>
      </c>
      <c r="H4" s="41" t="str">
        <f>IFERROR(VLOOKUP($A4,'Parts List and Volumes'!$C$2:$W195,6,FALSE),"")</f>
        <v/>
      </c>
      <c r="I4" s="42" t="str">
        <f t="shared" si="0"/>
        <v/>
      </c>
      <c r="J4" s="43" t="str">
        <f t="shared" si="1"/>
        <v/>
      </c>
      <c r="K4" s="44" t="str">
        <f>IFERROR(VLOOKUP($A4,'Parts List and Volumes'!$C$2:$W195,7,FALSE),"")</f>
        <v/>
      </c>
      <c r="L4" s="45" t="str">
        <f>IFERROR(VLOOKUP($A4,'Parts List and Volumes'!$C$2:$W195,8,FALSE),"")</f>
        <v/>
      </c>
      <c r="M4" s="46" t="str">
        <f t="shared" si="2"/>
        <v/>
      </c>
      <c r="N4" s="47" t="str">
        <f t="shared" si="3"/>
        <v/>
      </c>
      <c r="O4" s="41" t="str">
        <f>IFERROR(VLOOKUP($A4,'Parts List and Volumes'!$C$2:$W195,9,FALSE),"")</f>
        <v/>
      </c>
      <c r="P4" s="41" t="str">
        <f>IFERROR(VLOOKUP($A4,'Parts List and Volumes'!$C$2:$W195,10,FALSE),"")</f>
        <v/>
      </c>
      <c r="Q4" s="48" t="str">
        <f t="shared" si="4"/>
        <v/>
      </c>
      <c r="R4" s="43" t="str">
        <f t="shared" si="5"/>
        <v/>
      </c>
      <c r="S4" s="44" t="str">
        <f>IFERROR(VLOOKUP($A4,'Parts List and Volumes'!$C$2:$W195,11,FALSE),"")</f>
        <v/>
      </c>
      <c r="T4" s="45" t="str">
        <f>IFERROR(VLOOKUP($A4,'Parts List and Volumes'!$C$2:$W195,12,FALSE),"")</f>
        <v/>
      </c>
      <c r="U4" s="46" t="str">
        <f t="shared" si="6"/>
        <v/>
      </c>
      <c r="V4" s="47" t="str">
        <f t="shared" si="7"/>
        <v/>
      </c>
      <c r="W4" s="40" t="str">
        <f>IFERROR(VLOOKUP($A4,'Parts List and Volumes'!$C$2:$W195,13,FALSE),"")</f>
        <v/>
      </c>
      <c r="X4" s="41" t="str">
        <f>IFERROR(VLOOKUP($A4,'Parts List and Volumes'!$C$2:$W195,14,FALSE),"")</f>
        <v/>
      </c>
      <c r="Y4" s="48" t="str">
        <f t="shared" si="8"/>
        <v/>
      </c>
      <c r="Z4" s="43" t="str">
        <f t="shared" si="9"/>
        <v/>
      </c>
      <c r="AA4" s="49" t="str">
        <f>IFERROR(VLOOKUP($A4,'Parts List and Volumes'!$C$2:$W195,15,FALSE),"")</f>
        <v/>
      </c>
      <c r="AB4" s="50" t="str">
        <f>IFERROR(VLOOKUP($A4,'Parts List and Volumes'!$C$2:$W195,16,FALSE),"")</f>
        <v/>
      </c>
      <c r="AC4" s="51" t="str">
        <f t="shared" si="10"/>
        <v/>
      </c>
      <c r="AD4" s="52" t="str">
        <f t="shared" si="11"/>
        <v/>
      </c>
      <c r="AE4" s="40" t="str">
        <f>IFERROR(VLOOKUP($A4,'Parts List and Volumes'!$C$2:$W195,17,FALSE),"")</f>
        <v/>
      </c>
      <c r="AF4" s="41" t="str">
        <f>IFERROR(VLOOKUP($A4,'Parts List and Volumes'!$C$2:$W195,18,FALSE),"")</f>
        <v/>
      </c>
      <c r="AG4" s="48" t="str">
        <f t="shared" si="12"/>
        <v/>
      </c>
      <c r="AH4" s="43" t="str">
        <f t="shared" si="13"/>
        <v/>
      </c>
      <c r="AI4" s="49" t="str">
        <f>IFERROR(VLOOKUP($A4,'Parts List and Volumes'!$C$2:$W195,19,FALSE),"")</f>
        <v/>
      </c>
      <c r="AJ4" s="50" t="str">
        <f>IFERROR(VLOOKUP($A4,'Parts List and Volumes'!$C$2:$W195,20,FALSE),"")</f>
        <v/>
      </c>
      <c r="AK4" s="51" t="str">
        <f t="shared" si="14"/>
        <v/>
      </c>
      <c r="AL4" s="52" t="str">
        <f t="shared" si="15"/>
        <v/>
      </c>
      <c r="AM4" s="40" t="str">
        <f>IFERROR(VLOOKUP($A4,'Parts List and Volumes'!$C$2:$W195,21,FALSE),"")</f>
        <v/>
      </c>
      <c r="AN4" s="41" t="str">
        <f>IFERROR(VLOOKUP($A4,'Parts List and Volumes'!$C$2:$W195,22,FALSE),"")</f>
        <v/>
      </c>
      <c r="AO4" s="48" t="str">
        <f t="shared" si="16"/>
        <v/>
      </c>
      <c r="AP4" s="43" t="str">
        <f t="shared" si="17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18"/>
        <v/>
      </c>
      <c r="AT4" s="52" t="str">
        <f t="shared" si="1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20"/>
        <v/>
      </c>
      <c r="AX4" s="43" t="str">
        <f t="shared" si="21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1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2"/>
        <v/>
      </c>
      <c r="N5" s="47" t="str">
        <f t="shared" si="3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4"/>
        <v/>
      </c>
      <c r="R5" s="43" t="str">
        <f t="shared" si="5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6"/>
        <v/>
      </c>
      <c r="V5" s="47" t="str">
        <f t="shared" si="7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8"/>
        <v/>
      </c>
      <c r="Z5" s="43" t="str">
        <f t="shared" si="9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10"/>
        <v/>
      </c>
      <c r="AD5" s="52" t="str">
        <f t="shared" si="11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12"/>
        <v/>
      </c>
      <c r="AH5" s="43" t="str">
        <f t="shared" si="13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14"/>
        <v/>
      </c>
      <c r="AL5" s="52" t="str">
        <f t="shared" si="15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16"/>
        <v/>
      </c>
      <c r="AP5" s="43" t="str">
        <f t="shared" si="17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18"/>
        <v/>
      </c>
      <c r="AT5" s="52" t="str">
        <f t="shared" si="1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20"/>
        <v/>
      </c>
      <c r="AX5" s="43" t="str">
        <f t="shared" si="21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1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2"/>
        <v/>
      </c>
      <c r="N6" s="47" t="str">
        <f t="shared" si="3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4"/>
        <v/>
      </c>
      <c r="R6" s="43" t="str">
        <f t="shared" si="5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6"/>
        <v/>
      </c>
      <c r="V6" s="47" t="str">
        <f t="shared" si="7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8"/>
        <v/>
      </c>
      <c r="Z6" s="43" t="str">
        <f t="shared" si="9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10"/>
        <v/>
      </c>
      <c r="AD6" s="52" t="str">
        <f t="shared" si="11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12"/>
        <v/>
      </c>
      <c r="AH6" s="43" t="str">
        <f t="shared" si="13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14"/>
        <v/>
      </c>
      <c r="AL6" s="52" t="str">
        <f t="shared" si="15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16"/>
        <v/>
      </c>
      <c r="AP6" s="43" t="str">
        <f t="shared" si="17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18"/>
        <v/>
      </c>
      <c r="AT6" s="52" t="str">
        <f t="shared" si="1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20"/>
        <v/>
      </c>
      <c r="AX6" s="43" t="str">
        <f t="shared" si="21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1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2"/>
        <v/>
      </c>
      <c r="N7" s="47" t="str">
        <f t="shared" si="3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4"/>
        <v/>
      </c>
      <c r="R7" s="43" t="str">
        <f t="shared" si="5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6"/>
        <v/>
      </c>
      <c r="V7" s="47" t="str">
        <f t="shared" si="7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8"/>
        <v/>
      </c>
      <c r="Z7" s="43" t="str">
        <f t="shared" si="9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10"/>
        <v/>
      </c>
      <c r="AD7" s="52" t="str">
        <f t="shared" si="11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12"/>
        <v/>
      </c>
      <c r="AH7" s="43" t="str">
        <f t="shared" si="13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14"/>
        <v/>
      </c>
      <c r="AL7" s="52" t="str">
        <f t="shared" si="15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16"/>
        <v/>
      </c>
      <c r="AP7" s="43" t="str">
        <f t="shared" si="17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18"/>
        <v/>
      </c>
      <c r="AT7" s="52" t="str">
        <f t="shared" si="1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20"/>
        <v/>
      </c>
      <c r="AX7" s="43" t="str">
        <f t="shared" si="21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1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2"/>
        <v/>
      </c>
      <c r="N8" s="47" t="str">
        <f t="shared" si="3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4"/>
        <v/>
      </c>
      <c r="R8" s="43" t="str">
        <f t="shared" si="5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6"/>
        <v/>
      </c>
      <c r="V8" s="47" t="str">
        <f t="shared" si="7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8"/>
        <v/>
      </c>
      <c r="Z8" s="43" t="str">
        <f t="shared" si="9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10"/>
        <v/>
      </c>
      <c r="AD8" s="52" t="str">
        <f t="shared" si="11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12"/>
        <v/>
      </c>
      <c r="AH8" s="43" t="str">
        <f t="shared" si="13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14"/>
        <v/>
      </c>
      <c r="AL8" s="52" t="str">
        <f t="shared" si="15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16"/>
        <v/>
      </c>
      <c r="AP8" s="43" t="str">
        <f t="shared" si="17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18"/>
        <v/>
      </c>
      <c r="AT8" s="52" t="str">
        <f t="shared" si="1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20"/>
        <v/>
      </c>
      <c r="AX8" s="43" t="str">
        <f t="shared" si="21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1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2"/>
        <v/>
      </c>
      <c r="N9" s="47" t="str">
        <f t="shared" si="3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4"/>
        <v/>
      </c>
      <c r="R9" s="43" t="str">
        <f t="shared" si="5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6"/>
        <v/>
      </c>
      <c r="V9" s="47" t="str">
        <f t="shared" si="7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8"/>
        <v/>
      </c>
      <c r="Z9" s="43" t="str">
        <f t="shared" si="9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10"/>
        <v/>
      </c>
      <c r="AD9" s="52" t="str">
        <f t="shared" si="11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12"/>
        <v/>
      </c>
      <c r="AH9" s="43" t="str">
        <f t="shared" si="13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14"/>
        <v/>
      </c>
      <c r="AL9" s="52" t="str">
        <f t="shared" si="15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16"/>
        <v/>
      </c>
      <c r="AP9" s="43" t="str">
        <f t="shared" si="17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18"/>
        <v/>
      </c>
      <c r="AT9" s="52" t="str">
        <f t="shared" si="1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20"/>
        <v/>
      </c>
      <c r="AX9" s="43" t="str">
        <f t="shared" si="21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1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2"/>
        <v/>
      </c>
      <c r="N10" s="47" t="str">
        <f t="shared" si="3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4"/>
        <v/>
      </c>
      <c r="R10" s="43" t="str">
        <f t="shared" si="5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6"/>
        <v/>
      </c>
      <c r="V10" s="47" t="str">
        <f t="shared" si="7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8"/>
        <v/>
      </c>
      <c r="Z10" s="43" t="str">
        <f t="shared" si="9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10"/>
        <v/>
      </c>
      <c r="AD10" s="52" t="str">
        <f t="shared" si="11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12"/>
        <v/>
      </c>
      <c r="AH10" s="43" t="str">
        <f t="shared" si="13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14"/>
        <v/>
      </c>
      <c r="AL10" s="52" t="str">
        <f t="shared" si="15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16"/>
        <v/>
      </c>
      <c r="AP10" s="43" t="str">
        <f t="shared" si="17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18"/>
        <v/>
      </c>
      <c r="AT10" s="52" t="str">
        <f t="shared" si="1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20"/>
        <v/>
      </c>
      <c r="AX10" s="43" t="str">
        <f t="shared" si="21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1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2"/>
        <v/>
      </c>
      <c r="N11" s="47" t="str">
        <f t="shared" si="3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4"/>
        <v/>
      </c>
      <c r="R11" s="43" t="str">
        <f t="shared" si="5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6"/>
        <v/>
      </c>
      <c r="V11" s="47" t="str">
        <f t="shared" si="7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8"/>
        <v/>
      </c>
      <c r="Z11" s="43" t="str">
        <f t="shared" si="9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10"/>
        <v/>
      </c>
      <c r="AD11" s="52" t="str">
        <f t="shared" si="11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12"/>
        <v/>
      </c>
      <c r="AH11" s="43" t="str">
        <f t="shared" si="13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14"/>
        <v/>
      </c>
      <c r="AL11" s="52" t="str">
        <f t="shared" si="15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16"/>
        <v/>
      </c>
      <c r="AP11" s="43" t="str">
        <f t="shared" si="17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18"/>
        <v/>
      </c>
      <c r="AT11" s="52" t="str">
        <f t="shared" si="1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20"/>
        <v/>
      </c>
      <c r="AX11" s="43" t="str">
        <f t="shared" si="21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1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2"/>
        <v/>
      </c>
      <c r="N12" s="47" t="str">
        <f t="shared" si="3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4"/>
        <v/>
      </c>
      <c r="R12" s="43" t="str">
        <f t="shared" si="5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6"/>
        <v/>
      </c>
      <c r="V12" s="47" t="str">
        <f t="shared" si="7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8"/>
        <v/>
      </c>
      <c r="Z12" s="43" t="str">
        <f t="shared" si="9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10"/>
        <v/>
      </c>
      <c r="AD12" s="52" t="str">
        <f t="shared" si="11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12"/>
        <v/>
      </c>
      <c r="AH12" s="43" t="str">
        <f t="shared" si="13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14"/>
        <v/>
      </c>
      <c r="AL12" s="52" t="str">
        <f t="shared" si="15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16"/>
        <v/>
      </c>
      <c r="AP12" s="43" t="str">
        <f t="shared" si="17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18"/>
        <v/>
      </c>
      <c r="AT12" s="52" t="str">
        <f t="shared" si="1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20"/>
        <v/>
      </c>
      <c r="AX12" s="43" t="str">
        <f t="shared" si="21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1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2"/>
        <v/>
      </c>
      <c r="N13" s="47" t="str">
        <f t="shared" si="3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4"/>
        <v/>
      </c>
      <c r="R13" s="43" t="str">
        <f t="shared" si="5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6"/>
        <v/>
      </c>
      <c r="V13" s="47" t="str">
        <f t="shared" si="7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8"/>
        <v/>
      </c>
      <c r="Z13" s="43" t="str">
        <f t="shared" si="9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10"/>
        <v/>
      </c>
      <c r="AD13" s="52" t="str">
        <f t="shared" si="11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12"/>
        <v/>
      </c>
      <c r="AH13" s="43" t="str">
        <f t="shared" si="13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14"/>
        <v/>
      </c>
      <c r="AL13" s="52" t="str">
        <f t="shared" si="15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16"/>
        <v/>
      </c>
      <c r="AP13" s="43" t="str">
        <f t="shared" si="17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18"/>
        <v/>
      </c>
      <c r="AT13" s="52" t="str">
        <f t="shared" si="1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20"/>
        <v/>
      </c>
      <c r="AX13" s="43" t="str">
        <f t="shared" si="21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1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2"/>
        <v/>
      </c>
      <c r="N14" s="47" t="str">
        <f t="shared" si="3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4"/>
        <v/>
      </c>
      <c r="R14" s="43" t="str">
        <f t="shared" si="5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6"/>
        <v/>
      </c>
      <c r="V14" s="47" t="str">
        <f t="shared" si="7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8"/>
        <v/>
      </c>
      <c r="Z14" s="43" t="str">
        <f t="shared" si="9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10"/>
        <v/>
      </c>
      <c r="AD14" s="52" t="str">
        <f t="shared" si="11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12"/>
        <v/>
      </c>
      <c r="AH14" s="43" t="str">
        <f t="shared" si="13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14"/>
        <v/>
      </c>
      <c r="AL14" s="52" t="str">
        <f t="shared" si="15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16"/>
        <v/>
      </c>
      <c r="AP14" s="43" t="str">
        <f t="shared" si="17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18"/>
        <v/>
      </c>
      <c r="AT14" s="52" t="str">
        <f t="shared" si="1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20"/>
        <v/>
      </c>
      <c r="AX14" s="43" t="str">
        <f t="shared" si="21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1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2"/>
        <v/>
      </c>
      <c r="N15" s="47" t="str">
        <f t="shared" si="3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4"/>
        <v/>
      </c>
      <c r="R15" s="43" t="str">
        <f t="shared" si="5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6"/>
        <v/>
      </c>
      <c r="V15" s="47" t="str">
        <f t="shared" si="7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8"/>
        <v/>
      </c>
      <c r="Z15" s="43" t="str">
        <f t="shared" si="9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10"/>
        <v/>
      </c>
      <c r="AD15" s="52" t="str">
        <f t="shared" si="11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12"/>
        <v/>
      </c>
      <c r="AH15" s="43" t="str">
        <f t="shared" si="13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14"/>
        <v/>
      </c>
      <c r="AL15" s="52" t="str">
        <f t="shared" si="15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16"/>
        <v/>
      </c>
      <c r="AP15" s="43" t="str">
        <f t="shared" si="17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18"/>
        <v/>
      </c>
      <c r="AT15" s="52" t="str">
        <f t="shared" si="1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20"/>
        <v/>
      </c>
      <c r="AX15" s="43" t="str">
        <f t="shared" si="21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1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2"/>
        <v/>
      </c>
      <c r="N16" s="47" t="str">
        <f t="shared" si="3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4"/>
        <v/>
      </c>
      <c r="R16" s="43" t="str">
        <f t="shared" si="5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6"/>
        <v/>
      </c>
      <c r="V16" s="47" t="str">
        <f t="shared" si="7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8"/>
        <v/>
      </c>
      <c r="Z16" s="43" t="str">
        <f t="shared" si="9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10"/>
        <v/>
      </c>
      <c r="AD16" s="52" t="str">
        <f t="shared" si="11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12"/>
        <v/>
      </c>
      <c r="AH16" s="43" t="str">
        <f t="shared" si="13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14"/>
        <v/>
      </c>
      <c r="AL16" s="52" t="str">
        <f t="shared" si="15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16"/>
        <v/>
      </c>
      <c r="AP16" s="43" t="str">
        <f t="shared" si="17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18"/>
        <v/>
      </c>
      <c r="AT16" s="52" t="str">
        <f t="shared" si="1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20"/>
        <v/>
      </c>
      <c r="AX16" s="43" t="str">
        <f t="shared" si="21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1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2"/>
        <v/>
      </c>
      <c r="N17" s="47" t="str">
        <f t="shared" si="3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4"/>
        <v/>
      </c>
      <c r="R17" s="43" t="str">
        <f t="shared" si="5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6"/>
        <v/>
      </c>
      <c r="V17" s="47" t="str">
        <f t="shared" si="7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8"/>
        <v/>
      </c>
      <c r="Z17" s="43" t="str">
        <f t="shared" si="9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10"/>
        <v/>
      </c>
      <c r="AD17" s="52" t="str">
        <f t="shared" si="11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12"/>
        <v/>
      </c>
      <c r="AH17" s="43" t="str">
        <f t="shared" si="13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14"/>
        <v/>
      </c>
      <c r="AL17" s="52" t="str">
        <f t="shared" si="15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16"/>
        <v/>
      </c>
      <c r="AP17" s="43" t="str">
        <f t="shared" si="17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18"/>
        <v/>
      </c>
      <c r="AT17" s="52" t="str">
        <f t="shared" si="1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20"/>
        <v/>
      </c>
      <c r="AX17" s="43" t="str">
        <f t="shared" si="21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1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2"/>
        <v/>
      </c>
      <c r="N18" s="47" t="str">
        <f t="shared" si="3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4"/>
        <v/>
      </c>
      <c r="R18" s="43" t="str">
        <f t="shared" si="5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6"/>
        <v/>
      </c>
      <c r="V18" s="47" t="str">
        <f t="shared" si="7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8"/>
        <v/>
      </c>
      <c r="Z18" s="43" t="str">
        <f t="shared" si="9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10"/>
        <v/>
      </c>
      <c r="AD18" s="52" t="str">
        <f t="shared" si="11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12"/>
        <v/>
      </c>
      <c r="AH18" s="43" t="str">
        <f t="shared" si="13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14"/>
        <v/>
      </c>
      <c r="AL18" s="52" t="str">
        <f t="shared" si="15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16"/>
        <v/>
      </c>
      <c r="AP18" s="43" t="str">
        <f t="shared" si="17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18"/>
        <v/>
      </c>
      <c r="AT18" s="52" t="str">
        <f t="shared" si="1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20"/>
        <v/>
      </c>
      <c r="AX18" s="43" t="str">
        <f t="shared" si="21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1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2"/>
        <v/>
      </c>
      <c r="N19" s="47" t="str">
        <f t="shared" si="3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4"/>
        <v/>
      </c>
      <c r="R19" s="43" t="str">
        <f t="shared" si="5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6"/>
        <v/>
      </c>
      <c r="V19" s="47" t="str">
        <f t="shared" si="7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8"/>
        <v/>
      </c>
      <c r="Z19" s="43" t="str">
        <f t="shared" si="9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10"/>
        <v/>
      </c>
      <c r="AD19" s="52" t="str">
        <f t="shared" si="11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12"/>
        <v/>
      </c>
      <c r="AH19" s="43" t="str">
        <f t="shared" si="13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14"/>
        <v/>
      </c>
      <c r="AL19" s="52" t="str">
        <f t="shared" si="15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16"/>
        <v/>
      </c>
      <c r="AP19" s="43" t="str">
        <f t="shared" si="17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18"/>
        <v/>
      </c>
      <c r="AT19" s="52" t="str">
        <f t="shared" si="1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20"/>
        <v/>
      </c>
      <c r="AX19" s="43" t="str">
        <f t="shared" si="21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1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2"/>
        <v/>
      </c>
      <c r="N20" s="47" t="str">
        <f t="shared" si="3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4"/>
        <v/>
      </c>
      <c r="R20" s="43" t="str">
        <f t="shared" si="5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6"/>
        <v/>
      </c>
      <c r="V20" s="47" t="str">
        <f t="shared" si="7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8"/>
        <v/>
      </c>
      <c r="Z20" s="43" t="str">
        <f t="shared" si="9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10"/>
        <v/>
      </c>
      <c r="AD20" s="52" t="str">
        <f t="shared" si="11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12"/>
        <v/>
      </c>
      <c r="AH20" s="43" t="str">
        <f t="shared" si="13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14"/>
        <v/>
      </c>
      <c r="AL20" s="52" t="str">
        <f t="shared" si="15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16"/>
        <v/>
      </c>
      <c r="AP20" s="43" t="str">
        <f t="shared" si="17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18"/>
        <v/>
      </c>
      <c r="AT20" s="52" t="str">
        <f t="shared" si="1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20"/>
        <v/>
      </c>
      <c r="AX20" s="43" t="str">
        <f t="shared" si="21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1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2"/>
        <v/>
      </c>
      <c r="N21" s="47" t="str">
        <f t="shared" si="3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4"/>
        <v/>
      </c>
      <c r="R21" s="43" t="str">
        <f t="shared" si="5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6"/>
        <v/>
      </c>
      <c r="V21" s="47" t="str">
        <f t="shared" si="7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8"/>
        <v/>
      </c>
      <c r="Z21" s="43" t="str">
        <f t="shared" si="9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10"/>
        <v/>
      </c>
      <c r="AD21" s="52" t="str">
        <f t="shared" si="11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12"/>
        <v/>
      </c>
      <c r="AH21" s="43" t="str">
        <f t="shared" si="13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14"/>
        <v/>
      </c>
      <c r="AL21" s="52" t="str">
        <f t="shared" si="15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16"/>
        <v/>
      </c>
      <c r="AP21" s="43" t="str">
        <f t="shared" si="17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18"/>
        <v/>
      </c>
      <c r="AT21" s="52" t="str">
        <f t="shared" si="1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20"/>
        <v/>
      </c>
      <c r="AX21" s="43" t="str">
        <f t="shared" si="21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1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2"/>
        <v/>
      </c>
      <c r="N22" s="47" t="str">
        <f t="shared" si="3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4"/>
        <v/>
      </c>
      <c r="R22" s="43" t="str">
        <f t="shared" si="5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6"/>
        <v/>
      </c>
      <c r="V22" s="47" t="str">
        <f t="shared" si="7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8"/>
        <v/>
      </c>
      <c r="Z22" s="43" t="str">
        <f t="shared" si="9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10"/>
        <v/>
      </c>
      <c r="AD22" s="52" t="str">
        <f t="shared" si="11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12"/>
        <v/>
      </c>
      <c r="AH22" s="43" t="str">
        <f t="shared" si="13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14"/>
        <v/>
      </c>
      <c r="AL22" s="52" t="str">
        <f t="shared" si="15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16"/>
        <v/>
      </c>
      <c r="AP22" s="43" t="str">
        <f t="shared" si="17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18"/>
        <v/>
      </c>
      <c r="AT22" s="52" t="str">
        <f t="shared" si="1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20"/>
        <v/>
      </c>
      <c r="AX22" s="43" t="str">
        <f t="shared" si="21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1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2"/>
        <v/>
      </c>
      <c r="N23" s="47" t="str">
        <f t="shared" si="3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4"/>
        <v/>
      </c>
      <c r="R23" s="43" t="str">
        <f t="shared" si="5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6"/>
        <v/>
      </c>
      <c r="V23" s="47" t="str">
        <f t="shared" si="7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8"/>
        <v/>
      </c>
      <c r="Z23" s="43" t="str">
        <f t="shared" si="9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10"/>
        <v/>
      </c>
      <c r="AD23" s="52" t="str">
        <f t="shared" si="11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12"/>
        <v/>
      </c>
      <c r="AH23" s="43" t="str">
        <f t="shared" si="13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14"/>
        <v/>
      </c>
      <c r="AL23" s="52" t="str">
        <f t="shared" si="15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16"/>
        <v/>
      </c>
      <c r="AP23" s="43" t="str">
        <f t="shared" si="17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18"/>
        <v/>
      </c>
      <c r="AT23" s="52" t="str">
        <f t="shared" si="1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20"/>
        <v/>
      </c>
      <c r="AX23" s="43" t="str">
        <f t="shared" si="21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1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2"/>
        <v/>
      </c>
      <c r="N24" s="47" t="str">
        <f t="shared" si="3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4"/>
        <v/>
      </c>
      <c r="R24" s="43" t="str">
        <f t="shared" si="5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6"/>
        <v/>
      </c>
      <c r="V24" s="47" t="str">
        <f t="shared" si="7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8"/>
        <v/>
      </c>
      <c r="Z24" s="43" t="str">
        <f t="shared" si="9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10"/>
        <v/>
      </c>
      <c r="AD24" s="52" t="str">
        <f t="shared" si="11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12"/>
        <v/>
      </c>
      <c r="AH24" s="43" t="str">
        <f t="shared" si="13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14"/>
        <v/>
      </c>
      <c r="AL24" s="52" t="str">
        <f t="shared" si="15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16"/>
        <v/>
      </c>
      <c r="AP24" s="43" t="str">
        <f t="shared" si="17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18"/>
        <v/>
      </c>
      <c r="AT24" s="52" t="str">
        <f t="shared" si="1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20"/>
        <v/>
      </c>
      <c r="AX24" s="43" t="str">
        <f t="shared" si="21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1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2"/>
        <v/>
      </c>
      <c r="N25" s="47" t="str">
        <f t="shared" si="3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4"/>
        <v/>
      </c>
      <c r="R25" s="43" t="str">
        <f t="shared" si="5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6"/>
        <v/>
      </c>
      <c r="V25" s="47" t="str">
        <f t="shared" si="7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8"/>
        <v/>
      </c>
      <c r="Z25" s="43" t="str">
        <f t="shared" si="9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10"/>
        <v/>
      </c>
      <c r="AD25" s="52" t="str">
        <f t="shared" si="11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12"/>
        <v/>
      </c>
      <c r="AH25" s="43" t="str">
        <f t="shared" si="13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14"/>
        <v/>
      </c>
      <c r="AL25" s="52" t="str">
        <f t="shared" si="15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16"/>
        <v/>
      </c>
      <c r="AP25" s="43" t="str">
        <f t="shared" si="17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18"/>
        <v/>
      </c>
      <c r="AT25" s="52" t="str">
        <f t="shared" si="1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20"/>
        <v/>
      </c>
      <c r="AX25" s="43" t="str">
        <f t="shared" si="21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1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2"/>
        <v/>
      </c>
      <c r="N26" s="47" t="str">
        <f t="shared" si="3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4"/>
        <v/>
      </c>
      <c r="R26" s="43" t="str">
        <f t="shared" si="5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6"/>
        <v/>
      </c>
      <c r="V26" s="47" t="str">
        <f t="shared" si="7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8"/>
        <v/>
      </c>
      <c r="Z26" s="43" t="str">
        <f t="shared" si="9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10"/>
        <v/>
      </c>
      <c r="AD26" s="52" t="str">
        <f t="shared" si="11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12"/>
        <v/>
      </c>
      <c r="AH26" s="43" t="str">
        <f t="shared" si="13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14"/>
        <v/>
      </c>
      <c r="AL26" s="52" t="str">
        <f t="shared" si="15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16"/>
        <v/>
      </c>
      <c r="AP26" s="43" t="str">
        <f t="shared" si="17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18"/>
        <v/>
      </c>
      <c r="AT26" s="52" t="str">
        <f t="shared" si="1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20"/>
        <v/>
      </c>
      <c r="AX26" s="43" t="str">
        <f t="shared" si="21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1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2"/>
        <v/>
      </c>
      <c r="N27" s="47" t="str">
        <f t="shared" si="3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4"/>
        <v/>
      </c>
      <c r="R27" s="43" t="str">
        <f t="shared" si="5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6"/>
        <v/>
      </c>
      <c r="V27" s="47" t="str">
        <f t="shared" si="7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8"/>
        <v/>
      </c>
      <c r="Z27" s="43" t="str">
        <f t="shared" si="9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10"/>
        <v/>
      </c>
      <c r="AD27" s="52" t="str">
        <f t="shared" si="11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12"/>
        <v/>
      </c>
      <c r="AH27" s="43" t="str">
        <f t="shared" si="13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14"/>
        <v/>
      </c>
      <c r="AL27" s="52" t="str">
        <f t="shared" si="15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16"/>
        <v/>
      </c>
      <c r="AP27" s="43" t="str">
        <f t="shared" si="17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18"/>
        <v/>
      </c>
      <c r="AT27" s="52" t="str">
        <f t="shared" si="1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20"/>
        <v/>
      </c>
      <c r="AX27" s="43" t="str">
        <f t="shared" si="21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1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2"/>
        <v/>
      </c>
      <c r="N28" s="47" t="str">
        <f t="shared" si="3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4"/>
        <v/>
      </c>
      <c r="R28" s="43" t="str">
        <f t="shared" si="5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6"/>
        <v/>
      </c>
      <c r="V28" s="47" t="str">
        <f t="shared" si="7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8"/>
        <v/>
      </c>
      <c r="Z28" s="43" t="str">
        <f t="shared" si="9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10"/>
        <v/>
      </c>
      <c r="AD28" s="52" t="str">
        <f t="shared" si="11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12"/>
        <v/>
      </c>
      <c r="AH28" s="43" t="str">
        <f t="shared" si="13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14"/>
        <v/>
      </c>
      <c r="AL28" s="52" t="str">
        <f t="shared" si="15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16"/>
        <v/>
      </c>
      <c r="AP28" s="43" t="str">
        <f t="shared" si="17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18"/>
        <v/>
      </c>
      <c r="AT28" s="52" t="str">
        <f t="shared" si="1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20"/>
        <v/>
      </c>
      <c r="AX28" s="43" t="str">
        <f t="shared" si="21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1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2"/>
        <v/>
      </c>
      <c r="N29" s="47" t="str">
        <f t="shared" si="3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4"/>
        <v/>
      </c>
      <c r="R29" s="43" t="str">
        <f t="shared" si="5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6"/>
        <v/>
      </c>
      <c r="V29" s="47" t="str">
        <f t="shared" si="7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8"/>
        <v/>
      </c>
      <c r="Z29" s="43" t="str">
        <f t="shared" si="9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10"/>
        <v/>
      </c>
      <c r="AD29" s="52" t="str">
        <f t="shared" si="11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12"/>
        <v/>
      </c>
      <c r="AH29" s="43" t="str">
        <f t="shared" si="13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14"/>
        <v/>
      </c>
      <c r="AL29" s="52" t="str">
        <f t="shared" si="15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16"/>
        <v/>
      </c>
      <c r="AP29" s="43" t="str">
        <f t="shared" si="17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18"/>
        <v/>
      </c>
      <c r="AT29" s="52" t="str">
        <f t="shared" si="1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20"/>
        <v/>
      </c>
      <c r="AX29" s="43" t="str">
        <f t="shared" si="21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1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2"/>
        <v/>
      </c>
      <c r="N30" s="47" t="str">
        <f t="shared" si="3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4"/>
        <v/>
      </c>
      <c r="R30" s="43" t="str">
        <f t="shared" si="5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6"/>
        <v/>
      </c>
      <c r="V30" s="47" t="str">
        <f t="shared" si="7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8"/>
        <v/>
      </c>
      <c r="Z30" s="43" t="str">
        <f t="shared" si="9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10"/>
        <v/>
      </c>
      <c r="AD30" s="52" t="str">
        <f t="shared" si="11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12"/>
        <v/>
      </c>
      <c r="AH30" s="43" t="str">
        <f t="shared" si="13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14"/>
        <v/>
      </c>
      <c r="AL30" s="52" t="str">
        <f t="shared" si="15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16"/>
        <v/>
      </c>
      <c r="AP30" s="43" t="str">
        <f t="shared" si="17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18"/>
        <v/>
      </c>
      <c r="AT30" s="52" t="str">
        <f t="shared" si="1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20"/>
        <v/>
      </c>
      <c r="AX30" s="43" t="str">
        <f t="shared" si="21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1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2"/>
        <v/>
      </c>
      <c r="N31" s="47" t="str">
        <f t="shared" si="3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4"/>
        <v/>
      </c>
      <c r="R31" s="43" t="str">
        <f t="shared" si="5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6"/>
        <v/>
      </c>
      <c r="V31" s="47" t="str">
        <f t="shared" si="7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8"/>
        <v/>
      </c>
      <c r="Z31" s="43" t="str">
        <f t="shared" si="9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10"/>
        <v/>
      </c>
      <c r="AD31" s="52" t="str">
        <f t="shared" si="11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12"/>
        <v/>
      </c>
      <c r="AH31" s="43" t="str">
        <f t="shared" si="13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14"/>
        <v/>
      </c>
      <c r="AL31" s="52" t="str">
        <f t="shared" si="15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16"/>
        <v/>
      </c>
      <c r="AP31" s="43" t="str">
        <f t="shared" si="17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18"/>
        <v/>
      </c>
      <c r="AT31" s="52" t="str">
        <f t="shared" si="1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20"/>
        <v/>
      </c>
      <c r="AX31" s="43" t="str">
        <f t="shared" si="21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1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2"/>
        <v/>
      </c>
      <c r="N32" s="47" t="str">
        <f t="shared" si="3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4"/>
        <v/>
      </c>
      <c r="R32" s="43" t="str">
        <f t="shared" si="5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6"/>
        <v/>
      </c>
      <c r="V32" s="47" t="str">
        <f t="shared" si="7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8"/>
        <v/>
      </c>
      <c r="Z32" s="43" t="str">
        <f t="shared" si="9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10"/>
        <v/>
      </c>
      <c r="AD32" s="52" t="str">
        <f t="shared" si="11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12"/>
        <v/>
      </c>
      <c r="AH32" s="43" t="str">
        <f t="shared" si="13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14"/>
        <v/>
      </c>
      <c r="AL32" s="52" t="str">
        <f t="shared" si="15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16"/>
        <v/>
      </c>
      <c r="AP32" s="43" t="str">
        <f t="shared" si="17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18"/>
        <v/>
      </c>
      <c r="AT32" s="52" t="str">
        <f t="shared" si="1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20"/>
        <v/>
      </c>
      <c r="AX32" s="43" t="str">
        <f t="shared" si="21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1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2"/>
        <v/>
      </c>
      <c r="N33" s="47" t="str">
        <f t="shared" si="3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4"/>
        <v/>
      </c>
      <c r="R33" s="43" t="str">
        <f t="shared" si="5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6"/>
        <v/>
      </c>
      <c r="V33" s="47" t="str">
        <f t="shared" si="7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8"/>
        <v/>
      </c>
      <c r="Z33" s="43" t="str">
        <f t="shared" si="9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10"/>
        <v/>
      </c>
      <c r="AD33" s="52" t="str">
        <f t="shared" si="11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12"/>
        <v/>
      </c>
      <c r="AH33" s="43" t="str">
        <f t="shared" si="13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14"/>
        <v/>
      </c>
      <c r="AL33" s="52" t="str">
        <f t="shared" si="15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16"/>
        <v/>
      </c>
      <c r="AP33" s="43" t="str">
        <f t="shared" si="17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18"/>
        <v/>
      </c>
      <c r="AT33" s="52" t="str">
        <f t="shared" si="1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20"/>
        <v/>
      </c>
      <c r="AX33" s="43" t="str">
        <f t="shared" si="21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1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2"/>
        <v/>
      </c>
      <c r="N34" s="47" t="str">
        <f t="shared" si="3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4"/>
        <v/>
      </c>
      <c r="R34" s="43" t="str">
        <f t="shared" si="5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6"/>
        <v/>
      </c>
      <c r="V34" s="47" t="str">
        <f t="shared" si="7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8"/>
        <v/>
      </c>
      <c r="Z34" s="43" t="str">
        <f t="shared" si="9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10"/>
        <v/>
      </c>
      <c r="AD34" s="52" t="str">
        <f t="shared" si="11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12"/>
        <v/>
      </c>
      <c r="AH34" s="43" t="str">
        <f t="shared" si="13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14"/>
        <v/>
      </c>
      <c r="AL34" s="52" t="str">
        <f t="shared" si="15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16"/>
        <v/>
      </c>
      <c r="AP34" s="43" t="str">
        <f t="shared" si="17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18"/>
        <v/>
      </c>
      <c r="AT34" s="52" t="str">
        <f t="shared" si="1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20"/>
        <v/>
      </c>
      <c r="AX34" s="43" t="str">
        <f t="shared" si="21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1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2"/>
        <v/>
      </c>
      <c r="N35" s="47" t="str">
        <f t="shared" si="3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4"/>
        <v/>
      </c>
      <c r="R35" s="43" t="str">
        <f t="shared" si="5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6"/>
        <v/>
      </c>
      <c r="V35" s="47" t="str">
        <f t="shared" si="7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8"/>
        <v/>
      </c>
      <c r="Z35" s="43" t="str">
        <f t="shared" si="9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10"/>
        <v/>
      </c>
      <c r="AD35" s="52" t="str">
        <f t="shared" si="11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12"/>
        <v/>
      </c>
      <c r="AH35" s="43" t="str">
        <f t="shared" si="13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14"/>
        <v/>
      </c>
      <c r="AL35" s="52" t="str">
        <f t="shared" si="15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16"/>
        <v/>
      </c>
      <c r="AP35" s="43" t="str">
        <f t="shared" si="17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18"/>
        <v/>
      </c>
      <c r="AT35" s="52" t="str">
        <f t="shared" si="1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20"/>
        <v/>
      </c>
      <c r="AX35" s="43" t="str">
        <f t="shared" si="21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1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2"/>
        <v/>
      </c>
      <c r="N36" s="47" t="str">
        <f t="shared" si="3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4"/>
        <v/>
      </c>
      <c r="R36" s="43" t="str">
        <f t="shared" si="5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6"/>
        <v/>
      </c>
      <c r="V36" s="47" t="str">
        <f t="shared" si="7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8"/>
        <v/>
      </c>
      <c r="Z36" s="43" t="str">
        <f t="shared" si="9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10"/>
        <v/>
      </c>
      <c r="AD36" s="52" t="str">
        <f t="shared" si="11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12"/>
        <v/>
      </c>
      <c r="AH36" s="43" t="str">
        <f t="shared" si="13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14"/>
        <v/>
      </c>
      <c r="AL36" s="52" t="str">
        <f t="shared" si="15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16"/>
        <v/>
      </c>
      <c r="AP36" s="43" t="str">
        <f t="shared" si="17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18"/>
        <v/>
      </c>
      <c r="AT36" s="52" t="str">
        <f t="shared" si="1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20"/>
        <v/>
      </c>
      <c r="AX36" s="43" t="str">
        <f t="shared" si="21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1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2"/>
        <v/>
      </c>
      <c r="N37" s="47" t="str">
        <f t="shared" si="3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4"/>
        <v/>
      </c>
      <c r="R37" s="43" t="str">
        <f t="shared" si="5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6"/>
        <v/>
      </c>
      <c r="V37" s="47" t="str">
        <f t="shared" si="7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8"/>
        <v/>
      </c>
      <c r="Z37" s="43" t="str">
        <f t="shared" si="9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10"/>
        <v/>
      </c>
      <c r="AD37" s="52" t="str">
        <f t="shared" si="11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12"/>
        <v/>
      </c>
      <c r="AH37" s="43" t="str">
        <f t="shared" si="13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14"/>
        <v/>
      </c>
      <c r="AL37" s="52" t="str">
        <f t="shared" si="15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16"/>
        <v/>
      </c>
      <c r="AP37" s="43" t="str">
        <f t="shared" si="17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18"/>
        <v/>
      </c>
      <c r="AT37" s="52" t="str">
        <f t="shared" si="1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20"/>
        <v/>
      </c>
      <c r="AX37" s="43" t="str">
        <f t="shared" si="21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1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2"/>
        <v/>
      </c>
      <c r="N38" s="47" t="str">
        <f t="shared" si="3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4"/>
        <v/>
      </c>
      <c r="R38" s="43" t="str">
        <f t="shared" si="5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6"/>
        <v/>
      </c>
      <c r="V38" s="47" t="str">
        <f t="shared" si="7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8"/>
        <v/>
      </c>
      <c r="Z38" s="43" t="str">
        <f t="shared" si="9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10"/>
        <v/>
      </c>
      <c r="AD38" s="52" t="str">
        <f t="shared" si="11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12"/>
        <v/>
      </c>
      <c r="AH38" s="43" t="str">
        <f t="shared" si="13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14"/>
        <v/>
      </c>
      <c r="AL38" s="52" t="str">
        <f t="shared" si="15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16"/>
        <v/>
      </c>
      <c r="AP38" s="43" t="str">
        <f t="shared" si="17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18"/>
        <v/>
      </c>
      <c r="AT38" s="52" t="str">
        <f t="shared" si="1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20"/>
        <v/>
      </c>
      <c r="AX38" s="43" t="str">
        <f t="shared" si="21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1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2"/>
        <v/>
      </c>
      <c r="N39" s="47" t="str">
        <f t="shared" si="3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4"/>
        <v/>
      </c>
      <c r="R39" s="43" t="str">
        <f t="shared" si="5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6"/>
        <v/>
      </c>
      <c r="V39" s="47" t="str">
        <f t="shared" si="7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8"/>
        <v/>
      </c>
      <c r="Z39" s="43" t="str">
        <f t="shared" si="9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10"/>
        <v/>
      </c>
      <c r="AD39" s="52" t="str">
        <f t="shared" si="11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12"/>
        <v/>
      </c>
      <c r="AH39" s="43" t="str">
        <f t="shared" si="13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14"/>
        <v/>
      </c>
      <c r="AL39" s="52" t="str">
        <f t="shared" si="15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16"/>
        <v/>
      </c>
      <c r="AP39" s="43" t="str">
        <f t="shared" si="17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18"/>
        <v/>
      </c>
      <c r="AT39" s="52" t="str">
        <f t="shared" si="1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20"/>
        <v/>
      </c>
      <c r="AX39" s="43" t="str">
        <f t="shared" si="21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1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2"/>
        <v/>
      </c>
      <c r="N40" s="47" t="str">
        <f t="shared" si="3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4"/>
        <v/>
      </c>
      <c r="R40" s="43" t="str">
        <f t="shared" si="5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6"/>
        <v/>
      </c>
      <c r="V40" s="47" t="str">
        <f t="shared" si="7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8"/>
        <v/>
      </c>
      <c r="Z40" s="43" t="str">
        <f t="shared" si="9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10"/>
        <v/>
      </c>
      <c r="AD40" s="52" t="str">
        <f t="shared" si="11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12"/>
        <v/>
      </c>
      <c r="AH40" s="43" t="str">
        <f t="shared" si="13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14"/>
        <v/>
      </c>
      <c r="AL40" s="52" t="str">
        <f t="shared" si="15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16"/>
        <v/>
      </c>
      <c r="AP40" s="43" t="str">
        <f t="shared" si="17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18"/>
        <v/>
      </c>
      <c r="AT40" s="52" t="str">
        <f t="shared" si="1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20"/>
        <v/>
      </c>
      <c r="AX40" s="43" t="str">
        <f t="shared" si="21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1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2"/>
        <v/>
      </c>
      <c r="N41" s="47" t="str">
        <f t="shared" si="3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4"/>
        <v/>
      </c>
      <c r="R41" s="43" t="str">
        <f t="shared" si="5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6"/>
        <v/>
      </c>
      <c r="V41" s="47" t="str">
        <f t="shared" si="7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8"/>
        <v/>
      </c>
      <c r="Z41" s="43" t="str">
        <f t="shared" si="9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10"/>
        <v/>
      </c>
      <c r="AD41" s="52" t="str">
        <f t="shared" si="11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12"/>
        <v/>
      </c>
      <c r="AH41" s="43" t="str">
        <f t="shared" si="13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14"/>
        <v/>
      </c>
      <c r="AL41" s="52" t="str">
        <f t="shared" si="15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16"/>
        <v/>
      </c>
      <c r="AP41" s="43" t="str">
        <f t="shared" si="17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18"/>
        <v/>
      </c>
      <c r="AT41" s="52" t="str">
        <f t="shared" si="1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20"/>
        <v/>
      </c>
      <c r="AX41" s="43" t="str">
        <f t="shared" si="21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1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2"/>
        <v/>
      </c>
      <c r="N42" s="47" t="str">
        <f t="shared" si="3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4"/>
        <v/>
      </c>
      <c r="R42" s="43" t="str">
        <f t="shared" si="5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6"/>
        <v/>
      </c>
      <c r="V42" s="47" t="str">
        <f t="shared" si="7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8"/>
        <v/>
      </c>
      <c r="Z42" s="43" t="str">
        <f t="shared" si="9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10"/>
        <v/>
      </c>
      <c r="AD42" s="52" t="str">
        <f t="shared" si="11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12"/>
        <v/>
      </c>
      <c r="AH42" s="43" t="str">
        <f t="shared" si="13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14"/>
        <v/>
      </c>
      <c r="AL42" s="52" t="str">
        <f t="shared" si="15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16"/>
        <v/>
      </c>
      <c r="AP42" s="43" t="str">
        <f t="shared" si="17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18"/>
        <v/>
      </c>
      <c r="AT42" s="52" t="str">
        <f t="shared" si="1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20"/>
        <v/>
      </c>
      <c r="AX42" s="43" t="str">
        <f t="shared" si="21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1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2"/>
        <v/>
      </c>
      <c r="N43" s="47" t="str">
        <f t="shared" si="3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4"/>
        <v/>
      </c>
      <c r="R43" s="43" t="str">
        <f t="shared" si="5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6"/>
        <v/>
      </c>
      <c r="V43" s="47" t="str">
        <f t="shared" si="7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8"/>
        <v/>
      </c>
      <c r="Z43" s="43" t="str">
        <f t="shared" si="9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10"/>
        <v/>
      </c>
      <c r="AD43" s="52" t="str">
        <f t="shared" si="11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12"/>
        <v/>
      </c>
      <c r="AH43" s="43" t="str">
        <f t="shared" si="13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14"/>
        <v/>
      </c>
      <c r="AL43" s="52" t="str">
        <f t="shared" si="15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16"/>
        <v/>
      </c>
      <c r="AP43" s="43" t="str">
        <f t="shared" si="17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18"/>
        <v/>
      </c>
      <c r="AT43" s="52" t="str">
        <f t="shared" si="1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20"/>
        <v/>
      </c>
      <c r="AX43" s="43" t="str">
        <f t="shared" si="21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1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2"/>
        <v/>
      </c>
      <c r="N44" s="47" t="str">
        <f t="shared" si="3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4"/>
        <v/>
      </c>
      <c r="R44" s="43" t="str">
        <f t="shared" si="5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6"/>
        <v/>
      </c>
      <c r="V44" s="47" t="str">
        <f t="shared" si="7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8"/>
        <v/>
      </c>
      <c r="Z44" s="43" t="str">
        <f t="shared" si="9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10"/>
        <v/>
      </c>
      <c r="AD44" s="52" t="str">
        <f t="shared" si="11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12"/>
        <v/>
      </c>
      <c r="AH44" s="43" t="str">
        <f t="shared" si="13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14"/>
        <v/>
      </c>
      <c r="AL44" s="52" t="str">
        <f t="shared" si="15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16"/>
        <v/>
      </c>
      <c r="AP44" s="43" t="str">
        <f t="shared" si="17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18"/>
        <v/>
      </c>
      <c r="AT44" s="52" t="str">
        <f t="shared" si="1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20"/>
        <v/>
      </c>
      <c r="AX44" s="43" t="str">
        <f t="shared" si="21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1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2"/>
        <v/>
      </c>
      <c r="N45" s="47" t="str">
        <f t="shared" si="3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4"/>
        <v/>
      </c>
      <c r="R45" s="43" t="str">
        <f t="shared" si="5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6"/>
        <v/>
      </c>
      <c r="V45" s="47" t="str">
        <f t="shared" si="7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8"/>
        <v/>
      </c>
      <c r="Z45" s="43" t="str">
        <f t="shared" si="9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10"/>
        <v/>
      </c>
      <c r="AD45" s="52" t="str">
        <f t="shared" si="11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12"/>
        <v/>
      </c>
      <c r="AH45" s="43" t="str">
        <f t="shared" si="13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14"/>
        <v/>
      </c>
      <c r="AL45" s="52" t="str">
        <f t="shared" si="15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16"/>
        <v/>
      </c>
      <c r="AP45" s="43" t="str">
        <f t="shared" si="17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18"/>
        <v/>
      </c>
      <c r="AT45" s="52" t="str">
        <f t="shared" si="1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20"/>
        <v/>
      </c>
      <c r="AX45" s="43" t="str">
        <f t="shared" si="21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1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2"/>
        <v/>
      </c>
      <c r="N46" s="47" t="str">
        <f t="shared" si="3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4"/>
        <v/>
      </c>
      <c r="R46" s="43" t="str">
        <f t="shared" si="5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6"/>
        <v/>
      </c>
      <c r="V46" s="47" t="str">
        <f t="shared" si="7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8"/>
        <v/>
      </c>
      <c r="Z46" s="43" t="str">
        <f t="shared" si="9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10"/>
        <v/>
      </c>
      <c r="AD46" s="52" t="str">
        <f t="shared" si="11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12"/>
        <v/>
      </c>
      <c r="AH46" s="43" t="str">
        <f t="shared" si="13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14"/>
        <v/>
      </c>
      <c r="AL46" s="52" t="str">
        <f t="shared" si="15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16"/>
        <v/>
      </c>
      <c r="AP46" s="43" t="str">
        <f t="shared" si="17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18"/>
        <v/>
      </c>
      <c r="AT46" s="52" t="str">
        <f t="shared" si="1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20"/>
        <v/>
      </c>
      <c r="AX46" s="43" t="str">
        <f t="shared" si="21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1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2"/>
        <v/>
      </c>
      <c r="N47" s="47" t="str">
        <f t="shared" si="3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4"/>
        <v/>
      </c>
      <c r="R47" s="43" t="str">
        <f t="shared" si="5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6"/>
        <v/>
      </c>
      <c r="V47" s="47" t="str">
        <f t="shared" si="7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8"/>
        <v/>
      </c>
      <c r="Z47" s="43" t="str">
        <f t="shared" si="9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10"/>
        <v/>
      </c>
      <c r="AD47" s="52" t="str">
        <f t="shared" si="11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12"/>
        <v/>
      </c>
      <c r="AH47" s="43" t="str">
        <f t="shared" si="13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14"/>
        <v/>
      </c>
      <c r="AL47" s="52" t="str">
        <f t="shared" si="15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16"/>
        <v/>
      </c>
      <c r="AP47" s="43" t="str">
        <f t="shared" si="17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18"/>
        <v/>
      </c>
      <c r="AT47" s="52" t="str">
        <f t="shared" si="1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20"/>
        <v/>
      </c>
      <c r="AX47" s="43" t="str">
        <f t="shared" si="21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1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2"/>
        <v/>
      </c>
      <c r="N48" s="47" t="str">
        <f t="shared" si="3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4"/>
        <v/>
      </c>
      <c r="R48" s="43" t="str">
        <f t="shared" si="5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6"/>
        <v/>
      </c>
      <c r="V48" s="47" t="str">
        <f t="shared" si="7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8"/>
        <v/>
      </c>
      <c r="Z48" s="43" t="str">
        <f t="shared" si="9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10"/>
        <v/>
      </c>
      <c r="AD48" s="52" t="str">
        <f t="shared" si="11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12"/>
        <v/>
      </c>
      <c r="AH48" s="43" t="str">
        <f t="shared" si="13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14"/>
        <v/>
      </c>
      <c r="AL48" s="52" t="str">
        <f t="shared" si="15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16"/>
        <v/>
      </c>
      <c r="AP48" s="43" t="str">
        <f t="shared" si="17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18"/>
        <v/>
      </c>
      <c r="AT48" s="52" t="str">
        <f t="shared" si="1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20"/>
        <v/>
      </c>
      <c r="AX48" s="43" t="str">
        <f t="shared" si="21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1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2"/>
        <v/>
      </c>
      <c r="N49" s="47" t="str">
        <f t="shared" si="3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4"/>
        <v/>
      </c>
      <c r="R49" s="43" t="str">
        <f t="shared" si="5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6"/>
        <v/>
      </c>
      <c r="V49" s="47" t="str">
        <f t="shared" si="7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8"/>
        <v/>
      </c>
      <c r="Z49" s="43" t="str">
        <f t="shared" si="9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10"/>
        <v/>
      </c>
      <c r="AD49" s="52" t="str">
        <f t="shared" si="11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12"/>
        <v/>
      </c>
      <c r="AH49" s="43" t="str">
        <f t="shared" si="13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14"/>
        <v/>
      </c>
      <c r="AL49" s="52" t="str">
        <f t="shared" si="15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16"/>
        <v/>
      </c>
      <c r="AP49" s="43" t="str">
        <f t="shared" si="17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18"/>
        <v/>
      </c>
      <c r="AT49" s="52" t="str">
        <f t="shared" si="1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20"/>
        <v/>
      </c>
      <c r="AX49" s="43" t="str">
        <f t="shared" si="21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1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2"/>
        <v/>
      </c>
      <c r="N50" s="47" t="str">
        <f t="shared" si="3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4"/>
        <v/>
      </c>
      <c r="R50" s="43" t="str">
        <f t="shared" si="5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6"/>
        <v/>
      </c>
      <c r="V50" s="47" t="str">
        <f t="shared" si="7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8"/>
        <v/>
      </c>
      <c r="Z50" s="43" t="str">
        <f t="shared" si="9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10"/>
        <v/>
      </c>
      <c r="AD50" s="52" t="str">
        <f t="shared" si="11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12"/>
        <v/>
      </c>
      <c r="AH50" s="43" t="str">
        <f t="shared" si="13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14"/>
        <v/>
      </c>
      <c r="AL50" s="52" t="str">
        <f t="shared" si="15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16"/>
        <v/>
      </c>
      <c r="AP50" s="43" t="str">
        <f t="shared" si="17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18"/>
        <v/>
      </c>
      <c r="AT50" s="52" t="str">
        <f t="shared" si="1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20"/>
        <v/>
      </c>
      <c r="AX50" s="43" t="str">
        <f t="shared" si="21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AU1:AX1"/>
    <mergeCell ref="AA1:AD1"/>
    <mergeCell ref="AE1:AH1"/>
    <mergeCell ref="AI1:AL1"/>
    <mergeCell ref="AM1:AP1"/>
    <mergeCell ref="AQ1:AT1"/>
    <mergeCell ref="B52:C52"/>
    <mergeCell ref="S1:V1"/>
    <mergeCell ref="W1:Z1"/>
    <mergeCell ref="M60:W60"/>
    <mergeCell ref="A1:F1"/>
    <mergeCell ref="G1:J1"/>
    <mergeCell ref="K1:N1"/>
    <mergeCell ref="O1:R1"/>
  </mergeCells>
  <conditionalFormatting sqref="A3 D3:F50">
    <cfRule type="expression" dxfId="2364" priority="154" stopIfTrue="1">
      <formula>#REF!="DLN"</formula>
    </cfRule>
  </conditionalFormatting>
  <conditionalFormatting sqref="F3:F7 A3 D3:E50">
    <cfRule type="expression" dxfId="2363" priority="153" stopIfTrue="1">
      <formula>#REF!="DLN"</formula>
    </cfRule>
  </conditionalFormatting>
  <conditionalFormatting sqref="L3:L50">
    <cfRule type="expression" dxfId="2362" priority="151" stopIfTrue="1">
      <formula>#REF!="DLN"</formula>
    </cfRule>
  </conditionalFormatting>
  <conditionalFormatting sqref="L3:L50">
    <cfRule type="expression" dxfId="2361" priority="150" stopIfTrue="1">
      <formula>#REF!="DLN"</formula>
    </cfRule>
  </conditionalFormatting>
  <conditionalFormatting sqref="T3:T50">
    <cfRule type="expression" dxfId="2360" priority="147" stopIfTrue="1">
      <formula>#REF!="DLN"</formula>
    </cfRule>
  </conditionalFormatting>
  <conditionalFormatting sqref="T3:T50">
    <cfRule type="expression" dxfId="2359" priority="146" stopIfTrue="1">
      <formula>#REF!="DLN"</formula>
    </cfRule>
  </conditionalFormatting>
  <conditionalFormatting sqref="X3:X50">
    <cfRule type="expression" dxfId="2358" priority="145" stopIfTrue="1">
      <formula>#REF!="DLN"</formula>
    </cfRule>
  </conditionalFormatting>
  <conditionalFormatting sqref="X3:X50">
    <cfRule type="expression" dxfId="2357" priority="144" stopIfTrue="1">
      <formula>#REF!="DLN"</formula>
    </cfRule>
  </conditionalFormatting>
  <conditionalFormatting sqref="G2">
    <cfRule type="expression" dxfId="2356" priority="143" stopIfTrue="1">
      <formula>#REF!="DLN"</formula>
    </cfRule>
  </conditionalFormatting>
  <conditionalFormatting sqref="G2">
    <cfRule type="expression" dxfId="2355" priority="142" stopIfTrue="1">
      <formula>#REF!="DLN"</formula>
    </cfRule>
  </conditionalFormatting>
  <conditionalFormatting sqref="K2">
    <cfRule type="expression" dxfId="2354" priority="141" stopIfTrue="1">
      <formula>#REF!="DLN"</formula>
    </cfRule>
  </conditionalFormatting>
  <conditionalFormatting sqref="K2">
    <cfRule type="expression" dxfId="2353" priority="140" stopIfTrue="1">
      <formula>#REF!="DLN"</formula>
    </cfRule>
  </conditionalFormatting>
  <conditionalFormatting sqref="O2">
    <cfRule type="expression" dxfId="2352" priority="139" stopIfTrue="1">
      <formula>#REF!="DLN"</formula>
    </cfRule>
  </conditionalFormatting>
  <conditionalFormatting sqref="O2">
    <cfRule type="expression" dxfId="2351" priority="138" stopIfTrue="1">
      <formula>#REF!="DLN"</formula>
    </cfRule>
  </conditionalFormatting>
  <conditionalFormatting sqref="S2">
    <cfRule type="expression" dxfId="2350" priority="137" stopIfTrue="1">
      <formula>#REF!="DLN"</formula>
    </cfRule>
  </conditionalFormatting>
  <conditionalFormatting sqref="S2">
    <cfRule type="expression" dxfId="2349" priority="136" stopIfTrue="1">
      <formula>#REF!="DLN"</formula>
    </cfRule>
  </conditionalFormatting>
  <conditionalFormatting sqref="W2">
    <cfRule type="expression" dxfId="2348" priority="135" stopIfTrue="1">
      <formula>#REF!="DLN"</formula>
    </cfRule>
  </conditionalFormatting>
  <conditionalFormatting sqref="W2">
    <cfRule type="expression" dxfId="2347" priority="134" stopIfTrue="1">
      <formula>#REF!="DLN"</formula>
    </cfRule>
  </conditionalFormatting>
  <conditionalFormatting sqref="AF3:AF50">
    <cfRule type="expression" dxfId="2346" priority="43" stopIfTrue="1">
      <formula>#REF!="DLN"</formula>
    </cfRule>
  </conditionalFormatting>
  <conditionalFormatting sqref="W3:W50">
    <cfRule type="expression" dxfId="2345" priority="102" stopIfTrue="1">
      <formula>#REF!="DLN"</formula>
    </cfRule>
  </conditionalFormatting>
  <conditionalFormatting sqref="W3:W50">
    <cfRule type="expression" dxfId="2344" priority="101" stopIfTrue="1">
      <formula>#REF!="DLN"</formula>
    </cfRule>
  </conditionalFormatting>
  <conditionalFormatting sqref="S3:S50">
    <cfRule type="expression" dxfId="2343" priority="100" stopIfTrue="1">
      <formula>#REF!="DLN"</formula>
    </cfRule>
  </conditionalFormatting>
  <conditionalFormatting sqref="S3:S50">
    <cfRule type="expression" dxfId="2342" priority="99" stopIfTrue="1">
      <formula>#REF!="DLN"</formula>
    </cfRule>
  </conditionalFormatting>
  <conditionalFormatting sqref="K3:K50">
    <cfRule type="expression" dxfId="2341" priority="98" stopIfTrue="1">
      <formula>#REF!="DLN"</formula>
    </cfRule>
  </conditionalFormatting>
  <conditionalFormatting sqref="K3:K50">
    <cfRule type="expression" dxfId="2340" priority="97" stopIfTrue="1">
      <formula>#REF!="DLN"</formula>
    </cfRule>
  </conditionalFormatting>
  <conditionalFormatting sqref="AF3:AF50">
    <cfRule type="expression" dxfId="2339" priority="44" stopIfTrue="1">
      <formula>#REF!="DLN"</formula>
    </cfRule>
  </conditionalFormatting>
  <conditionalFormatting sqref="J52">
    <cfRule type="cellIs" dxfId="2338" priority="91" stopIfTrue="1" operator="greaterThanOrEqual">
      <formula>0.801</formula>
    </cfRule>
    <cfRule type="cellIs" dxfId="2337" priority="92" stopIfTrue="1" operator="between">
      <formula>0.61</formula>
      <formula>0.8</formula>
    </cfRule>
    <cfRule type="cellIs" dxfId="2336" priority="93" stopIfTrue="1" operator="between">
      <formula>0</formula>
      <formula>0.6</formula>
    </cfRule>
  </conditionalFormatting>
  <conditionalFormatting sqref="J52">
    <cfRule type="expression" dxfId="2335" priority="94" stopIfTrue="1">
      <formula>#REF!="DLN"</formula>
    </cfRule>
  </conditionalFormatting>
  <conditionalFormatting sqref="I52">
    <cfRule type="cellIs" dxfId="2334" priority="87" stopIfTrue="1" operator="greaterThanOrEqual">
      <formula>0.801</formula>
    </cfRule>
    <cfRule type="cellIs" dxfId="2333" priority="88" stopIfTrue="1" operator="between">
      <formula>0.61</formula>
      <formula>0.8</formula>
    </cfRule>
    <cfRule type="cellIs" dxfId="2332" priority="89" stopIfTrue="1" operator="between">
      <formula>0</formula>
      <formula>0.6</formula>
    </cfRule>
  </conditionalFormatting>
  <conditionalFormatting sqref="I52">
    <cfRule type="expression" dxfId="2331" priority="90" stopIfTrue="1">
      <formula>#REF!="DLN"</formula>
    </cfRule>
  </conditionalFormatting>
  <conditionalFormatting sqref="M52:N52">
    <cfRule type="cellIs" dxfId="2330" priority="83" stopIfTrue="1" operator="greaterThanOrEqual">
      <formula>0.801</formula>
    </cfRule>
    <cfRule type="cellIs" dxfId="2329" priority="84" stopIfTrue="1" operator="between">
      <formula>0.61</formula>
      <formula>0.8</formula>
    </cfRule>
    <cfRule type="cellIs" dxfId="2328" priority="85" stopIfTrue="1" operator="between">
      <formula>0</formula>
      <formula>0.6</formula>
    </cfRule>
  </conditionalFormatting>
  <conditionalFormatting sqref="M52:N52">
    <cfRule type="expression" dxfId="2327" priority="86" stopIfTrue="1">
      <formula>#REF!="DLN"</formula>
    </cfRule>
  </conditionalFormatting>
  <conditionalFormatting sqref="Q52:R52">
    <cfRule type="cellIs" dxfId="2326" priority="79" stopIfTrue="1" operator="greaterThanOrEqual">
      <formula>0.801</formula>
    </cfRule>
    <cfRule type="cellIs" dxfId="2325" priority="80" stopIfTrue="1" operator="between">
      <formula>0.61</formula>
      <formula>0.8</formula>
    </cfRule>
    <cfRule type="cellIs" dxfId="2324" priority="81" stopIfTrue="1" operator="between">
      <formula>0</formula>
      <formula>0.6</formula>
    </cfRule>
  </conditionalFormatting>
  <conditionalFormatting sqref="Q52:R52">
    <cfRule type="expression" dxfId="2323" priority="82" stopIfTrue="1">
      <formula>#REF!="DLN"</formula>
    </cfRule>
  </conditionalFormatting>
  <conditionalFormatting sqref="U52:V52">
    <cfRule type="cellIs" dxfId="2322" priority="75" stopIfTrue="1" operator="greaterThanOrEqual">
      <formula>0.801</formula>
    </cfRule>
    <cfRule type="cellIs" dxfId="2321" priority="76" stopIfTrue="1" operator="between">
      <formula>0.61</formula>
      <formula>0.8</formula>
    </cfRule>
    <cfRule type="cellIs" dxfId="2320" priority="77" stopIfTrue="1" operator="between">
      <formula>0</formula>
      <formula>0.6</formula>
    </cfRule>
  </conditionalFormatting>
  <conditionalFormatting sqref="U52:V52">
    <cfRule type="expression" dxfId="2319" priority="78" stopIfTrue="1">
      <formula>#REF!="DLN"</formula>
    </cfRule>
  </conditionalFormatting>
  <conditionalFormatting sqref="Y52:Z52">
    <cfRule type="cellIs" dxfId="2318" priority="71" stopIfTrue="1" operator="greaterThanOrEqual">
      <formula>0.801</formula>
    </cfRule>
    <cfRule type="cellIs" dxfId="2317" priority="72" stopIfTrue="1" operator="between">
      <formula>0.61</formula>
      <formula>0.8</formula>
    </cfRule>
    <cfRule type="cellIs" dxfId="2316" priority="73" stopIfTrue="1" operator="between">
      <formula>0</formula>
      <formula>0.6</formula>
    </cfRule>
  </conditionalFormatting>
  <conditionalFormatting sqref="Y52:Z52">
    <cfRule type="expression" dxfId="2315" priority="74" stopIfTrue="1">
      <formula>#REF!="DLN"</formula>
    </cfRule>
  </conditionalFormatting>
  <conditionalFormatting sqref="AC52:AD52">
    <cfRule type="cellIs" dxfId="2314" priority="67" stopIfTrue="1" operator="greaterThanOrEqual">
      <formula>0.801</formula>
    </cfRule>
    <cfRule type="cellIs" dxfId="2313" priority="68" stopIfTrue="1" operator="between">
      <formula>0.61</formula>
      <formula>0.8</formula>
    </cfRule>
    <cfRule type="cellIs" dxfId="2312" priority="69" stopIfTrue="1" operator="between">
      <formula>0</formula>
      <formula>0.6</formula>
    </cfRule>
  </conditionalFormatting>
  <conditionalFormatting sqref="AC52:AD52">
    <cfRule type="expression" dxfId="2311" priority="70" stopIfTrue="1">
      <formula>#REF!="DLN"</formula>
    </cfRule>
  </conditionalFormatting>
  <conditionalFormatting sqref="G3:G50">
    <cfRule type="expression" dxfId="2310" priority="59" stopIfTrue="1">
      <formula>#REF!="DLN"</formula>
    </cfRule>
  </conditionalFormatting>
  <conditionalFormatting sqref="G3:G50">
    <cfRule type="expression" dxfId="2309" priority="60" stopIfTrue="1">
      <formula>#REF!="DLN"</formula>
    </cfRule>
  </conditionalFormatting>
  <conditionalFormatting sqref="P3:P50">
    <cfRule type="expression" dxfId="2308" priority="58" stopIfTrue="1">
      <formula>#REF!="DLN"</formula>
    </cfRule>
  </conditionalFormatting>
  <conditionalFormatting sqref="P3:P50">
    <cfRule type="expression" dxfId="2307" priority="57" stopIfTrue="1">
      <formula>#REF!="DLN"</formula>
    </cfRule>
  </conditionalFormatting>
  <conditionalFormatting sqref="O3:O50">
    <cfRule type="expression" dxfId="2306" priority="54" stopIfTrue="1">
      <formula>#REF!="DLN"</formula>
    </cfRule>
  </conditionalFormatting>
  <conditionalFormatting sqref="O3:O50">
    <cfRule type="expression" dxfId="2305" priority="53" stopIfTrue="1">
      <formula>#REF!="DLN"</formula>
    </cfRule>
  </conditionalFormatting>
  <conditionalFormatting sqref="H3:H50">
    <cfRule type="expression" dxfId="2304" priority="50" stopIfTrue="1">
      <formula>#REF!="DLN"</formula>
    </cfRule>
  </conditionalFormatting>
  <conditionalFormatting sqref="H3:H50">
    <cfRule type="expression" dxfId="2303" priority="49" stopIfTrue="1">
      <formula>#REF!="DLN"</formula>
    </cfRule>
  </conditionalFormatting>
  <conditionalFormatting sqref="A4">
    <cfRule type="expression" dxfId="2302" priority="48" stopIfTrue="1">
      <formula>#REF!="DLN"</formula>
    </cfRule>
  </conditionalFormatting>
  <conditionalFormatting sqref="A4">
    <cfRule type="expression" dxfId="2301" priority="47" stopIfTrue="1">
      <formula>#REF!="DLN"</formula>
    </cfRule>
  </conditionalFormatting>
  <conditionalFormatting sqref="A8:A50">
    <cfRule type="expression" dxfId="2300" priority="46" stopIfTrue="1">
      <formula>#REF!="DLN"</formula>
    </cfRule>
  </conditionalFormatting>
  <conditionalFormatting sqref="A8:A50">
    <cfRule type="expression" dxfId="2299" priority="45" stopIfTrue="1">
      <formula>#REF!="DLN"</formula>
    </cfRule>
  </conditionalFormatting>
  <conditionalFormatting sqref="AE2">
    <cfRule type="expression" dxfId="2298" priority="42" stopIfTrue="1">
      <formula>#REF!="DLN"</formula>
    </cfRule>
  </conditionalFormatting>
  <conditionalFormatting sqref="AE2">
    <cfRule type="expression" dxfId="2297" priority="41" stopIfTrue="1">
      <formula>#REF!="DLN"</formula>
    </cfRule>
  </conditionalFormatting>
  <conditionalFormatting sqref="AE3:AE50">
    <cfRule type="expression" dxfId="2296" priority="40" stopIfTrue="1">
      <formula>#REF!="DLN"</formula>
    </cfRule>
  </conditionalFormatting>
  <conditionalFormatting sqref="AE3:AE50">
    <cfRule type="expression" dxfId="2295" priority="39" stopIfTrue="1">
      <formula>#REF!="DLN"</formula>
    </cfRule>
  </conditionalFormatting>
  <conditionalFormatting sqref="AG52:AH52">
    <cfRule type="cellIs" dxfId="2294" priority="35" stopIfTrue="1" operator="greaterThanOrEqual">
      <formula>0.801</formula>
    </cfRule>
    <cfRule type="cellIs" dxfId="2293" priority="36" stopIfTrue="1" operator="between">
      <formula>0.61</formula>
      <formula>0.8</formula>
    </cfRule>
    <cfRule type="cellIs" dxfId="2292" priority="37" stopIfTrue="1" operator="between">
      <formula>0</formula>
      <formula>0.6</formula>
    </cfRule>
  </conditionalFormatting>
  <conditionalFormatting sqref="AG52:AH52">
    <cfRule type="expression" dxfId="2291" priority="38" stopIfTrue="1">
      <formula>#REF!="DLN"</formula>
    </cfRule>
  </conditionalFormatting>
  <conditionalFormatting sqref="AK52:AL52">
    <cfRule type="cellIs" dxfId="2290" priority="31" stopIfTrue="1" operator="greaterThanOrEqual">
      <formula>0.801</formula>
    </cfRule>
    <cfRule type="cellIs" dxfId="2289" priority="32" stopIfTrue="1" operator="between">
      <formula>0.61</formula>
      <formula>0.8</formula>
    </cfRule>
    <cfRule type="cellIs" dxfId="2288" priority="33" stopIfTrue="1" operator="between">
      <formula>0</formula>
      <formula>0.6</formula>
    </cfRule>
  </conditionalFormatting>
  <conditionalFormatting sqref="AK52:AL52">
    <cfRule type="expression" dxfId="2287" priority="34" stopIfTrue="1">
      <formula>#REF!="DLN"</formula>
    </cfRule>
  </conditionalFormatting>
  <conditionalFormatting sqref="AN3:AN50">
    <cfRule type="expression" dxfId="2286" priority="30" stopIfTrue="1">
      <formula>#REF!="DLN"</formula>
    </cfRule>
  </conditionalFormatting>
  <conditionalFormatting sqref="AN3:AN50">
    <cfRule type="expression" dxfId="2285" priority="29" stopIfTrue="1">
      <formula>#REF!="DLN"</formula>
    </cfRule>
  </conditionalFormatting>
  <conditionalFormatting sqref="AM2">
    <cfRule type="expression" dxfId="2284" priority="28" stopIfTrue="1">
      <formula>#REF!="DLN"</formula>
    </cfRule>
  </conditionalFormatting>
  <conditionalFormatting sqref="AM2">
    <cfRule type="expression" dxfId="2283" priority="27" stopIfTrue="1">
      <formula>#REF!="DLN"</formula>
    </cfRule>
  </conditionalFormatting>
  <conditionalFormatting sqref="AM3:AM50">
    <cfRule type="expression" dxfId="2282" priority="26" stopIfTrue="1">
      <formula>#REF!="DLN"</formula>
    </cfRule>
  </conditionalFormatting>
  <conditionalFormatting sqref="AM3:AM50">
    <cfRule type="expression" dxfId="2281" priority="25" stopIfTrue="1">
      <formula>#REF!="DLN"</formula>
    </cfRule>
  </conditionalFormatting>
  <conditionalFormatting sqref="AO52:AP52">
    <cfRule type="cellIs" dxfId="2280" priority="21" stopIfTrue="1" operator="greaterThanOrEqual">
      <formula>0.801</formula>
    </cfRule>
    <cfRule type="cellIs" dxfId="2279" priority="22" stopIfTrue="1" operator="between">
      <formula>0.61</formula>
      <formula>0.8</formula>
    </cfRule>
    <cfRule type="cellIs" dxfId="2278" priority="23" stopIfTrue="1" operator="between">
      <formula>0</formula>
      <formula>0.6</formula>
    </cfRule>
  </conditionalFormatting>
  <conditionalFormatting sqref="AO52:AP52">
    <cfRule type="expression" dxfId="2277" priority="24" stopIfTrue="1">
      <formula>#REF!="DLN"</formula>
    </cfRule>
  </conditionalFormatting>
  <conditionalFormatting sqref="AS52:AT52">
    <cfRule type="cellIs" dxfId="2276" priority="17" stopIfTrue="1" operator="greaterThanOrEqual">
      <formula>0.801</formula>
    </cfRule>
    <cfRule type="cellIs" dxfId="2275" priority="18" stopIfTrue="1" operator="between">
      <formula>0.61</formula>
      <formula>0.8</formula>
    </cfRule>
    <cfRule type="cellIs" dxfId="2274" priority="19" stopIfTrue="1" operator="between">
      <formula>0</formula>
      <formula>0.6</formula>
    </cfRule>
  </conditionalFormatting>
  <conditionalFormatting sqref="AS52:AT52">
    <cfRule type="expression" dxfId="2273" priority="20" stopIfTrue="1">
      <formula>#REF!="DLN"</formula>
    </cfRule>
  </conditionalFormatting>
  <conditionalFormatting sqref="AV3:AV50">
    <cfRule type="expression" dxfId="2272" priority="16" stopIfTrue="1">
      <formula>#REF!="DLN"</formula>
    </cfRule>
  </conditionalFormatting>
  <conditionalFormatting sqref="AV3:AV50">
    <cfRule type="expression" dxfId="2271" priority="15" stopIfTrue="1">
      <formula>#REF!="DLN"</formula>
    </cfRule>
  </conditionalFormatting>
  <conditionalFormatting sqref="AU2">
    <cfRule type="expression" dxfId="2270" priority="14" stopIfTrue="1">
      <formula>#REF!="DLN"</formula>
    </cfRule>
  </conditionalFormatting>
  <conditionalFormatting sqref="AU2">
    <cfRule type="expression" dxfId="2269" priority="13" stopIfTrue="1">
      <formula>#REF!="DLN"</formula>
    </cfRule>
  </conditionalFormatting>
  <conditionalFormatting sqref="AU3:AU50">
    <cfRule type="expression" dxfId="2268" priority="12" stopIfTrue="1">
      <formula>#REF!="DLN"</formula>
    </cfRule>
  </conditionalFormatting>
  <conditionalFormatting sqref="AU3:AU50">
    <cfRule type="expression" dxfId="2267" priority="11" stopIfTrue="1">
      <formula>#REF!="DLN"</formula>
    </cfRule>
  </conditionalFormatting>
  <conditionalFormatting sqref="AW52:AX52">
    <cfRule type="cellIs" dxfId="2266" priority="7" stopIfTrue="1" operator="greaterThanOrEqual">
      <formula>0.801</formula>
    </cfRule>
    <cfRule type="cellIs" dxfId="2265" priority="8" stopIfTrue="1" operator="between">
      <formula>0.61</formula>
      <formula>0.8</formula>
    </cfRule>
    <cfRule type="cellIs" dxfId="2264" priority="9" stopIfTrue="1" operator="between">
      <formula>0</formula>
      <formula>0.6</formula>
    </cfRule>
  </conditionalFormatting>
  <conditionalFormatting sqref="AW52:AX52">
    <cfRule type="expression" dxfId="2263" priority="10" stopIfTrue="1">
      <formula>#REF!="DLN"</formula>
    </cfRule>
  </conditionalFormatting>
  <conditionalFormatting sqref="A5">
    <cfRule type="expression" dxfId="2262" priority="6" stopIfTrue="1">
      <formula>#REF!="DLN"</formula>
    </cfRule>
  </conditionalFormatting>
  <conditionalFormatting sqref="A5">
    <cfRule type="expression" dxfId="2261" priority="5" stopIfTrue="1">
      <formula>#REF!="DLN"</formula>
    </cfRule>
  </conditionalFormatting>
  <conditionalFormatting sqref="A6">
    <cfRule type="expression" dxfId="2260" priority="4" stopIfTrue="1">
      <formula>#REF!="DLN"</formula>
    </cfRule>
  </conditionalFormatting>
  <conditionalFormatting sqref="A6">
    <cfRule type="expression" dxfId="2259" priority="3" stopIfTrue="1">
      <formula>#REF!="DLN"</formula>
    </cfRule>
  </conditionalFormatting>
  <conditionalFormatting sqref="A7">
    <cfRule type="expression" dxfId="2258" priority="2" stopIfTrue="1">
      <formula>#REF!="DLN"</formula>
    </cfRule>
  </conditionalFormatting>
  <conditionalFormatting sqref="A7">
    <cfRule type="expression" dxfId="2257" priority="1" stopIfTrue="1">
      <formula>#REF!="DLN"</formula>
    </cfRule>
  </conditionalFormatting>
  <dataValidations count="1">
    <dataValidation type="list" allowBlank="1" showInputMessage="1" showErrorMessage="1" sqref="A3:A50" xr:uid="{90216AB6-920C-48F9-ABF5-742224967287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78112A-0EEB-4307-80E9-2965671718CC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6782-7ADC-433D-AEE2-A9AC044B645D}">
  <sheetPr codeName="Sheet1"/>
  <dimension ref="A1:B16"/>
  <sheetViews>
    <sheetView workbookViewId="0">
      <selection activeCell="F11" sqref="F11"/>
    </sheetView>
  </sheetViews>
  <sheetFormatPr defaultRowHeight="15" x14ac:dyDescent="0.25"/>
  <cols>
    <col min="1" max="1" width="9.7109375" style="22" bestFit="1" customWidth="1"/>
    <col min="2" max="2" width="18.140625" style="22" customWidth="1"/>
    <col min="3" max="16384" width="9.140625" style="22"/>
  </cols>
  <sheetData>
    <row r="1" spans="1:2" x14ac:dyDescent="0.25">
      <c r="A1" s="55" t="s">
        <v>31</v>
      </c>
      <c r="B1" s="55" t="s">
        <v>377</v>
      </c>
    </row>
    <row r="2" spans="1:2" x14ac:dyDescent="0.25">
      <c r="A2" s="59" t="s">
        <v>43</v>
      </c>
      <c r="B2" s="56" t="s">
        <v>442</v>
      </c>
    </row>
    <row r="3" spans="1:2" x14ac:dyDescent="0.25">
      <c r="A3" s="59"/>
      <c r="B3" s="56" t="s">
        <v>93</v>
      </c>
    </row>
    <row r="4" spans="1:2" x14ac:dyDescent="0.25">
      <c r="A4" s="59" t="s">
        <v>144</v>
      </c>
      <c r="B4" s="56" t="s">
        <v>444</v>
      </c>
    </row>
    <row r="5" spans="1:2" x14ac:dyDescent="0.25">
      <c r="A5" s="59"/>
      <c r="B5" s="56" t="s">
        <v>378</v>
      </c>
    </row>
    <row r="6" spans="1:2" x14ac:dyDescent="0.25">
      <c r="A6" s="85" t="s">
        <v>251</v>
      </c>
      <c r="B6" s="56" t="s">
        <v>431</v>
      </c>
    </row>
    <row r="7" spans="1:2" x14ac:dyDescent="0.25">
      <c r="A7" s="86"/>
      <c r="B7" s="56" t="s">
        <v>430</v>
      </c>
    </row>
    <row r="8" spans="1:2" x14ac:dyDescent="0.25">
      <c r="A8" s="86"/>
      <c r="B8" s="56" t="s">
        <v>432</v>
      </c>
    </row>
    <row r="9" spans="1:2" x14ac:dyDescent="0.25">
      <c r="A9" s="86"/>
      <c r="B9" s="56" t="s">
        <v>433</v>
      </c>
    </row>
    <row r="10" spans="1:2" x14ac:dyDescent="0.25">
      <c r="A10" s="87"/>
      <c r="B10" s="56" t="s">
        <v>441</v>
      </c>
    </row>
    <row r="11" spans="1:2" x14ac:dyDescent="0.25">
      <c r="A11" s="59" t="s">
        <v>310</v>
      </c>
      <c r="B11" s="56" t="s">
        <v>438</v>
      </c>
    </row>
    <row r="12" spans="1:2" x14ac:dyDescent="0.25">
      <c r="A12" s="59"/>
      <c r="B12" s="56" t="s">
        <v>440</v>
      </c>
    </row>
    <row r="13" spans="1:2" x14ac:dyDescent="0.25">
      <c r="A13" s="59"/>
      <c r="B13" s="56" t="s">
        <v>439</v>
      </c>
    </row>
    <row r="14" spans="1:2" x14ac:dyDescent="0.25">
      <c r="A14" s="59"/>
      <c r="B14" s="56" t="s">
        <v>434</v>
      </c>
    </row>
    <row r="15" spans="1:2" x14ac:dyDescent="0.25">
      <c r="A15" s="59"/>
      <c r="B15" s="56" t="s">
        <v>436</v>
      </c>
    </row>
    <row r="16" spans="1:2" x14ac:dyDescent="0.25">
      <c r="A16" s="59"/>
      <c r="B16" s="56" t="s">
        <v>435</v>
      </c>
    </row>
  </sheetData>
  <sheetProtection algorithmName="SHA-512" hashValue="U5ulwFVZnXCZp5+wJOB2dZEeOjj0wcox3U3kag+hMsQXjVXnuSfiPOjqnAqUZERWS52gzK0byy23hMyp5juHsQ==" saltValue="yyZaufxhzsiZjrmD5YQIuQ==" spinCount="100000" sheet="1" objects="1" scenarios="1"/>
  <mergeCells count="4">
    <mergeCell ref="A2:A3"/>
    <mergeCell ref="A4:A5"/>
    <mergeCell ref="A11:A16"/>
    <mergeCell ref="A6: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B0B4-5A5C-4062-93D3-EA0E71A5290F}">
  <sheetPr codeName="Sheet24"/>
  <dimension ref="A1:AX62"/>
  <sheetViews>
    <sheetView workbookViewId="0">
      <selection activeCell="D13" sqref="D13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1" t="s">
        <v>273</v>
      </c>
      <c r="B3" s="21" t="s">
        <v>431</v>
      </c>
      <c r="C3" s="20" t="str">
        <f>IFERROR(VLOOKUP(A3,'Parts List and Volumes'!C2:D194,2,FALSE),"")</f>
        <v xml:space="preserve">NFAA0195AAF20 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10421</v>
      </c>
      <c r="H3" s="41">
        <f>IFERROR(VLOOKUP($A3,'Parts List and Volumes'!$C$2:$W194,6,FALSE),"")</f>
        <v>10425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10425</v>
      </c>
      <c r="L3" s="45">
        <f>IFERROR(VLOOKUP($A3,'Parts List and Volumes'!$C$2:$W194,8,FALSE),"")</f>
        <v>10425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17191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0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0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1" t="s">
        <v>288</v>
      </c>
      <c r="B4" s="21" t="s">
        <v>432</v>
      </c>
      <c r="C4" s="20" t="str">
        <f>IFERROR(VLOOKUP(A4,'Parts List and Volumes'!C3:D195,2,FALSE),"")</f>
        <v>NFAA0209ABF20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26"/>
      <c r="G4" s="40">
        <f>IFERROR(VLOOKUP($A4,'Parts List and Volumes'!$C$2:$W195,5,FALSE),"")</f>
        <v>217205</v>
      </c>
      <c r="H4" s="41">
        <f>IFERROR(VLOOKUP($A4,'Parts List and Volumes'!$C$2:$W195,6,FALSE),"")</f>
        <v>213913</v>
      </c>
      <c r="I4" s="42">
        <f t="shared" si="0"/>
        <v>0</v>
      </c>
      <c r="J4" s="43">
        <f t="shared" si="0"/>
        <v>0</v>
      </c>
      <c r="K4" s="44">
        <f>IFERROR(VLOOKUP($A4,'Parts List and Volumes'!$C$2:$W195,7,FALSE),"")</f>
        <v>213913</v>
      </c>
      <c r="L4" s="45">
        <f>IFERROR(VLOOKUP($A4,'Parts List and Volumes'!$C$2:$W195,8,FALSE),"")</f>
        <v>213913</v>
      </c>
      <c r="M4" s="46">
        <f t="shared" si="1"/>
        <v>0</v>
      </c>
      <c r="N4" s="47">
        <f t="shared" si="1"/>
        <v>0</v>
      </c>
      <c r="O4" s="41">
        <f>IFERROR(VLOOKUP($A4,'Parts List and Volumes'!$C$2:$W195,9,FALSE),"")</f>
        <v>0</v>
      </c>
      <c r="P4" s="41">
        <f>IFERROR(VLOOKUP($A4,'Parts List and Volumes'!$C$2:$W195,10,FALSE),"")</f>
        <v>238306</v>
      </c>
      <c r="Q4" s="48">
        <f t="shared" si="2"/>
        <v>0</v>
      </c>
      <c r="R4" s="43">
        <f t="shared" si="2"/>
        <v>0</v>
      </c>
      <c r="S4" s="44">
        <f>IFERROR(VLOOKUP($A4,'Parts List and Volumes'!$C$2:$W195,11,FALSE),"")</f>
        <v>0</v>
      </c>
      <c r="T4" s="45">
        <f>IFERROR(VLOOKUP($A4,'Parts List and Volumes'!$C$2:$W195,12,FALSE),"")</f>
        <v>238306</v>
      </c>
      <c r="U4" s="46">
        <f t="shared" si="3"/>
        <v>0</v>
      </c>
      <c r="V4" s="47">
        <f t="shared" si="3"/>
        <v>0</v>
      </c>
      <c r="W4" s="40">
        <f>IFERROR(VLOOKUP($A4,'Parts List and Volumes'!$C$2:$W195,13,FALSE),"")</f>
        <v>0</v>
      </c>
      <c r="X4" s="41">
        <f>IFERROR(VLOOKUP($A4,'Parts List and Volumes'!$C$2:$W195,14,FALSE),"")</f>
        <v>0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1" t="s">
        <v>290</v>
      </c>
      <c r="B5" s="21" t="s">
        <v>432</v>
      </c>
      <c r="C5" s="20" t="str">
        <f>IFERROR(VLOOKUP(A5,'Parts List and Volumes'!C4:D196,2,FALSE),"")</f>
        <v>NFAA0210AAF20</v>
      </c>
      <c r="D5" s="39">
        <f>IFERROR(IF(VLOOKUP($A5,'Parts List and Volumes'!$C4:$F266,3,FALSE)=0,"",VLOOKUP(A5,'Parts List and Volumes'!C4:F266,3,FALSE)),"")</f>
        <v>4.76</v>
      </c>
      <c r="E5" s="39" t="str">
        <f>IFERROR(IF(VLOOKUP($A5,'Parts List and Volumes'!$C4:$F266,4,FALSE)=0,"",VLOOKUP(B5,'Parts List and Volumes'!D4:G266,3,FALSE)),"")</f>
        <v/>
      </c>
      <c r="F5" s="26"/>
      <c r="G5" s="40">
        <f>IFERROR(VLOOKUP($A5,'Parts List and Volumes'!$C$2:$W196,5,FALSE),"")</f>
        <v>218186</v>
      </c>
      <c r="H5" s="41">
        <f>IFERROR(VLOOKUP($A5,'Parts List and Volumes'!$C$2:$W196,6,FALSE),"")</f>
        <v>214164</v>
      </c>
      <c r="I5" s="42">
        <f t="shared" si="0"/>
        <v>0</v>
      </c>
      <c r="J5" s="43">
        <f t="shared" si="0"/>
        <v>0</v>
      </c>
      <c r="K5" s="44">
        <f>IFERROR(VLOOKUP($A5,'Parts List and Volumes'!$C$2:$W196,7,FALSE),"")</f>
        <v>214164</v>
      </c>
      <c r="L5" s="45">
        <f>IFERROR(VLOOKUP($A5,'Parts List and Volumes'!$C$2:$W196,8,FALSE),"")</f>
        <v>214164</v>
      </c>
      <c r="M5" s="46">
        <f t="shared" si="1"/>
        <v>0</v>
      </c>
      <c r="N5" s="47">
        <f t="shared" si="1"/>
        <v>0</v>
      </c>
      <c r="O5" s="41">
        <f>IFERROR(VLOOKUP($A5,'Parts List and Volumes'!$C$2:$W196,9,FALSE),"")</f>
        <v>0</v>
      </c>
      <c r="P5" s="41">
        <f>IFERROR(VLOOKUP($A5,'Parts List and Volumes'!$C$2:$W196,10,FALSE),"")</f>
        <v>238306</v>
      </c>
      <c r="Q5" s="48">
        <f t="shared" si="2"/>
        <v>0</v>
      </c>
      <c r="R5" s="43">
        <f t="shared" si="2"/>
        <v>0</v>
      </c>
      <c r="S5" s="44">
        <f>IFERROR(VLOOKUP($A5,'Parts List and Volumes'!$C$2:$W196,11,FALSE),"")</f>
        <v>0</v>
      </c>
      <c r="T5" s="45">
        <f>IFERROR(VLOOKUP($A5,'Parts List and Volumes'!$C$2:$W196,12,FALSE),"")</f>
        <v>238306</v>
      </c>
      <c r="U5" s="46">
        <f t="shared" si="3"/>
        <v>0</v>
      </c>
      <c r="V5" s="47">
        <f t="shared" si="3"/>
        <v>0</v>
      </c>
      <c r="W5" s="40">
        <f>IFERROR(VLOOKUP($A5,'Parts List and Volumes'!$C$2:$W196,13,FALSE),"")</f>
        <v>0</v>
      </c>
      <c r="X5" s="41">
        <f>IFERROR(VLOOKUP($A5,'Parts List and Volumes'!$C$2:$W196,14,FALSE),"")</f>
        <v>0</v>
      </c>
      <c r="Y5" s="48">
        <f t="shared" si="4"/>
        <v>0</v>
      </c>
      <c r="Z5" s="43">
        <f t="shared" si="4"/>
        <v>0</v>
      </c>
      <c r="AA5" s="49">
        <f>IFERROR(VLOOKUP($A5,'Parts List and Volumes'!$C$2:$W196,15,FALSE),"")</f>
        <v>0</v>
      </c>
      <c r="AB5" s="50">
        <f>IFERROR(VLOOKUP($A5,'Parts List and Volumes'!$C$2:$W196,16,FALSE),"")</f>
        <v>0</v>
      </c>
      <c r="AC5" s="51">
        <f t="shared" si="5"/>
        <v>0</v>
      </c>
      <c r="AD5" s="52">
        <f t="shared" si="5"/>
        <v>0</v>
      </c>
      <c r="AE5" s="40">
        <f>IFERROR(VLOOKUP($A5,'Parts List and Volumes'!$C$2:$W196,17,FALSE),"")</f>
        <v>0</v>
      </c>
      <c r="AF5" s="41">
        <f>IFERROR(VLOOKUP($A5,'Parts List and Volumes'!$C$2:$W196,18,FALSE),"")</f>
        <v>0</v>
      </c>
      <c r="AG5" s="48">
        <f t="shared" si="6"/>
        <v>0</v>
      </c>
      <c r="AH5" s="43">
        <f t="shared" si="6"/>
        <v>0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A3 D3:F50">
    <cfRule type="expression" dxfId="107" priority="108" stopIfTrue="1">
      <formula>#REF!="DLN"</formula>
    </cfRule>
  </conditionalFormatting>
  <conditionalFormatting sqref="F3:F7 A3 D3:E50">
    <cfRule type="expression" dxfId="106" priority="107" stopIfTrue="1">
      <formula>#REF!="DLN"</formula>
    </cfRule>
  </conditionalFormatting>
  <conditionalFormatting sqref="L3:L50">
    <cfRule type="expression" dxfId="105" priority="106" stopIfTrue="1">
      <formula>#REF!="DLN"</formula>
    </cfRule>
  </conditionalFormatting>
  <conditionalFormatting sqref="L3:L50">
    <cfRule type="expression" dxfId="104" priority="105" stopIfTrue="1">
      <formula>#REF!="DLN"</formula>
    </cfRule>
  </conditionalFormatting>
  <conditionalFormatting sqref="T3:T50">
    <cfRule type="expression" dxfId="103" priority="104" stopIfTrue="1">
      <formula>#REF!="DLN"</formula>
    </cfRule>
  </conditionalFormatting>
  <conditionalFormatting sqref="T3:T50">
    <cfRule type="expression" dxfId="102" priority="103" stopIfTrue="1">
      <formula>#REF!="DLN"</formula>
    </cfRule>
  </conditionalFormatting>
  <conditionalFormatting sqref="X3:X50">
    <cfRule type="expression" dxfId="101" priority="102" stopIfTrue="1">
      <formula>#REF!="DLN"</formula>
    </cfRule>
  </conditionalFormatting>
  <conditionalFormatting sqref="X3:X50">
    <cfRule type="expression" dxfId="100" priority="101" stopIfTrue="1">
      <formula>#REF!="DLN"</formula>
    </cfRule>
  </conditionalFormatting>
  <conditionalFormatting sqref="G2">
    <cfRule type="expression" dxfId="99" priority="100" stopIfTrue="1">
      <formula>#REF!="DLN"</formula>
    </cfRule>
  </conditionalFormatting>
  <conditionalFormatting sqref="G2">
    <cfRule type="expression" dxfId="98" priority="99" stopIfTrue="1">
      <formula>#REF!="DLN"</formula>
    </cfRule>
  </conditionalFormatting>
  <conditionalFormatting sqref="K2">
    <cfRule type="expression" dxfId="97" priority="98" stopIfTrue="1">
      <formula>#REF!="DLN"</formula>
    </cfRule>
  </conditionalFormatting>
  <conditionalFormatting sqref="K2">
    <cfRule type="expression" dxfId="96" priority="97" stopIfTrue="1">
      <formula>#REF!="DLN"</formula>
    </cfRule>
  </conditionalFormatting>
  <conditionalFormatting sqref="O2">
    <cfRule type="expression" dxfId="95" priority="96" stopIfTrue="1">
      <formula>#REF!="DLN"</formula>
    </cfRule>
  </conditionalFormatting>
  <conditionalFormatting sqref="O2">
    <cfRule type="expression" dxfId="94" priority="95" stopIfTrue="1">
      <formula>#REF!="DLN"</formula>
    </cfRule>
  </conditionalFormatting>
  <conditionalFormatting sqref="S2">
    <cfRule type="expression" dxfId="93" priority="94" stopIfTrue="1">
      <formula>#REF!="DLN"</formula>
    </cfRule>
  </conditionalFormatting>
  <conditionalFormatting sqref="S2">
    <cfRule type="expression" dxfId="92" priority="93" stopIfTrue="1">
      <formula>#REF!="DLN"</formula>
    </cfRule>
  </conditionalFormatting>
  <conditionalFormatting sqref="W2">
    <cfRule type="expression" dxfId="91" priority="92" stopIfTrue="1">
      <formula>#REF!="DLN"</formula>
    </cfRule>
  </conditionalFormatting>
  <conditionalFormatting sqref="W2">
    <cfRule type="expression" dxfId="90" priority="91" stopIfTrue="1">
      <formula>#REF!="DLN"</formula>
    </cfRule>
  </conditionalFormatting>
  <conditionalFormatting sqref="AF3:AF50">
    <cfRule type="expression" dxfId="89" priority="43" stopIfTrue="1">
      <formula>#REF!="DLN"</formula>
    </cfRule>
  </conditionalFormatting>
  <conditionalFormatting sqref="W3:W50">
    <cfRule type="expression" dxfId="88" priority="90" stopIfTrue="1">
      <formula>#REF!="DLN"</formula>
    </cfRule>
  </conditionalFormatting>
  <conditionalFormatting sqref="W3:W50">
    <cfRule type="expression" dxfId="87" priority="89" stopIfTrue="1">
      <formula>#REF!="DLN"</formula>
    </cfRule>
  </conditionalFormatting>
  <conditionalFormatting sqref="S3:S50">
    <cfRule type="expression" dxfId="86" priority="88" stopIfTrue="1">
      <formula>#REF!="DLN"</formula>
    </cfRule>
  </conditionalFormatting>
  <conditionalFormatting sqref="S3:S50">
    <cfRule type="expression" dxfId="85" priority="87" stopIfTrue="1">
      <formula>#REF!="DLN"</formula>
    </cfRule>
  </conditionalFormatting>
  <conditionalFormatting sqref="K3:K50">
    <cfRule type="expression" dxfId="84" priority="86" stopIfTrue="1">
      <formula>#REF!="DLN"</formula>
    </cfRule>
  </conditionalFormatting>
  <conditionalFormatting sqref="K3:K50">
    <cfRule type="expression" dxfId="83" priority="85" stopIfTrue="1">
      <formula>#REF!="DLN"</formula>
    </cfRule>
  </conditionalFormatting>
  <conditionalFormatting sqref="AF3:AF50">
    <cfRule type="expression" dxfId="82" priority="44" stopIfTrue="1">
      <formula>#REF!="DLN"</formula>
    </cfRule>
  </conditionalFormatting>
  <conditionalFormatting sqref="J52">
    <cfRule type="cellIs" dxfId="81" priority="81" stopIfTrue="1" operator="greaterThanOrEqual">
      <formula>0.801</formula>
    </cfRule>
    <cfRule type="cellIs" dxfId="80" priority="82" stopIfTrue="1" operator="between">
      <formula>0.61</formula>
      <formula>0.8</formula>
    </cfRule>
    <cfRule type="cellIs" dxfId="79" priority="83" stopIfTrue="1" operator="between">
      <formula>0</formula>
      <formula>0.6</formula>
    </cfRule>
  </conditionalFormatting>
  <conditionalFormatting sqref="J52">
    <cfRule type="expression" dxfId="78" priority="84" stopIfTrue="1">
      <formula>#REF!="DLN"</formula>
    </cfRule>
  </conditionalFormatting>
  <conditionalFormatting sqref="I52">
    <cfRule type="cellIs" dxfId="77" priority="77" stopIfTrue="1" operator="greaterThanOrEqual">
      <formula>0.801</formula>
    </cfRule>
    <cfRule type="cellIs" dxfId="76" priority="78" stopIfTrue="1" operator="between">
      <formula>0.61</formula>
      <formula>0.8</formula>
    </cfRule>
    <cfRule type="cellIs" dxfId="75" priority="79" stopIfTrue="1" operator="between">
      <formula>0</formula>
      <formula>0.6</formula>
    </cfRule>
  </conditionalFormatting>
  <conditionalFormatting sqref="I52">
    <cfRule type="expression" dxfId="74" priority="80" stopIfTrue="1">
      <formula>#REF!="DLN"</formula>
    </cfRule>
  </conditionalFormatting>
  <conditionalFormatting sqref="M52:N52">
    <cfRule type="cellIs" dxfId="73" priority="73" stopIfTrue="1" operator="greaterThanOrEqual">
      <formula>0.801</formula>
    </cfRule>
    <cfRule type="cellIs" dxfId="72" priority="74" stopIfTrue="1" operator="between">
      <formula>0.61</formula>
      <formula>0.8</formula>
    </cfRule>
    <cfRule type="cellIs" dxfId="71" priority="75" stopIfTrue="1" operator="between">
      <formula>0</formula>
      <formula>0.6</formula>
    </cfRule>
  </conditionalFormatting>
  <conditionalFormatting sqref="M52:N52">
    <cfRule type="expression" dxfId="70" priority="76" stopIfTrue="1">
      <formula>#REF!="DLN"</formula>
    </cfRule>
  </conditionalFormatting>
  <conditionalFormatting sqref="Q52:R52">
    <cfRule type="cellIs" dxfId="69" priority="69" stopIfTrue="1" operator="greaterThanOrEqual">
      <formula>0.801</formula>
    </cfRule>
    <cfRule type="cellIs" dxfId="68" priority="70" stopIfTrue="1" operator="between">
      <formula>0.61</formula>
      <formula>0.8</formula>
    </cfRule>
    <cfRule type="cellIs" dxfId="67" priority="71" stopIfTrue="1" operator="between">
      <formula>0</formula>
      <formula>0.6</formula>
    </cfRule>
  </conditionalFormatting>
  <conditionalFormatting sqref="Q52:R52">
    <cfRule type="expression" dxfId="66" priority="72" stopIfTrue="1">
      <formula>#REF!="DLN"</formula>
    </cfRule>
  </conditionalFormatting>
  <conditionalFormatting sqref="U52:V52">
    <cfRule type="cellIs" dxfId="65" priority="65" stopIfTrue="1" operator="greaterThanOrEqual">
      <formula>0.801</formula>
    </cfRule>
    <cfRule type="cellIs" dxfId="64" priority="66" stopIfTrue="1" operator="between">
      <formula>0.61</formula>
      <formula>0.8</formula>
    </cfRule>
    <cfRule type="cellIs" dxfId="63" priority="67" stopIfTrue="1" operator="between">
      <formula>0</formula>
      <formula>0.6</formula>
    </cfRule>
  </conditionalFormatting>
  <conditionalFormatting sqref="U52:V52">
    <cfRule type="expression" dxfId="62" priority="68" stopIfTrue="1">
      <formula>#REF!="DLN"</formula>
    </cfRule>
  </conditionalFormatting>
  <conditionalFormatting sqref="Y52:Z52">
    <cfRule type="cellIs" dxfId="61" priority="61" stopIfTrue="1" operator="greaterThanOrEqual">
      <formula>0.801</formula>
    </cfRule>
    <cfRule type="cellIs" dxfId="60" priority="62" stopIfTrue="1" operator="between">
      <formula>0.61</formula>
      <formula>0.8</formula>
    </cfRule>
    <cfRule type="cellIs" dxfId="59" priority="63" stopIfTrue="1" operator="between">
      <formula>0</formula>
      <formula>0.6</formula>
    </cfRule>
  </conditionalFormatting>
  <conditionalFormatting sqref="Y52:Z52">
    <cfRule type="expression" dxfId="58" priority="64" stopIfTrue="1">
      <formula>#REF!="DLN"</formula>
    </cfRule>
  </conditionalFormatting>
  <conditionalFormatting sqref="AC52:AD52">
    <cfRule type="cellIs" dxfId="57" priority="57" stopIfTrue="1" operator="greaterThanOrEqual">
      <formula>0.801</formula>
    </cfRule>
    <cfRule type="cellIs" dxfId="56" priority="58" stopIfTrue="1" operator="between">
      <formula>0.61</formula>
      <formula>0.8</formula>
    </cfRule>
    <cfRule type="cellIs" dxfId="55" priority="59" stopIfTrue="1" operator="between">
      <formula>0</formula>
      <formula>0.6</formula>
    </cfRule>
  </conditionalFormatting>
  <conditionalFormatting sqref="AC52:AD52">
    <cfRule type="expression" dxfId="54" priority="60" stopIfTrue="1">
      <formula>#REF!="DLN"</formula>
    </cfRule>
  </conditionalFormatting>
  <conditionalFormatting sqref="G3:G50">
    <cfRule type="expression" dxfId="53" priority="55" stopIfTrue="1">
      <formula>#REF!="DLN"</formula>
    </cfRule>
  </conditionalFormatting>
  <conditionalFormatting sqref="G3:G50">
    <cfRule type="expression" dxfId="52" priority="56" stopIfTrue="1">
      <formula>#REF!="DLN"</formula>
    </cfRule>
  </conditionalFormatting>
  <conditionalFormatting sqref="P3:P50">
    <cfRule type="expression" dxfId="51" priority="54" stopIfTrue="1">
      <formula>#REF!="DLN"</formula>
    </cfRule>
  </conditionalFormatting>
  <conditionalFormatting sqref="P3:P50">
    <cfRule type="expression" dxfId="50" priority="53" stopIfTrue="1">
      <formula>#REF!="DLN"</formula>
    </cfRule>
  </conditionalFormatting>
  <conditionalFormatting sqref="O3:O50">
    <cfRule type="expression" dxfId="49" priority="52" stopIfTrue="1">
      <formula>#REF!="DLN"</formula>
    </cfRule>
  </conditionalFormatting>
  <conditionalFormatting sqref="O3:O50">
    <cfRule type="expression" dxfId="48" priority="51" stopIfTrue="1">
      <formula>#REF!="DLN"</formula>
    </cfRule>
  </conditionalFormatting>
  <conditionalFormatting sqref="H3:H50">
    <cfRule type="expression" dxfId="47" priority="50" stopIfTrue="1">
      <formula>#REF!="DLN"</formula>
    </cfRule>
  </conditionalFormatting>
  <conditionalFormatting sqref="H3:H50">
    <cfRule type="expression" dxfId="46" priority="49" stopIfTrue="1">
      <formula>#REF!="DLN"</formula>
    </cfRule>
  </conditionalFormatting>
  <conditionalFormatting sqref="A4">
    <cfRule type="expression" dxfId="45" priority="48" stopIfTrue="1">
      <formula>#REF!="DLN"</formula>
    </cfRule>
  </conditionalFormatting>
  <conditionalFormatting sqref="A4">
    <cfRule type="expression" dxfId="44" priority="47" stopIfTrue="1">
      <formula>#REF!="DLN"</formula>
    </cfRule>
  </conditionalFormatting>
  <conditionalFormatting sqref="A8:A50">
    <cfRule type="expression" dxfId="43" priority="46" stopIfTrue="1">
      <formula>#REF!="DLN"</formula>
    </cfRule>
  </conditionalFormatting>
  <conditionalFormatting sqref="A8:A50">
    <cfRule type="expression" dxfId="42" priority="45" stopIfTrue="1">
      <formula>#REF!="DLN"</formula>
    </cfRule>
  </conditionalFormatting>
  <conditionalFormatting sqref="AE2">
    <cfRule type="expression" dxfId="41" priority="42" stopIfTrue="1">
      <formula>#REF!="DLN"</formula>
    </cfRule>
  </conditionalFormatting>
  <conditionalFormatting sqref="AE2">
    <cfRule type="expression" dxfId="40" priority="41" stopIfTrue="1">
      <formula>#REF!="DLN"</formula>
    </cfRule>
  </conditionalFormatting>
  <conditionalFormatting sqref="AE3:AE50">
    <cfRule type="expression" dxfId="39" priority="40" stopIfTrue="1">
      <formula>#REF!="DLN"</formula>
    </cfRule>
  </conditionalFormatting>
  <conditionalFormatting sqref="AE3:AE50">
    <cfRule type="expression" dxfId="38" priority="39" stopIfTrue="1">
      <formula>#REF!="DLN"</formula>
    </cfRule>
  </conditionalFormatting>
  <conditionalFormatting sqref="AG52:AH52">
    <cfRule type="cellIs" dxfId="37" priority="35" stopIfTrue="1" operator="greaterThanOrEqual">
      <formula>0.801</formula>
    </cfRule>
    <cfRule type="cellIs" dxfId="36" priority="36" stopIfTrue="1" operator="between">
      <formula>0.61</formula>
      <formula>0.8</formula>
    </cfRule>
    <cfRule type="cellIs" dxfId="35" priority="37" stopIfTrue="1" operator="between">
      <formula>0</formula>
      <formula>0.6</formula>
    </cfRule>
  </conditionalFormatting>
  <conditionalFormatting sqref="AG52:AH52">
    <cfRule type="expression" dxfId="34" priority="38" stopIfTrue="1">
      <formula>#REF!="DLN"</formula>
    </cfRule>
  </conditionalFormatting>
  <conditionalFormatting sqref="AK52:AL52">
    <cfRule type="cellIs" dxfId="33" priority="31" stopIfTrue="1" operator="greaterThanOrEqual">
      <formula>0.801</formula>
    </cfRule>
    <cfRule type="cellIs" dxfId="32" priority="32" stopIfTrue="1" operator="between">
      <formula>0.61</formula>
      <formula>0.8</formula>
    </cfRule>
    <cfRule type="cellIs" dxfId="31" priority="33" stopIfTrue="1" operator="between">
      <formula>0</formula>
      <formula>0.6</formula>
    </cfRule>
  </conditionalFormatting>
  <conditionalFormatting sqref="AK52:AL52">
    <cfRule type="expression" dxfId="30" priority="34" stopIfTrue="1">
      <formula>#REF!="DLN"</formula>
    </cfRule>
  </conditionalFormatting>
  <conditionalFormatting sqref="AN3:AN50">
    <cfRule type="expression" dxfId="29" priority="30" stopIfTrue="1">
      <formula>#REF!="DLN"</formula>
    </cfRule>
  </conditionalFormatting>
  <conditionalFormatting sqref="AN3:AN50">
    <cfRule type="expression" dxfId="28" priority="29" stopIfTrue="1">
      <formula>#REF!="DLN"</formula>
    </cfRule>
  </conditionalFormatting>
  <conditionalFormatting sqref="AM2">
    <cfRule type="expression" dxfId="27" priority="28" stopIfTrue="1">
      <formula>#REF!="DLN"</formula>
    </cfRule>
  </conditionalFormatting>
  <conditionalFormatting sqref="AM2">
    <cfRule type="expression" dxfId="26" priority="27" stopIfTrue="1">
      <formula>#REF!="DLN"</formula>
    </cfRule>
  </conditionalFormatting>
  <conditionalFormatting sqref="AM3:AM50">
    <cfRule type="expression" dxfId="25" priority="26" stopIfTrue="1">
      <formula>#REF!="DLN"</formula>
    </cfRule>
  </conditionalFormatting>
  <conditionalFormatting sqref="AM3:AM50">
    <cfRule type="expression" dxfId="24" priority="25" stopIfTrue="1">
      <formula>#REF!="DLN"</formula>
    </cfRule>
  </conditionalFormatting>
  <conditionalFormatting sqref="AO52:AP52">
    <cfRule type="cellIs" dxfId="23" priority="21" stopIfTrue="1" operator="greaterThanOrEqual">
      <formula>0.801</formula>
    </cfRule>
    <cfRule type="cellIs" dxfId="22" priority="22" stopIfTrue="1" operator="between">
      <formula>0.61</formula>
      <formula>0.8</formula>
    </cfRule>
    <cfRule type="cellIs" dxfId="21" priority="23" stopIfTrue="1" operator="between">
      <formula>0</formula>
      <formula>0.6</formula>
    </cfRule>
  </conditionalFormatting>
  <conditionalFormatting sqref="AO52:AP52">
    <cfRule type="expression" dxfId="20" priority="24" stopIfTrue="1">
      <formula>#REF!="DLN"</formula>
    </cfRule>
  </conditionalFormatting>
  <conditionalFormatting sqref="AS52:AT52">
    <cfRule type="cellIs" dxfId="19" priority="17" stopIfTrue="1" operator="greaterThanOrEqual">
      <formula>0.801</formula>
    </cfRule>
    <cfRule type="cellIs" dxfId="18" priority="18" stopIfTrue="1" operator="between">
      <formula>0.61</formula>
      <formula>0.8</formula>
    </cfRule>
    <cfRule type="cellIs" dxfId="17" priority="19" stopIfTrue="1" operator="between">
      <formula>0</formula>
      <formula>0.6</formula>
    </cfRule>
  </conditionalFormatting>
  <conditionalFormatting sqref="AS52:AT52">
    <cfRule type="expression" dxfId="16" priority="20" stopIfTrue="1">
      <formula>#REF!="DLN"</formula>
    </cfRule>
  </conditionalFormatting>
  <conditionalFormatting sqref="AV3:AV50">
    <cfRule type="expression" dxfId="15" priority="16" stopIfTrue="1">
      <formula>#REF!="DLN"</formula>
    </cfRule>
  </conditionalFormatting>
  <conditionalFormatting sqref="AV3:AV50">
    <cfRule type="expression" dxfId="14" priority="15" stopIfTrue="1">
      <formula>#REF!="DLN"</formula>
    </cfRule>
  </conditionalFormatting>
  <conditionalFormatting sqref="AU2">
    <cfRule type="expression" dxfId="13" priority="14" stopIfTrue="1">
      <formula>#REF!="DLN"</formula>
    </cfRule>
  </conditionalFormatting>
  <conditionalFormatting sqref="AU2">
    <cfRule type="expression" dxfId="12" priority="13" stopIfTrue="1">
      <formula>#REF!="DLN"</formula>
    </cfRule>
  </conditionalFormatting>
  <conditionalFormatting sqref="AU3:AU50">
    <cfRule type="expression" dxfId="11" priority="12" stopIfTrue="1">
      <formula>#REF!="DLN"</formula>
    </cfRule>
  </conditionalFormatting>
  <conditionalFormatting sqref="AU3:AU50">
    <cfRule type="expression" dxfId="10" priority="11" stopIfTrue="1">
      <formula>#REF!="DLN"</formula>
    </cfRule>
  </conditionalFormatting>
  <conditionalFormatting sqref="AW52:AX52">
    <cfRule type="cellIs" dxfId="9" priority="7" stopIfTrue="1" operator="greaterThanOrEqual">
      <formula>0.801</formula>
    </cfRule>
    <cfRule type="cellIs" dxfId="8" priority="8" stopIfTrue="1" operator="between">
      <formula>0.61</formula>
      <formula>0.8</formula>
    </cfRule>
    <cfRule type="cellIs" dxfId="7" priority="9" stopIfTrue="1" operator="between">
      <formula>0</formula>
      <formula>0.6</formula>
    </cfRule>
  </conditionalFormatting>
  <conditionalFormatting sqref="AW52:AX52">
    <cfRule type="expression" dxfId="6" priority="10" stopIfTrue="1">
      <formula>#REF!="DLN"</formula>
    </cfRule>
  </conditionalFormatting>
  <conditionalFormatting sqref="A5">
    <cfRule type="expression" dxfId="5" priority="6" stopIfTrue="1">
      <formula>#REF!="DLN"</formula>
    </cfRule>
  </conditionalFormatting>
  <conditionalFormatting sqref="A5">
    <cfRule type="expression" dxfId="4" priority="5" stopIfTrue="1">
      <formula>#REF!="DLN"</formula>
    </cfRule>
  </conditionalFormatting>
  <conditionalFormatting sqref="A6">
    <cfRule type="expression" dxfId="3" priority="4" stopIfTrue="1">
      <formula>#REF!="DLN"</formula>
    </cfRule>
  </conditionalFormatting>
  <conditionalFormatting sqref="A6">
    <cfRule type="expression" dxfId="2" priority="3" stopIfTrue="1">
      <formula>#REF!="DLN"</formula>
    </cfRule>
  </conditionalFormatting>
  <conditionalFormatting sqref="A7">
    <cfRule type="expression" dxfId="1" priority="2" stopIfTrue="1">
      <formula>#REF!="DLN"</formula>
    </cfRule>
  </conditionalFormatting>
  <conditionalFormatting sqref="A7">
    <cfRule type="expression" dxfId="0" priority="1" stopIfTrue="1">
      <formula>#REF!="DLN"</formula>
    </cfRule>
  </conditionalFormatting>
  <dataValidations count="1">
    <dataValidation type="list" allowBlank="1" showInputMessage="1" showErrorMessage="1" sqref="A3:A50" xr:uid="{80703AC7-302C-40F6-A8C2-94602839CFF1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C9F633-9A9E-4076-91FF-37D52E11C7F3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A3CD-0612-47C6-A436-AC1018BF3D51}">
  <sheetPr codeName="Sheet15"/>
  <dimension ref="A1:AX62"/>
  <sheetViews>
    <sheetView workbookViewId="0">
      <selection activeCell="F3" sqref="F3:F4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1" t="s">
        <v>294</v>
      </c>
      <c r="B3" s="21" t="s">
        <v>432</v>
      </c>
      <c r="C3" s="20" t="str">
        <f>IFERROR(VLOOKUP(A3,'Parts List and Volumes'!C2:D194,2,FALSE),"")</f>
        <v>NFAA0212AAF20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24220</v>
      </c>
      <c r="H3" s="41">
        <f>IFERROR(VLOOKUP($A3,'Parts List and Volumes'!$C$2:$W194,6,FALSE),"")</f>
        <v>22357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22357</v>
      </c>
      <c r="L3" s="45">
        <f>IFERROR(VLOOKUP($A3,'Parts List and Volumes'!$C$2:$W194,8,FALSE),"")</f>
        <v>22357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24773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24773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0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1" t="s">
        <v>308</v>
      </c>
      <c r="B4" s="21" t="s">
        <v>432</v>
      </c>
      <c r="C4" s="20" t="str">
        <f>IFERROR(VLOOKUP(A4,'Parts List and Volumes'!C3:D195,2,FALSE),"")</f>
        <v>NFAA0281AAF20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26"/>
      <c r="G4" s="40">
        <f>IFERROR(VLOOKUP($A4,'Parts List and Volumes'!$C$2:$W195,5,FALSE),"")</f>
        <v>217905</v>
      </c>
      <c r="H4" s="41">
        <f>IFERROR(VLOOKUP($A4,'Parts List and Volumes'!$C$2:$W195,6,FALSE),"")</f>
        <v>214392</v>
      </c>
      <c r="I4" s="42">
        <f t="shared" si="0"/>
        <v>0</v>
      </c>
      <c r="J4" s="43">
        <f t="shared" si="0"/>
        <v>0</v>
      </c>
      <c r="K4" s="44">
        <f>IFERROR(VLOOKUP($A4,'Parts List and Volumes'!$C$2:$W195,7,FALSE),"")</f>
        <v>214392</v>
      </c>
      <c r="L4" s="45">
        <f>IFERROR(VLOOKUP($A4,'Parts List and Volumes'!$C$2:$W195,8,FALSE),"")</f>
        <v>214392</v>
      </c>
      <c r="M4" s="46">
        <f t="shared" si="1"/>
        <v>0</v>
      </c>
      <c r="N4" s="47">
        <f t="shared" si="1"/>
        <v>0</v>
      </c>
      <c r="O4" s="41">
        <f>IFERROR(VLOOKUP($A4,'Parts List and Volumes'!$C$2:$W195,9,FALSE),"")</f>
        <v>0</v>
      </c>
      <c r="P4" s="41">
        <f>IFERROR(VLOOKUP($A4,'Parts List and Volumes'!$C$2:$W195,10,FALSE),"")</f>
        <v>238306</v>
      </c>
      <c r="Q4" s="48">
        <f t="shared" si="2"/>
        <v>0</v>
      </c>
      <c r="R4" s="43">
        <f t="shared" si="2"/>
        <v>0</v>
      </c>
      <c r="S4" s="44">
        <f>IFERROR(VLOOKUP($A4,'Parts List and Volumes'!$C$2:$W195,11,FALSE),"")</f>
        <v>0</v>
      </c>
      <c r="T4" s="45">
        <f>IFERROR(VLOOKUP($A4,'Parts List and Volumes'!$C$2:$W195,12,FALSE),"")</f>
        <v>238306</v>
      </c>
      <c r="U4" s="46">
        <f t="shared" si="3"/>
        <v>0</v>
      </c>
      <c r="V4" s="47">
        <f t="shared" si="3"/>
        <v>0</v>
      </c>
      <c r="W4" s="40">
        <f>IFERROR(VLOOKUP($A4,'Parts List and Volumes'!$C$2:$W195,13,FALSE),"")</f>
        <v>0</v>
      </c>
      <c r="X4" s="41">
        <f>IFERROR(VLOOKUP($A4,'Parts List and Volumes'!$C$2:$W195,14,FALSE),"")</f>
        <v>0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0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1"/>
        <v/>
      </c>
      <c r="N5" s="47" t="str">
        <f t="shared" si="1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2"/>
        <v/>
      </c>
      <c r="R5" s="43" t="str">
        <f t="shared" si="2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3"/>
        <v/>
      </c>
      <c r="V5" s="47" t="str">
        <f t="shared" si="3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4"/>
        <v/>
      </c>
      <c r="Z5" s="43" t="str">
        <f t="shared" si="4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5"/>
        <v/>
      </c>
      <c r="AD5" s="52" t="str">
        <f t="shared" si="5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6"/>
        <v/>
      </c>
      <c r="AH5" s="43" t="str">
        <f t="shared" si="6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7"/>
        <v/>
      </c>
      <c r="AL5" s="52" t="str">
        <f t="shared" si="7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8"/>
        <v/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A3 D3:F50">
    <cfRule type="expression" dxfId="1093" priority="108" stopIfTrue="1">
      <formula>#REF!="DLN"</formula>
    </cfRule>
  </conditionalFormatting>
  <conditionalFormatting sqref="F3:F7 A3 D3:E50">
    <cfRule type="expression" dxfId="1092" priority="107" stopIfTrue="1">
      <formula>#REF!="DLN"</formula>
    </cfRule>
  </conditionalFormatting>
  <conditionalFormatting sqref="L3:L50">
    <cfRule type="expression" dxfId="1091" priority="106" stopIfTrue="1">
      <formula>#REF!="DLN"</formula>
    </cfRule>
  </conditionalFormatting>
  <conditionalFormatting sqref="L3:L50">
    <cfRule type="expression" dxfId="1090" priority="105" stopIfTrue="1">
      <formula>#REF!="DLN"</formula>
    </cfRule>
  </conditionalFormatting>
  <conditionalFormatting sqref="T3:T50">
    <cfRule type="expression" dxfId="1089" priority="104" stopIfTrue="1">
      <formula>#REF!="DLN"</formula>
    </cfRule>
  </conditionalFormatting>
  <conditionalFormatting sqref="T3:T50">
    <cfRule type="expression" dxfId="1088" priority="103" stopIfTrue="1">
      <formula>#REF!="DLN"</formula>
    </cfRule>
  </conditionalFormatting>
  <conditionalFormatting sqref="X3:X50">
    <cfRule type="expression" dxfId="1087" priority="102" stopIfTrue="1">
      <formula>#REF!="DLN"</formula>
    </cfRule>
  </conditionalFormatting>
  <conditionalFormatting sqref="X3:X50">
    <cfRule type="expression" dxfId="1086" priority="101" stopIfTrue="1">
      <formula>#REF!="DLN"</formula>
    </cfRule>
  </conditionalFormatting>
  <conditionalFormatting sqref="G2">
    <cfRule type="expression" dxfId="1085" priority="100" stopIfTrue="1">
      <formula>#REF!="DLN"</formula>
    </cfRule>
  </conditionalFormatting>
  <conditionalFormatting sqref="G2">
    <cfRule type="expression" dxfId="1084" priority="99" stopIfTrue="1">
      <formula>#REF!="DLN"</formula>
    </cfRule>
  </conditionalFormatting>
  <conditionalFormatting sqref="K2">
    <cfRule type="expression" dxfId="1083" priority="98" stopIfTrue="1">
      <formula>#REF!="DLN"</formula>
    </cfRule>
  </conditionalFormatting>
  <conditionalFormatting sqref="K2">
    <cfRule type="expression" dxfId="1082" priority="97" stopIfTrue="1">
      <formula>#REF!="DLN"</formula>
    </cfRule>
  </conditionalFormatting>
  <conditionalFormatting sqref="O2">
    <cfRule type="expression" dxfId="1081" priority="96" stopIfTrue="1">
      <formula>#REF!="DLN"</formula>
    </cfRule>
  </conditionalFormatting>
  <conditionalFormatting sqref="O2">
    <cfRule type="expression" dxfId="1080" priority="95" stopIfTrue="1">
      <formula>#REF!="DLN"</formula>
    </cfRule>
  </conditionalFormatting>
  <conditionalFormatting sqref="S2">
    <cfRule type="expression" dxfId="1079" priority="94" stopIfTrue="1">
      <formula>#REF!="DLN"</formula>
    </cfRule>
  </conditionalFormatting>
  <conditionalFormatting sqref="S2">
    <cfRule type="expression" dxfId="1078" priority="93" stopIfTrue="1">
      <formula>#REF!="DLN"</formula>
    </cfRule>
  </conditionalFormatting>
  <conditionalFormatting sqref="W2">
    <cfRule type="expression" dxfId="1077" priority="92" stopIfTrue="1">
      <formula>#REF!="DLN"</formula>
    </cfRule>
  </conditionalFormatting>
  <conditionalFormatting sqref="W2">
    <cfRule type="expression" dxfId="1076" priority="91" stopIfTrue="1">
      <formula>#REF!="DLN"</formula>
    </cfRule>
  </conditionalFormatting>
  <conditionalFormatting sqref="AF3:AF50">
    <cfRule type="expression" dxfId="1075" priority="43" stopIfTrue="1">
      <formula>#REF!="DLN"</formula>
    </cfRule>
  </conditionalFormatting>
  <conditionalFormatting sqref="W3:W50">
    <cfRule type="expression" dxfId="1074" priority="90" stopIfTrue="1">
      <formula>#REF!="DLN"</formula>
    </cfRule>
  </conditionalFormatting>
  <conditionalFormatting sqref="W3:W50">
    <cfRule type="expression" dxfId="1073" priority="89" stopIfTrue="1">
      <formula>#REF!="DLN"</formula>
    </cfRule>
  </conditionalFormatting>
  <conditionalFormatting sqref="S3:S50">
    <cfRule type="expression" dxfId="1072" priority="88" stopIfTrue="1">
      <formula>#REF!="DLN"</formula>
    </cfRule>
  </conditionalFormatting>
  <conditionalFormatting sqref="S3:S50">
    <cfRule type="expression" dxfId="1071" priority="87" stopIfTrue="1">
      <formula>#REF!="DLN"</formula>
    </cfRule>
  </conditionalFormatting>
  <conditionalFormatting sqref="K3:K50">
    <cfRule type="expression" dxfId="1070" priority="86" stopIfTrue="1">
      <formula>#REF!="DLN"</formula>
    </cfRule>
  </conditionalFormatting>
  <conditionalFormatting sqref="K3:K50">
    <cfRule type="expression" dxfId="1069" priority="85" stopIfTrue="1">
      <formula>#REF!="DLN"</formula>
    </cfRule>
  </conditionalFormatting>
  <conditionalFormatting sqref="AF3:AF50">
    <cfRule type="expression" dxfId="1068" priority="44" stopIfTrue="1">
      <formula>#REF!="DLN"</formula>
    </cfRule>
  </conditionalFormatting>
  <conditionalFormatting sqref="J52">
    <cfRule type="cellIs" dxfId="1067" priority="81" stopIfTrue="1" operator="greaterThanOrEqual">
      <formula>0.801</formula>
    </cfRule>
    <cfRule type="cellIs" dxfId="1066" priority="82" stopIfTrue="1" operator="between">
      <formula>0.61</formula>
      <formula>0.8</formula>
    </cfRule>
    <cfRule type="cellIs" dxfId="1065" priority="83" stopIfTrue="1" operator="between">
      <formula>0</formula>
      <formula>0.6</formula>
    </cfRule>
  </conditionalFormatting>
  <conditionalFormatting sqref="J52">
    <cfRule type="expression" dxfId="1064" priority="84" stopIfTrue="1">
      <formula>#REF!="DLN"</formula>
    </cfRule>
  </conditionalFormatting>
  <conditionalFormatting sqref="I52">
    <cfRule type="cellIs" dxfId="1063" priority="77" stopIfTrue="1" operator="greaterThanOrEqual">
      <formula>0.801</formula>
    </cfRule>
    <cfRule type="cellIs" dxfId="1062" priority="78" stopIfTrue="1" operator="between">
      <formula>0.61</formula>
      <formula>0.8</formula>
    </cfRule>
    <cfRule type="cellIs" dxfId="1061" priority="79" stopIfTrue="1" operator="between">
      <formula>0</formula>
      <formula>0.6</formula>
    </cfRule>
  </conditionalFormatting>
  <conditionalFormatting sqref="I52">
    <cfRule type="expression" dxfId="1060" priority="80" stopIfTrue="1">
      <formula>#REF!="DLN"</formula>
    </cfRule>
  </conditionalFormatting>
  <conditionalFormatting sqref="M52:N52">
    <cfRule type="cellIs" dxfId="1059" priority="73" stopIfTrue="1" operator="greaterThanOrEqual">
      <formula>0.801</formula>
    </cfRule>
    <cfRule type="cellIs" dxfId="1058" priority="74" stopIfTrue="1" operator="between">
      <formula>0.61</formula>
      <formula>0.8</formula>
    </cfRule>
    <cfRule type="cellIs" dxfId="1057" priority="75" stopIfTrue="1" operator="between">
      <formula>0</formula>
      <formula>0.6</formula>
    </cfRule>
  </conditionalFormatting>
  <conditionalFormatting sqref="M52:N52">
    <cfRule type="expression" dxfId="1056" priority="76" stopIfTrue="1">
      <formula>#REF!="DLN"</formula>
    </cfRule>
  </conditionalFormatting>
  <conditionalFormatting sqref="Q52:R52">
    <cfRule type="cellIs" dxfId="1055" priority="69" stopIfTrue="1" operator="greaterThanOrEqual">
      <formula>0.801</formula>
    </cfRule>
    <cfRule type="cellIs" dxfId="1054" priority="70" stopIfTrue="1" operator="between">
      <formula>0.61</formula>
      <formula>0.8</formula>
    </cfRule>
    <cfRule type="cellIs" dxfId="1053" priority="71" stopIfTrue="1" operator="between">
      <formula>0</formula>
      <formula>0.6</formula>
    </cfRule>
  </conditionalFormatting>
  <conditionalFormatting sqref="Q52:R52">
    <cfRule type="expression" dxfId="1052" priority="72" stopIfTrue="1">
      <formula>#REF!="DLN"</formula>
    </cfRule>
  </conditionalFormatting>
  <conditionalFormatting sqref="U52:V52">
    <cfRule type="cellIs" dxfId="1051" priority="65" stopIfTrue="1" operator="greaterThanOrEqual">
      <formula>0.801</formula>
    </cfRule>
    <cfRule type="cellIs" dxfId="1050" priority="66" stopIfTrue="1" operator="between">
      <formula>0.61</formula>
      <formula>0.8</formula>
    </cfRule>
    <cfRule type="cellIs" dxfId="1049" priority="67" stopIfTrue="1" operator="between">
      <formula>0</formula>
      <formula>0.6</formula>
    </cfRule>
  </conditionalFormatting>
  <conditionalFormatting sqref="U52:V52">
    <cfRule type="expression" dxfId="1048" priority="68" stopIfTrue="1">
      <formula>#REF!="DLN"</formula>
    </cfRule>
  </conditionalFormatting>
  <conditionalFormatting sqref="Y52:Z52">
    <cfRule type="cellIs" dxfId="1047" priority="61" stopIfTrue="1" operator="greaterThanOrEqual">
      <formula>0.801</formula>
    </cfRule>
    <cfRule type="cellIs" dxfId="1046" priority="62" stopIfTrue="1" operator="between">
      <formula>0.61</formula>
      <formula>0.8</formula>
    </cfRule>
    <cfRule type="cellIs" dxfId="1045" priority="63" stopIfTrue="1" operator="between">
      <formula>0</formula>
      <formula>0.6</formula>
    </cfRule>
  </conditionalFormatting>
  <conditionalFormatting sqref="Y52:Z52">
    <cfRule type="expression" dxfId="1044" priority="64" stopIfTrue="1">
      <formula>#REF!="DLN"</formula>
    </cfRule>
  </conditionalFormatting>
  <conditionalFormatting sqref="AC52:AD52">
    <cfRule type="cellIs" dxfId="1043" priority="57" stopIfTrue="1" operator="greaterThanOrEqual">
      <formula>0.801</formula>
    </cfRule>
    <cfRule type="cellIs" dxfId="1042" priority="58" stopIfTrue="1" operator="between">
      <formula>0.61</formula>
      <formula>0.8</formula>
    </cfRule>
    <cfRule type="cellIs" dxfId="1041" priority="59" stopIfTrue="1" operator="between">
      <formula>0</formula>
      <formula>0.6</formula>
    </cfRule>
  </conditionalFormatting>
  <conditionalFormatting sqref="AC52:AD52">
    <cfRule type="expression" dxfId="1040" priority="60" stopIfTrue="1">
      <formula>#REF!="DLN"</formula>
    </cfRule>
  </conditionalFormatting>
  <conditionalFormatting sqref="G3:G50">
    <cfRule type="expression" dxfId="1039" priority="55" stopIfTrue="1">
      <formula>#REF!="DLN"</formula>
    </cfRule>
  </conditionalFormatting>
  <conditionalFormatting sqref="G3:G50">
    <cfRule type="expression" dxfId="1038" priority="56" stopIfTrue="1">
      <formula>#REF!="DLN"</formula>
    </cfRule>
  </conditionalFormatting>
  <conditionalFormatting sqref="P3:P50">
    <cfRule type="expression" dxfId="1037" priority="54" stopIfTrue="1">
      <formula>#REF!="DLN"</formula>
    </cfRule>
  </conditionalFormatting>
  <conditionalFormatting sqref="P3:P50">
    <cfRule type="expression" dxfId="1036" priority="53" stopIfTrue="1">
      <formula>#REF!="DLN"</formula>
    </cfRule>
  </conditionalFormatting>
  <conditionalFormatting sqref="O3:O50">
    <cfRule type="expression" dxfId="1035" priority="52" stopIfTrue="1">
      <formula>#REF!="DLN"</formula>
    </cfRule>
  </conditionalFormatting>
  <conditionalFormatting sqref="O3:O50">
    <cfRule type="expression" dxfId="1034" priority="51" stopIfTrue="1">
      <formula>#REF!="DLN"</formula>
    </cfRule>
  </conditionalFormatting>
  <conditionalFormatting sqref="H3:H50">
    <cfRule type="expression" dxfId="1033" priority="50" stopIfTrue="1">
      <formula>#REF!="DLN"</formula>
    </cfRule>
  </conditionalFormatting>
  <conditionalFormatting sqref="H3:H50">
    <cfRule type="expression" dxfId="1032" priority="49" stopIfTrue="1">
      <formula>#REF!="DLN"</formula>
    </cfRule>
  </conditionalFormatting>
  <conditionalFormatting sqref="A4">
    <cfRule type="expression" dxfId="1031" priority="48" stopIfTrue="1">
      <formula>#REF!="DLN"</formula>
    </cfRule>
  </conditionalFormatting>
  <conditionalFormatting sqref="A4">
    <cfRule type="expression" dxfId="1030" priority="47" stopIfTrue="1">
      <formula>#REF!="DLN"</formula>
    </cfRule>
  </conditionalFormatting>
  <conditionalFormatting sqref="A8:A50">
    <cfRule type="expression" dxfId="1029" priority="46" stopIfTrue="1">
      <formula>#REF!="DLN"</formula>
    </cfRule>
  </conditionalFormatting>
  <conditionalFormatting sqref="A8:A50">
    <cfRule type="expression" dxfId="1028" priority="45" stopIfTrue="1">
      <formula>#REF!="DLN"</formula>
    </cfRule>
  </conditionalFormatting>
  <conditionalFormatting sqref="AE2">
    <cfRule type="expression" dxfId="1027" priority="42" stopIfTrue="1">
      <formula>#REF!="DLN"</formula>
    </cfRule>
  </conditionalFormatting>
  <conditionalFormatting sqref="AE2">
    <cfRule type="expression" dxfId="1026" priority="41" stopIfTrue="1">
      <formula>#REF!="DLN"</formula>
    </cfRule>
  </conditionalFormatting>
  <conditionalFormatting sqref="AE3:AE50">
    <cfRule type="expression" dxfId="1025" priority="40" stopIfTrue="1">
      <formula>#REF!="DLN"</formula>
    </cfRule>
  </conditionalFormatting>
  <conditionalFormatting sqref="AE3:AE50">
    <cfRule type="expression" dxfId="1024" priority="39" stopIfTrue="1">
      <formula>#REF!="DLN"</formula>
    </cfRule>
  </conditionalFormatting>
  <conditionalFormatting sqref="AG52:AH52">
    <cfRule type="cellIs" dxfId="1023" priority="35" stopIfTrue="1" operator="greaterThanOrEqual">
      <formula>0.801</formula>
    </cfRule>
    <cfRule type="cellIs" dxfId="1022" priority="36" stopIfTrue="1" operator="between">
      <formula>0.61</formula>
      <formula>0.8</formula>
    </cfRule>
    <cfRule type="cellIs" dxfId="1021" priority="37" stopIfTrue="1" operator="between">
      <formula>0</formula>
      <formula>0.6</formula>
    </cfRule>
  </conditionalFormatting>
  <conditionalFormatting sqref="AG52:AH52">
    <cfRule type="expression" dxfId="1020" priority="38" stopIfTrue="1">
      <formula>#REF!="DLN"</formula>
    </cfRule>
  </conditionalFormatting>
  <conditionalFormatting sqref="AK52:AL52">
    <cfRule type="cellIs" dxfId="1019" priority="31" stopIfTrue="1" operator="greaterThanOrEqual">
      <formula>0.801</formula>
    </cfRule>
    <cfRule type="cellIs" dxfId="1018" priority="32" stopIfTrue="1" operator="between">
      <formula>0.61</formula>
      <formula>0.8</formula>
    </cfRule>
    <cfRule type="cellIs" dxfId="1017" priority="33" stopIfTrue="1" operator="between">
      <formula>0</formula>
      <formula>0.6</formula>
    </cfRule>
  </conditionalFormatting>
  <conditionalFormatting sqref="AK52:AL52">
    <cfRule type="expression" dxfId="1016" priority="34" stopIfTrue="1">
      <formula>#REF!="DLN"</formula>
    </cfRule>
  </conditionalFormatting>
  <conditionalFormatting sqref="AN3:AN50">
    <cfRule type="expression" dxfId="1015" priority="30" stopIfTrue="1">
      <formula>#REF!="DLN"</formula>
    </cfRule>
  </conditionalFormatting>
  <conditionalFormatting sqref="AN3:AN50">
    <cfRule type="expression" dxfId="1014" priority="29" stopIfTrue="1">
      <formula>#REF!="DLN"</formula>
    </cfRule>
  </conditionalFormatting>
  <conditionalFormatting sqref="AM2">
    <cfRule type="expression" dxfId="1013" priority="28" stopIfTrue="1">
      <formula>#REF!="DLN"</formula>
    </cfRule>
  </conditionalFormatting>
  <conditionalFormatting sqref="AM2">
    <cfRule type="expression" dxfId="1012" priority="27" stopIfTrue="1">
      <formula>#REF!="DLN"</formula>
    </cfRule>
  </conditionalFormatting>
  <conditionalFormatting sqref="AM3:AM50">
    <cfRule type="expression" dxfId="1011" priority="26" stopIfTrue="1">
      <formula>#REF!="DLN"</formula>
    </cfRule>
  </conditionalFormatting>
  <conditionalFormatting sqref="AM3:AM50">
    <cfRule type="expression" dxfId="1010" priority="25" stopIfTrue="1">
      <formula>#REF!="DLN"</formula>
    </cfRule>
  </conditionalFormatting>
  <conditionalFormatting sqref="AO52:AP52">
    <cfRule type="cellIs" dxfId="1009" priority="21" stopIfTrue="1" operator="greaterThanOrEqual">
      <formula>0.801</formula>
    </cfRule>
    <cfRule type="cellIs" dxfId="1008" priority="22" stopIfTrue="1" operator="between">
      <formula>0.61</formula>
      <formula>0.8</formula>
    </cfRule>
    <cfRule type="cellIs" dxfId="1007" priority="23" stopIfTrue="1" operator="between">
      <formula>0</formula>
      <formula>0.6</formula>
    </cfRule>
  </conditionalFormatting>
  <conditionalFormatting sqref="AO52:AP52">
    <cfRule type="expression" dxfId="1006" priority="24" stopIfTrue="1">
      <formula>#REF!="DLN"</formula>
    </cfRule>
  </conditionalFormatting>
  <conditionalFormatting sqref="AS52:AT52">
    <cfRule type="cellIs" dxfId="1005" priority="17" stopIfTrue="1" operator="greaterThanOrEqual">
      <formula>0.801</formula>
    </cfRule>
    <cfRule type="cellIs" dxfId="1004" priority="18" stopIfTrue="1" operator="between">
      <formula>0.61</formula>
      <formula>0.8</formula>
    </cfRule>
    <cfRule type="cellIs" dxfId="1003" priority="19" stopIfTrue="1" operator="between">
      <formula>0</formula>
      <formula>0.6</formula>
    </cfRule>
  </conditionalFormatting>
  <conditionalFormatting sqref="AS52:AT52">
    <cfRule type="expression" dxfId="1002" priority="20" stopIfTrue="1">
      <formula>#REF!="DLN"</formula>
    </cfRule>
  </conditionalFormatting>
  <conditionalFormatting sqref="AV3:AV50">
    <cfRule type="expression" dxfId="1001" priority="16" stopIfTrue="1">
      <formula>#REF!="DLN"</formula>
    </cfRule>
  </conditionalFormatting>
  <conditionalFormatting sqref="AV3:AV50">
    <cfRule type="expression" dxfId="1000" priority="15" stopIfTrue="1">
      <formula>#REF!="DLN"</formula>
    </cfRule>
  </conditionalFormatting>
  <conditionalFormatting sqref="AU2">
    <cfRule type="expression" dxfId="999" priority="14" stopIfTrue="1">
      <formula>#REF!="DLN"</formula>
    </cfRule>
  </conditionalFormatting>
  <conditionalFormatting sqref="AU2">
    <cfRule type="expression" dxfId="998" priority="13" stopIfTrue="1">
      <formula>#REF!="DLN"</formula>
    </cfRule>
  </conditionalFormatting>
  <conditionalFormatting sqref="AU3:AU50">
    <cfRule type="expression" dxfId="997" priority="12" stopIfTrue="1">
      <formula>#REF!="DLN"</formula>
    </cfRule>
  </conditionalFormatting>
  <conditionalFormatting sqref="AU3:AU50">
    <cfRule type="expression" dxfId="996" priority="11" stopIfTrue="1">
      <formula>#REF!="DLN"</formula>
    </cfRule>
  </conditionalFormatting>
  <conditionalFormatting sqref="AW52:AX52">
    <cfRule type="cellIs" dxfId="995" priority="7" stopIfTrue="1" operator="greaterThanOrEqual">
      <formula>0.801</formula>
    </cfRule>
    <cfRule type="cellIs" dxfId="994" priority="8" stopIfTrue="1" operator="between">
      <formula>0.61</formula>
      <formula>0.8</formula>
    </cfRule>
    <cfRule type="cellIs" dxfId="993" priority="9" stopIfTrue="1" operator="between">
      <formula>0</formula>
      <formula>0.6</formula>
    </cfRule>
  </conditionalFormatting>
  <conditionalFormatting sqref="AW52:AX52">
    <cfRule type="expression" dxfId="992" priority="10" stopIfTrue="1">
      <formula>#REF!="DLN"</formula>
    </cfRule>
  </conditionalFormatting>
  <conditionalFormatting sqref="A5">
    <cfRule type="expression" dxfId="991" priority="6" stopIfTrue="1">
      <formula>#REF!="DLN"</formula>
    </cfRule>
  </conditionalFormatting>
  <conditionalFormatting sqref="A5">
    <cfRule type="expression" dxfId="990" priority="5" stopIfTrue="1">
      <formula>#REF!="DLN"</formula>
    </cfRule>
  </conditionalFormatting>
  <conditionalFormatting sqref="A6">
    <cfRule type="expression" dxfId="989" priority="4" stopIfTrue="1">
      <formula>#REF!="DLN"</formula>
    </cfRule>
  </conditionalFormatting>
  <conditionalFormatting sqref="A6">
    <cfRule type="expression" dxfId="988" priority="3" stopIfTrue="1">
      <formula>#REF!="DLN"</formula>
    </cfRule>
  </conditionalFormatting>
  <conditionalFormatting sqref="A7">
    <cfRule type="expression" dxfId="987" priority="2" stopIfTrue="1">
      <formula>#REF!="DLN"</formula>
    </cfRule>
  </conditionalFormatting>
  <conditionalFormatting sqref="A7">
    <cfRule type="expression" dxfId="986" priority="1" stopIfTrue="1">
      <formula>#REF!="DLN"</formula>
    </cfRule>
  </conditionalFormatting>
  <dataValidations count="1">
    <dataValidation type="list" allowBlank="1" showInputMessage="1" showErrorMessage="1" sqref="A3:A50" xr:uid="{653B8A8E-44AC-4746-BFAF-4CFDB02B801F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F364C5-8D6C-45BD-9CF4-5327C5B81487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E6F5-8FC4-4624-95F3-E5B72A27D221}">
  <sheetPr codeName="Sheet16"/>
  <dimension ref="A1:AX62"/>
  <sheetViews>
    <sheetView workbookViewId="0">
      <selection activeCell="D7" sqref="D7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1" t="s">
        <v>294</v>
      </c>
      <c r="B3" s="21" t="s">
        <v>432</v>
      </c>
      <c r="C3" s="20" t="str">
        <f>IFERROR(VLOOKUP(A3,'Parts List and Volumes'!C2:D194,2,FALSE),"")</f>
        <v>NFAA0212AAF20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24220</v>
      </c>
      <c r="H3" s="41">
        <f>IFERROR(VLOOKUP($A3,'Parts List and Volumes'!$C$2:$W194,6,FALSE),"")</f>
        <v>22357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22357</v>
      </c>
      <c r="L3" s="45">
        <f>IFERROR(VLOOKUP($A3,'Parts List and Volumes'!$C$2:$W194,8,FALSE),"")</f>
        <v>22357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24773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24773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0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1" t="s">
        <v>308</v>
      </c>
      <c r="B4" s="21" t="s">
        <v>432</v>
      </c>
      <c r="C4" s="20" t="str">
        <f>IFERROR(VLOOKUP(A4,'Parts List and Volumes'!C3:D195,2,FALSE),"")</f>
        <v>NFAA0281AAF20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26"/>
      <c r="G4" s="40">
        <f>IFERROR(VLOOKUP($A4,'Parts List and Volumes'!$C$2:$W195,5,FALSE),"")</f>
        <v>217905</v>
      </c>
      <c r="H4" s="41">
        <f>IFERROR(VLOOKUP($A4,'Parts List and Volumes'!$C$2:$W195,6,FALSE),"")</f>
        <v>214392</v>
      </c>
      <c r="I4" s="42">
        <f t="shared" si="0"/>
        <v>0</v>
      </c>
      <c r="J4" s="43">
        <f t="shared" si="0"/>
        <v>0</v>
      </c>
      <c r="K4" s="44">
        <f>IFERROR(VLOOKUP($A4,'Parts List and Volumes'!$C$2:$W195,7,FALSE),"")</f>
        <v>214392</v>
      </c>
      <c r="L4" s="45">
        <f>IFERROR(VLOOKUP($A4,'Parts List and Volumes'!$C$2:$W195,8,FALSE),"")</f>
        <v>214392</v>
      </c>
      <c r="M4" s="46">
        <f t="shared" si="1"/>
        <v>0</v>
      </c>
      <c r="N4" s="47">
        <f t="shared" si="1"/>
        <v>0</v>
      </c>
      <c r="O4" s="41">
        <f>IFERROR(VLOOKUP($A4,'Parts List and Volumes'!$C$2:$W195,9,FALSE),"")</f>
        <v>0</v>
      </c>
      <c r="P4" s="41">
        <f>IFERROR(VLOOKUP($A4,'Parts List and Volumes'!$C$2:$W195,10,FALSE),"")</f>
        <v>238306</v>
      </c>
      <c r="Q4" s="48">
        <f t="shared" si="2"/>
        <v>0</v>
      </c>
      <c r="R4" s="43">
        <f t="shared" si="2"/>
        <v>0</v>
      </c>
      <c r="S4" s="44">
        <f>IFERROR(VLOOKUP($A4,'Parts List and Volumes'!$C$2:$W195,11,FALSE),"")</f>
        <v>0</v>
      </c>
      <c r="T4" s="45">
        <f>IFERROR(VLOOKUP($A4,'Parts List and Volumes'!$C$2:$W195,12,FALSE),"")</f>
        <v>238306</v>
      </c>
      <c r="U4" s="46">
        <f t="shared" si="3"/>
        <v>0</v>
      </c>
      <c r="V4" s="47">
        <f t="shared" si="3"/>
        <v>0</v>
      </c>
      <c r="W4" s="40">
        <f>IFERROR(VLOOKUP($A4,'Parts List and Volumes'!$C$2:$W195,13,FALSE),"")</f>
        <v>0</v>
      </c>
      <c r="X4" s="41">
        <f>IFERROR(VLOOKUP($A4,'Parts List and Volumes'!$C$2:$W195,14,FALSE),"")</f>
        <v>0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1" t="s">
        <v>269</v>
      </c>
      <c r="B5" s="24" t="s">
        <v>431</v>
      </c>
      <c r="C5" s="20" t="str">
        <f>IFERROR(VLOOKUP(A5,'Parts List and Volumes'!C4:D196,2,FALSE),"")</f>
        <v>NFAA0189ACF20</v>
      </c>
      <c r="D5" s="39">
        <f>IFERROR(IF(VLOOKUP($A5,'Parts List and Volumes'!$C4:$F266,3,FALSE)=0,"",VLOOKUP(A5,'Parts List and Volumes'!C4:F266,3,FALSE)),"")</f>
        <v>4.76</v>
      </c>
      <c r="E5" s="39" t="str">
        <f>IFERROR(IF(VLOOKUP($A5,'Parts List and Volumes'!$C4:$F266,4,FALSE)=0,"",VLOOKUP(B5,'Parts List and Volumes'!D4:G266,3,FALSE)),"")</f>
        <v/>
      </c>
      <c r="F5" s="26"/>
      <c r="G5" s="40">
        <f>IFERROR(VLOOKUP($A5,'Parts List and Volumes'!$C$2:$W196,5,FALSE),"")</f>
        <v>170373</v>
      </c>
      <c r="H5" s="41">
        <f>IFERROR(VLOOKUP($A5,'Parts List and Volumes'!$C$2:$W196,6,FALSE),"")</f>
        <v>169500</v>
      </c>
      <c r="I5" s="42">
        <f t="shared" si="0"/>
        <v>0</v>
      </c>
      <c r="J5" s="43">
        <f t="shared" si="0"/>
        <v>0</v>
      </c>
      <c r="K5" s="44">
        <f>IFERROR(VLOOKUP($A5,'Parts List and Volumes'!$C$2:$W196,7,FALSE),"")</f>
        <v>169500</v>
      </c>
      <c r="L5" s="45">
        <f>IFERROR(VLOOKUP($A5,'Parts List and Volumes'!$C$2:$W196,8,FALSE),"")</f>
        <v>169500</v>
      </c>
      <c r="M5" s="46">
        <f t="shared" si="1"/>
        <v>0</v>
      </c>
      <c r="N5" s="47">
        <f t="shared" si="1"/>
        <v>0</v>
      </c>
      <c r="O5" s="41">
        <f>IFERROR(VLOOKUP($A5,'Parts List and Volumes'!$C$2:$W196,9,FALSE),"")</f>
        <v>0</v>
      </c>
      <c r="P5" s="41">
        <f>IFERROR(VLOOKUP($A5,'Parts List and Volumes'!$C$2:$W196,10,FALSE),"")</f>
        <v>85956</v>
      </c>
      <c r="Q5" s="48">
        <f t="shared" si="2"/>
        <v>0</v>
      </c>
      <c r="R5" s="43">
        <f t="shared" si="2"/>
        <v>0</v>
      </c>
      <c r="S5" s="44">
        <f>IFERROR(VLOOKUP($A5,'Parts List and Volumes'!$C$2:$W196,11,FALSE),"")</f>
        <v>0</v>
      </c>
      <c r="T5" s="45">
        <f>IFERROR(VLOOKUP($A5,'Parts List and Volumes'!$C$2:$W196,12,FALSE),"")</f>
        <v>0</v>
      </c>
      <c r="U5" s="46">
        <f t="shared" si="3"/>
        <v>0</v>
      </c>
      <c r="V5" s="47">
        <f t="shared" si="3"/>
        <v>0</v>
      </c>
      <c r="W5" s="40">
        <f>IFERROR(VLOOKUP($A5,'Parts List and Volumes'!$C$2:$W196,13,FALSE),"")</f>
        <v>0</v>
      </c>
      <c r="X5" s="41">
        <f>IFERROR(VLOOKUP($A5,'Parts List and Volumes'!$C$2:$W196,14,FALSE),"")</f>
        <v>0</v>
      </c>
      <c r="Y5" s="48">
        <f t="shared" si="4"/>
        <v>0</v>
      </c>
      <c r="Z5" s="43">
        <f t="shared" si="4"/>
        <v>0</v>
      </c>
      <c r="AA5" s="49">
        <f>IFERROR(VLOOKUP($A5,'Parts List and Volumes'!$C$2:$W196,15,FALSE),"")</f>
        <v>0</v>
      </c>
      <c r="AB5" s="50">
        <f>IFERROR(VLOOKUP($A5,'Parts List and Volumes'!$C$2:$W196,16,FALSE),"")</f>
        <v>0</v>
      </c>
      <c r="AC5" s="51">
        <f t="shared" si="5"/>
        <v>0</v>
      </c>
      <c r="AD5" s="52">
        <f t="shared" si="5"/>
        <v>0</v>
      </c>
      <c r="AE5" s="40">
        <f>IFERROR(VLOOKUP($A5,'Parts List and Volumes'!$C$2:$W196,17,FALSE),"")</f>
        <v>0</v>
      </c>
      <c r="AF5" s="41">
        <f>IFERROR(VLOOKUP($A5,'Parts List and Volumes'!$C$2:$W196,18,FALSE),"")</f>
        <v>0</v>
      </c>
      <c r="AG5" s="48">
        <f t="shared" si="6"/>
        <v>0</v>
      </c>
      <c r="AH5" s="43">
        <f t="shared" si="6"/>
        <v>0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A3 D3:F50">
    <cfRule type="expression" dxfId="985" priority="108" stopIfTrue="1">
      <formula>#REF!="DLN"</formula>
    </cfRule>
  </conditionalFormatting>
  <conditionalFormatting sqref="F3:F7 A3 D3:E50">
    <cfRule type="expression" dxfId="984" priority="107" stopIfTrue="1">
      <formula>#REF!="DLN"</formula>
    </cfRule>
  </conditionalFormatting>
  <conditionalFormatting sqref="L3:L50">
    <cfRule type="expression" dxfId="983" priority="106" stopIfTrue="1">
      <formula>#REF!="DLN"</formula>
    </cfRule>
  </conditionalFormatting>
  <conditionalFormatting sqref="L3:L50">
    <cfRule type="expression" dxfId="982" priority="105" stopIfTrue="1">
      <formula>#REF!="DLN"</formula>
    </cfRule>
  </conditionalFormatting>
  <conditionalFormatting sqref="T3:T50">
    <cfRule type="expression" dxfId="981" priority="104" stopIfTrue="1">
      <formula>#REF!="DLN"</formula>
    </cfRule>
  </conditionalFormatting>
  <conditionalFormatting sqref="T3:T50">
    <cfRule type="expression" dxfId="980" priority="103" stopIfTrue="1">
      <formula>#REF!="DLN"</formula>
    </cfRule>
  </conditionalFormatting>
  <conditionalFormatting sqref="X3:X50">
    <cfRule type="expression" dxfId="979" priority="102" stopIfTrue="1">
      <formula>#REF!="DLN"</formula>
    </cfRule>
  </conditionalFormatting>
  <conditionalFormatting sqref="X3:X50">
    <cfRule type="expression" dxfId="978" priority="101" stopIfTrue="1">
      <formula>#REF!="DLN"</formula>
    </cfRule>
  </conditionalFormatting>
  <conditionalFormatting sqref="G2">
    <cfRule type="expression" dxfId="977" priority="100" stopIfTrue="1">
      <formula>#REF!="DLN"</formula>
    </cfRule>
  </conditionalFormatting>
  <conditionalFormatting sqref="G2">
    <cfRule type="expression" dxfId="976" priority="99" stopIfTrue="1">
      <formula>#REF!="DLN"</formula>
    </cfRule>
  </conditionalFormatting>
  <conditionalFormatting sqref="K2">
    <cfRule type="expression" dxfId="975" priority="98" stopIfTrue="1">
      <formula>#REF!="DLN"</formula>
    </cfRule>
  </conditionalFormatting>
  <conditionalFormatting sqref="K2">
    <cfRule type="expression" dxfId="974" priority="97" stopIfTrue="1">
      <formula>#REF!="DLN"</formula>
    </cfRule>
  </conditionalFormatting>
  <conditionalFormatting sqref="O2">
    <cfRule type="expression" dxfId="973" priority="96" stopIfTrue="1">
      <formula>#REF!="DLN"</formula>
    </cfRule>
  </conditionalFormatting>
  <conditionalFormatting sqref="O2">
    <cfRule type="expression" dxfId="972" priority="95" stopIfTrue="1">
      <formula>#REF!="DLN"</formula>
    </cfRule>
  </conditionalFormatting>
  <conditionalFormatting sqref="S2">
    <cfRule type="expression" dxfId="971" priority="94" stopIfTrue="1">
      <formula>#REF!="DLN"</formula>
    </cfRule>
  </conditionalFormatting>
  <conditionalFormatting sqref="S2">
    <cfRule type="expression" dxfId="970" priority="93" stopIfTrue="1">
      <formula>#REF!="DLN"</formula>
    </cfRule>
  </conditionalFormatting>
  <conditionalFormatting sqref="W2">
    <cfRule type="expression" dxfId="969" priority="92" stopIfTrue="1">
      <formula>#REF!="DLN"</formula>
    </cfRule>
  </conditionalFormatting>
  <conditionalFormatting sqref="W2">
    <cfRule type="expression" dxfId="968" priority="91" stopIfTrue="1">
      <formula>#REF!="DLN"</formula>
    </cfRule>
  </conditionalFormatting>
  <conditionalFormatting sqref="AF3:AF50">
    <cfRule type="expression" dxfId="967" priority="43" stopIfTrue="1">
      <formula>#REF!="DLN"</formula>
    </cfRule>
  </conditionalFormatting>
  <conditionalFormatting sqref="W3:W50">
    <cfRule type="expression" dxfId="966" priority="90" stopIfTrue="1">
      <formula>#REF!="DLN"</formula>
    </cfRule>
  </conditionalFormatting>
  <conditionalFormatting sqref="W3:W50">
    <cfRule type="expression" dxfId="965" priority="89" stopIfTrue="1">
      <formula>#REF!="DLN"</formula>
    </cfRule>
  </conditionalFormatting>
  <conditionalFormatting sqref="S3:S50">
    <cfRule type="expression" dxfId="964" priority="88" stopIfTrue="1">
      <formula>#REF!="DLN"</formula>
    </cfRule>
  </conditionalFormatting>
  <conditionalFormatting sqref="S3:S50">
    <cfRule type="expression" dxfId="963" priority="87" stopIfTrue="1">
      <formula>#REF!="DLN"</formula>
    </cfRule>
  </conditionalFormatting>
  <conditionalFormatting sqref="K3:K50">
    <cfRule type="expression" dxfId="962" priority="86" stopIfTrue="1">
      <formula>#REF!="DLN"</formula>
    </cfRule>
  </conditionalFormatting>
  <conditionalFormatting sqref="K3:K50">
    <cfRule type="expression" dxfId="961" priority="85" stopIfTrue="1">
      <formula>#REF!="DLN"</formula>
    </cfRule>
  </conditionalFormatting>
  <conditionalFormatting sqref="AF3:AF50">
    <cfRule type="expression" dxfId="960" priority="44" stopIfTrue="1">
      <formula>#REF!="DLN"</formula>
    </cfRule>
  </conditionalFormatting>
  <conditionalFormatting sqref="J52">
    <cfRule type="cellIs" dxfId="959" priority="81" stopIfTrue="1" operator="greaterThanOrEqual">
      <formula>0.801</formula>
    </cfRule>
    <cfRule type="cellIs" dxfId="958" priority="82" stopIfTrue="1" operator="between">
      <formula>0.61</formula>
      <formula>0.8</formula>
    </cfRule>
    <cfRule type="cellIs" dxfId="957" priority="83" stopIfTrue="1" operator="between">
      <formula>0</formula>
      <formula>0.6</formula>
    </cfRule>
  </conditionalFormatting>
  <conditionalFormatting sqref="J52">
    <cfRule type="expression" dxfId="956" priority="84" stopIfTrue="1">
      <formula>#REF!="DLN"</formula>
    </cfRule>
  </conditionalFormatting>
  <conditionalFormatting sqref="I52">
    <cfRule type="cellIs" dxfId="955" priority="77" stopIfTrue="1" operator="greaterThanOrEqual">
      <formula>0.801</formula>
    </cfRule>
    <cfRule type="cellIs" dxfId="954" priority="78" stopIfTrue="1" operator="between">
      <formula>0.61</formula>
      <formula>0.8</formula>
    </cfRule>
    <cfRule type="cellIs" dxfId="953" priority="79" stopIfTrue="1" operator="between">
      <formula>0</formula>
      <formula>0.6</formula>
    </cfRule>
  </conditionalFormatting>
  <conditionalFormatting sqref="I52">
    <cfRule type="expression" dxfId="952" priority="80" stopIfTrue="1">
      <formula>#REF!="DLN"</formula>
    </cfRule>
  </conditionalFormatting>
  <conditionalFormatting sqref="M52:N52">
    <cfRule type="cellIs" dxfId="951" priority="73" stopIfTrue="1" operator="greaterThanOrEqual">
      <formula>0.801</formula>
    </cfRule>
    <cfRule type="cellIs" dxfId="950" priority="74" stopIfTrue="1" operator="between">
      <formula>0.61</formula>
      <formula>0.8</formula>
    </cfRule>
    <cfRule type="cellIs" dxfId="949" priority="75" stopIfTrue="1" operator="between">
      <formula>0</formula>
      <formula>0.6</formula>
    </cfRule>
  </conditionalFormatting>
  <conditionalFormatting sqref="M52:N52">
    <cfRule type="expression" dxfId="948" priority="76" stopIfTrue="1">
      <formula>#REF!="DLN"</formula>
    </cfRule>
  </conditionalFormatting>
  <conditionalFormatting sqref="Q52:R52">
    <cfRule type="cellIs" dxfId="947" priority="69" stopIfTrue="1" operator="greaterThanOrEqual">
      <formula>0.801</formula>
    </cfRule>
    <cfRule type="cellIs" dxfId="946" priority="70" stopIfTrue="1" operator="between">
      <formula>0.61</formula>
      <formula>0.8</formula>
    </cfRule>
    <cfRule type="cellIs" dxfId="945" priority="71" stopIfTrue="1" operator="between">
      <formula>0</formula>
      <formula>0.6</formula>
    </cfRule>
  </conditionalFormatting>
  <conditionalFormatting sqref="Q52:R52">
    <cfRule type="expression" dxfId="944" priority="72" stopIfTrue="1">
      <formula>#REF!="DLN"</formula>
    </cfRule>
  </conditionalFormatting>
  <conditionalFormatting sqref="U52:V52">
    <cfRule type="cellIs" dxfId="943" priority="65" stopIfTrue="1" operator="greaterThanOrEqual">
      <formula>0.801</formula>
    </cfRule>
    <cfRule type="cellIs" dxfId="942" priority="66" stopIfTrue="1" operator="between">
      <formula>0.61</formula>
      <formula>0.8</formula>
    </cfRule>
    <cfRule type="cellIs" dxfId="941" priority="67" stopIfTrue="1" operator="between">
      <formula>0</formula>
      <formula>0.6</formula>
    </cfRule>
  </conditionalFormatting>
  <conditionalFormatting sqref="U52:V52">
    <cfRule type="expression" dxfId="940" priority="68" stopIfTrue="1">
      <formula>#REF!="DLN"</formula>
    </cfRule>
  </conditionalFormatting>
  <conditionalFormatting sqref="Y52:Z52">
    <cfRule type="cellIs" dxfId="939" priority="61" stopIfTrue="1" operator="greaterThanOrEqual">
      <formula>0.801</formula>
    </cfRule>
    <cfRule type="cellIs" dxfId="938" priority="62" stopIfTrue="1" operator="between">
      <formula>0.61</formula>
      <formula>0.8</formula>
    </cfRule>
    <cfRule type="cellIs" dxfId="937" priority="63" stopIfTrue="1" operator="between">
      <formula>0</formula>
      <formula>0.6</formula>
    </cfRule>
  </conditionalFormatting>
  <conditionalFormatting sqref="Y52:Z52">
    <cfRule type="expression" dxfId="936" priority="64" stopIfTrue="1">
      <formula>#REF!="DLN"</formula>
    </cfRule>
  </conditionalFormatting>
  <conditionalFormatting sqref="AC52:AD52">
    <cfRule type="cellIs" dxfId="935" priority="57" stopIfTrue="1" operator="greaterThanOrEqual">
      <formula>0.801</formula>
    </cfRule>
    <cfRule type="cellIs" dxfId="934" priority="58" stopIfTrue="1" operator="between">
      <formula>0.61</formula>
      <formula>0.8</formula>
    </cfRule>
    <cfRule type="cellIs" dxfId="933" priority="59" stopIfTrue="1" operator="between">
      <formula>0</formula>
      <formula>0.6</formula>
    </cfRule>
  </conditionalFormatting>
  <conditionalFormatting sqref="AC52:AD52">
    <cfRule type="expression" dxfId="932" priority="60" stopIfTrue="1">
      <formula>#REF!="DLN"</formula>
    </cfRule>
  </conditionalFormatting>
  <conditionalFormatting sqref="G3:G50">
    <cfRule type="expression" dxfId="931" priority="55" stopIfTrue="1">
      <formula>#REF!="DLN"</formula>
    </cfRule>
  </conditionalFormatting>
  <conditionalFormatting sqref="G3:G50">
    <cfRule type="expression" dxfId="930" priority="56" stopIfTrue="1">
      <formula>#REF!="DLN"</formula>
    </cfRule>
  </conditionalFormatting>
  <conditionalFormatting sqref="P3:P50">
    <cfRule type="expression" dxfId="929" priority="54" stopIfTrue="1">
      <formula>#REF!="DLN"</formula>
    </cfRule>
  </conditionalFormatting>
  <conditionalFormatting sqref="P3:P50">
    <cfRule type="expression" dxfId="928" priority="53" stopIfTrue="1">
      <formula>#REF!="DLN"</formula>
    </cfRule>
  </conditionalFormatting>
  <conditionalFormatting sqref="O3:O50">
    <cfRule type="expression" dxfId="927" priority="52" stopIfTrue="1">
      <formula>#REF!="DLN"</formula>
    </cfRule>
  </conditionalFormatting>
  <conditionalFormatting sqref="O3:O50">
    <cfRule type="expression" dxfId="926" priority="51" stopIfTrue="1">
      <formula>#REF!="DLN"</formula>
    </cfRule>
  </conditionalFormatting>
  <conditionalFormatting sqref="H3:H50">
    <cfRule type="expression" dxfId="925" priority="50" stopIfTrue="1">
      <formula>#REF!="DLN"</formula>
    </cfRule>
  </conditionalFormatting>
  <conditionalFormatting sqref="H3:H50">
    <cfRule type="expression" dxfId="924" priority="49" stopIfTrue="1">
      <formula>#REF!="DLN"</formula>
    </cfRule>
  </conditionalFormatting>
  <conditionalFormatting sqref="A4">
    <cfRule type="expression" dxfId="923" priority="48" stopIfTrue="1">
      <formula>#REF!="DLN"</formula>
    </cfRule>
  </conditionalFormatting>
  <conditionalFormatting sqref="A4">
    <cfRule type="expression" dxfId="922" priority="47" stopIfTrue="1">
      <formula>#REF!="DLN"</formula>
    </cfRule>
  </conditionalFormatting>
  <conditionalFormatting sqref="A8:A50">
    <cfRule type="expression" dxfId="921" priority="46" stopIfTrue="1">
      <formula>#REF!="DLN"</formula>
    </cfRule>
  </conditionalFormatting>
  <conditionalFormatting sqref="A8:A50">
    <cfRule type="expression" dxfId="920" priority="45" stopIfTrue="1">
      <formula>#REF!="DLN"</formula>
    </cfRule>
  </conditionalFormatting>
  <conditionalFormatting sqref="AE2">
    <cfRule type="expression" dxfId="919" priority="42" stopIfTrue="1">
      <formula>#REF!="DLN"</formula>
    </cfRule>
  </conditionalFormatting>
  <conditionalFormatting sqref="AE2">
    <cfRule type="expression" dxfId="918" priority="41" stopIfTrue="1">
      <formula>#REF!="DLN"</formula>
    </cfRule>
  </conditionalFormatting>
  <conditionalFormatting sqref="AE3:AE50">
    <cfRule type="expression" dxfId="917" priority="40" stopIfTrue="1">
      <formula>#REF!="DLN"</formula>
    </cfRule>
  </conditionalFormatting>
  <conditionalFormatting sqref="AE3:AE50">
    <cfRule type="expression" dxfId="916" priority="39" stopIfTrue="1">
      <formula>#REF!="DLN"</formula>
    </cfRule>
  </conditionalFormatting>
  <conditionalFormatting sqref="AG52:AH52">
    <cfRule type="cellIs" dxfId="915" priority="35" stopIfTrue="1" operator="greaterThanOrEqual">
      <formula>0.801</formula>
    </cfRule>
    <cfRule type="cellIs" dxfId="914" priority="36" stopIfTrue="1" operator="between">
      <formula>0.61</formula>
      <formula>0.8</formula>
    </cfRule>
    <cfRule type="cellIs" dxfId="913" priority="37" stopIfTrue="1" operator="between">
      <formula>0</formula>
      <formula>0.6</formula>
    </cfRule>
  </conditionalFormatting>
  <conditionalFormatting sqref="AG52:AH52">
    <cfRule type="expression" dxfId="912" priority="38" stopIfTrue="1">
      <formula>#REF!="DLN"</formula>
    </cfRule>
  </conditionalFormatting>
  <conditionalFormatting sqref="AK52:AL52">
    <cfRule type="cellIs" dxfId="911" priority="31" stopIfTrue="1" operator="greaterThanOrEqual">
      <formula>0.801</formula>
    </cfRule>
    <cfRule type="cellIs" dxfId="910" priority="32" stopIfTrue="1" operator="between">
      <formula>0.61</formula>
      <formula>0.8</formula>
    </cfRule>
    <cfRule type="cellIs" dxfId="909" priority="33" stopIfTrue="1" operator="between">
      <formula>0</formula>
      <formula>0.6</formula>
    </cfRule>
  </conditionalFormatting>
  <conditionalFormatting sqref="AK52:AL52">
    <cfRule type="expression" dxfId="908" priority="34" stopIfTrue="1">
      <formula>#REF!="DLN"</formula>
    </cfRule>
  </conditionalFormatting>
  <conditionalFormatting sqref="AN3:AN50">
    <cfRule type="expression" dxfId="907" priority="30" stopIfTrue="1">
      <formula>#REF!="DLN"</formula>
    </cfRule>
  </conditionalFormatting>
  <conditionalFormatting sqref="AN3:AN50">
    <cfRule type="expression" dxfId="906" priority="29" stopIfTrue="1">
      <formula>#REF!="DLN"</formula>
    </cfRule>
  </conditionalFormatting>
  <conditionalFormatting sqref="AM2">
    <cfRule type="expression" dxfId="905" priority="28" stopIfTrue="1">
      <formula>#REF!="DLN"</formula>
    </cfRule>
  </conditionalFormatting>
  <conditionalFormatting sqref="AM2">
    <cfRule type="expression" dxfId="904" priority="27" stopIfTrue="1">
      <formula>#REF!="DLN"</formula>
    </cfRule>
  </conditionalFormatting>
  <conditionalFormatting sqref="AM3:AM50">
    <cfRule type="expression" dxfId="903" priority="26" stopIfTrue="1">
      <formula>#REF!="DLN"</formula>
    </cfRule>
  </conditionalFormatting>
  <conditionalFormatting sqref="AM3:AM50">
    <cfRule type="expression" dxfId="902" priority="25" stopIfTrue="1">
      <formula>#REF!="DLN"</formula>
    </cfRule>
  </conditionalFormatting>
  <conditionalFormatting sqref="AO52:AP52">
    <cfRule type="cellIs" dxfId="901" priority="21" stopIfTrue="1" operator="greaterThanOrEqual">
      <formula>0.801</formula>
    </cfRule>
    <cfRule type="cellIs" dxfId="900" priority="22" stopIfTrue="1" operator="between">
      <formula>0.61</formula>
      <formula>0.8</formula>
    </cfRule>
    <cfRule type="cellIs" dxfId="899" priority="23" stopIfTrue="1" operator="between">
      <formula>0</formula>
      <formula>0.6</formula>
    </cfRule>
  </conditionalFormatting>
  <conditionalFormatting sqref="AO52:AP52">
    <cfRule type="expression" dxfId="898" priority="24" stopIfTrue="1">
      <formula>#REF!="DLN"</formula>
    </cfRule>
  </conditionalFormatting>
  <conditionalFormatting sqref="AS52:AT52">
    <cfRule type="cellIs" dxfId="897" priority="17" stopIfTrue="1" operator="greaterThanOrEqual">
      <formula>0.801</formula>
    </cfRule>
    <cfRule type="cellIs" dxfId="896" priority="18" stopIfTrue="1" operator="between">
      <formula>0.61</formula>
      <formula>0.8</formula>
    </cfRule>
    <cfRule type="cellIs" dxfId="895" priority="19" stopIfTrue="1" operator="between">
      <formula>0</formula>
      <formula>0.6</formula>
    </cfRule>
  </conditionalFormatting>
  <conditionalFormatting sqref="AS52:AT52">
    <cfRule type="expression" dxfId="894" priority="20" stopIfTrue="1">
      <formula>#REF!="DLN"</formula>
    </cfRule>
  </conditionalFormatting>
  <conditionalFormatting sqref="AV3:AV50">
    <cfRule type="expression" dxfId="893" priority="16" stopIfTrue="1">
      <formula>#REF!="DLN"</formula>
    </cfRule>
  </conditionalFormatting>
  <conditionalFormatting sqref="AV3:AV50">
    <cfRule type="expression" dxfId="892" priority="15" stopIfTrue="1">
      <formula>#REF!="DLN"</formula>
    </cfRule>
  </conditionalFormatting>
  <conditionalFormatting sqref="AU2">
    <cfRule type="expression" dxfId="891" priority="14" stopIfTrue="1">
      <formula>#REF!="DLN"</formula>
    </cfRule>
  </conditionalFormatting>
  <conditionalFormatting sqref="AU2">
    <cfRule type="expression" dxfId="890" priority="13" stopIfTrue="1">
      <formula>#REF!="DLN"</formula>
    </cfRule>
  </conditionalFormatting>
  <conditionalFormatting sqref="AU3:AU50">
    <cfRule type="expression" dxfId="889" priority="12" stopIfTrue="1">
      <formula>#REF!="DLN"</formula>
    </cfRule>
  </conditionalFormatting>
  <conditionalFormatting sqref="AU3:AU50">
    <cfRule type="expression" dxfId="888" priority="11" stopIfTrue="1">
      <formula>#REF!="DLN"</formula>
    </cfRule>
  </conditionalFormatting>
  <conditionalFormatting sqref="AW52:AX52">
    <cfRule type="cellIs" dxfId="887" priority="7" stopIfTrue="1" operator="greaterThanOrEqual">
      <formula>0.801</formula>
    </cfRule>
    <cfRule type="cellIs" dxfId="886" priority="8" stopIfTrue="1" operator="between">
      <formula>0.61</formula>
      <formula>0.8</formula>
    </cfRule>
    <cfRule type="cellIs" dxfId="885" priority="9" stopIfTrue="1" operator="between">
      <formula>0</formula>
      <formula>0.6</formula>
    </cfRule>
  </conditionalFormatting>
  <conditionalFormatting sqref="AW52:AX52">
    <cfRule type="expression" dxfId="884" priority="10" stopIfTrue="1">
      <formula>#REF!="DLN"</formula>
    </cfRule>
  </conditionalFormatting>
  <conditionalFormatting sqref="A5">
    <cfRule type="expression" dxfId="883" priority="6" stopIfTrue="1">
      <formula>#REF!="DLN"</formula>
    </cfRule>
  </conditionalFormatting>
  <conditionalFormatting sqref="A5">
    <cfRule type="expression" dxfId="882" priority="5" stopIfTrue="1">
      <formula>#REF!="DLN"</formula>
    </cfRule>
  </conditionalFormatting>
  <conditionalFormatting sqref="A6">
    <cfRule type="expression" dxfId="881" priority="4" stopIfTrue="1">
      <formula>#REF!="DLN"</formula>
    </cfRule>
  </conditionalFormatting>
  <conditionalFormatting sqref="A6">
    <cfRule type="expression" dxfId="880" priority="3" stopIfTrue="1">
      <formula>#REF!="DLN"</formula>
    </cfRule>
  </conditionalFormatting>
  <conditionalFormatting sqref="A7">
    <cfRule type="expression" dxfId="879" priority="2" stopIfTrue="1">
      <formula>#REF!="DLN"</formula>
    </cfRule>
  </conditionalFormatting>
  <conditionalFormatting sqref="A7">
    <cfRule type="expression" dxfId="878" priority="1" stopIfTrue="1">
      <formula>#REF!="DLN"</formula>
    </cfRule>
  </conditionalFormatting>
  <dataValidations count="1">
    <dataValidation type="list" allowBlank="1" showInputMessage="1" showErrorMessage="1" sqref="A3:A50" xr:uid="{3BD246D7-6DD9-4786-845D-7EEE565C899A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9303DB-9853-4896-9F7B-BACD95DA8CAE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303F-192F-4D01-B5B7-6CDE7ECC5F17}">
  <sheetPr codeName="Sheet17"/>
  <dimension ref="A1:AX62"/>
  <sheetViews>
    <sheetView workbookViewId="0">
      <selection activeCell="E4" sqref="E4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271</v>
      </c>
      <c r="B3" s="24" t="s">
        <v>431</v>
      </c>
      <c r="C3" s="20" t="str">
        <f>IFERROR(VLOOKUP(A3,'Parts List and Volumes'!C2:D194,2,FALSE),"")</f>
        <v>NFAA0190ACF20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170291</v>
      </c>
      <c r="H3" s="41">
        <f>IFERROR(VLOOKUP($A3,'Parts List and Volumes'!$C$2:$W194,6,FALSE),"")</f>
        <v>169605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169605</v>
      </c>
      <c r="L3" s="45">
        <f>IFERROR(VLOOKUP($A3,'Parts List and Volumes'!$C$2:$W194,8,FALSE),"")</f>
        <v>169605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85956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0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0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/>
      <c r="B4" s="24"/>
      <c r="C4" s="20" t="str">
        <f>IFERROR(VLOOKUP(A4,'Parts List and Volumes'!C3:D195,2,FALSE),"")</f>
        <v/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/>
      <c r="G4" s="40" t="str">
        <f>IFERROR(VLOOKUP($A4,'Parts List and Volumes'!$C$2:$W195,5,FALSE),"")</f>
        <v/>
      </c>
      <c r="H4" s="41" t="str">
        <f>IFERROR(VLOOKUP($A4,'Parts List and Volumes'!$C$2:$W195,6,FALSE),"")</f>
        <v/>
      </c>
      <c r="I4" s="42" t="str">
        <f t="shared" si="0"/>
        <v/>
      </c>
      <c r="J4" s="43" t="str">
        <f t="shared" si="0"/>
        <v/>
      </c>
      <c r="K4" s="44" t="str">
        <f>IFERROR(VLOOKUP($A4,'Parts List and Volumes'!$C$2:$W195,7,FALSE),"")</f>
        <v/>
      </c>
      <c r="L4" s="45" t="str">
        <f>IFERROR(VLOOKUP($A4,'Parts List and Volumes'!$C$2:$W195,8,FALSE),"")</f>
        <v/>
      </c>
      <c r="M4" s="46" t="str">
        <f t="shared" si="1"/>
        <v/>
      </c>
      <c r="N4" s="47" t="str">
        <f t="shared" si="1"/>
        <v/>
      </c>
      <c r="O4" s="41" t="str">
        <f>IFERROR(VLOOKUP($A4,'Parts List and Volumes'!$C$2:$W195,9,FALSE),"")</f>
        <v/>
      </c>
      <c r="P4" s="41" t="str">
        <f>IFERROR(VLOOKUP($A4,'Parts List and Volumes'!$C$2:$W195,10,FALSE),"")</f>
        <v/>
      </c>
      <c r="Q4" s="48" t="str">
        <f t="shared" si="2"/>
        <v/>
      </c>
      <c r="R4" s="43" t="str">
        <f t="shared" si="2"/>
        <v/>
      </c>
      <c r="S4" s="44" t="str">
        <f>IFERROR(VLOOKUP($A4,'Parts List and Volumes'!$C$2:$W195,11,FALSE),"")</f>
        <v/>
      </c>
      <c r="T4" s="45" t="str">
        <f>IFERROR(VLOOKUP($A4,'Parts List and Volumes'!$C$2:$W195,12,FALSE),"")</f>
        <v/>
      </c>
      <c r="U4" s="46" t="str">
        <f t="shared" si="3"/>
        <v/>
      </c>
      <c r="V4" s="47" t="str">
        <f t="shared" si="3"/>
        <v/>
      </c>
      <c r="W4" s="40" t="str">
        <f>IFERROR(VLOOKUP($A4,'Parts List and Volumes'!$C$2:$W195,13,FALSE),"")</f>
        <v/>
      </c>
      <c r="X4" s="41" t="str">
        <f>IFERROR(VLOOKUP($A4,'Parts List and Volumes'!$C$2:$W195,14,FALSE),"")</f>
        <v/>
      </c>
      <c r="Y4" s="48" t="str">
        <f t="shared" si="4"/>
        <v/>
      </c>
      <c r="Z4" s="43" t="str">
        <f t="shared" si="4"/>
        <v/>
      </c>
      <c r="AA4" s="49" t="str">
        <f>IFERROR(VLOOKUP($A4,'Parts List and Volumes'!$C$2:$W195,15,FALSE),"")</f>
        <v/>
      </c>
      <c r="AB4" s="50" t="str">
        <f>IFERROR(VLOOKUP($A4,'Parts List and Volumes'!$C$2:$W195,16,FALSE),"")</f>
        <v/>
      </c>
      <c r="AC4" s="51" t="str">
        <f t="shared" si="5"/>
        <v/>
      </c>
      <c r="AD4" s="52" t="str">
        <f t="shared" si="5"/>
        <v/>
      </c>
      <c r="AE4" s="40" t="str">
        <f>IFERROR(VLOOKUP($A4,'Parts List and Volumes'!$C$2:$W195,17,FALSE),"")</f>
        <v/>
      </c>
      <c r="AF4" s="41" t="str">
        <f>IFERROR(VLOOKUP($A4,'Parts List and Volumes'!$C$2:$W195,18,FALSE),"")</f>
        <v/>
      </c>
      <c r="AG4" s="48" t="str">
        <f t="shared" si="6"/>
        <v/>
      </c>
      <c r="AH4" s="43" t="str">
        <f t="shared" si="6"/>
        <v/>
      </c>
      <c r="AI4" s="49" t="str">
        <f>IFERROR(VLOOKUP($A4,'Parts List and Volumes'!$C$2:$W195,19,FALSE),"")</f>
        <v/>
      </c>
      <c r="AJ4" s="50" t="str">
        <f>IFERROR(VLOOKUP($A4,'Parts List and Volumes'!$C$2:$W195,20,FALSE),"")</f>
        <v/>
      </c>
      <c r="AK4" s="51" t="str">
        <f t="shared" si="7"/>
        <v/>
      </c>
      <c r="AL4" s="52" t="str">
        <f t="shared" si="7"/>
        <v/>
      </c>
      <c r="AM4" s="40" t="str">
        <f>IFERROR(VLOOKUP($A4,'Parts List and Volumes'!$C$2:$W195,21,FALSE),"")</f>
        <v/>
      </c>
      <c r="AN4" s="41" t="str">
        <f>IFERROR(VLOOKUP($A4,'Parts List and Volumes'!$C$2:$W195,22,FALSE),"")</f>
        <v/>
      </c>
      <c r="AO4" s="48" t="str">
        <f t="shared" si="8"/>
        <v/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0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1"/>
        <v/>
      </c>
      <c r="N5" s="47" t="str">
        <f t="shared" si="1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2"/>
        <v/>
      </c>
      <c r="R5" s="43" t="str">
        <f t="shared" si="2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3"/>
        <v/>
      </c>
      <c r="V5" s="47" t="str">
        <f t="shared" si="3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4"/>
        <v/>
      </c>
      <c r="Z5" s="43" t="str">
        <f t="shared" si="4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5"/>
        <v/>
      </c>
      <c r="AD5" s="52" t="str">
        <f t="shared" si="5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6"/>
        <v/>
      </c>
      <c r="AH5" s="43" t="str">
        <f t="shared" si="6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7"/>
        <v/>
      </c>
      <c r="AL5" s="52" t="str">
        <f t="shared" si="7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8"/>
        <v/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877" priority="110" stopIfTrue="1">
      <formula>#REF!="DLN"</formula>
    </cfRule>
  </conditionalFormatting>
  <conditionalFormatting sqref="F3:F7 D3:E50">
    <cfRule type="expression" dxfId="876" priority="109" stopIfTrue="1">
      <formula>#REF!="DLN"</formula>
    </cfRule>
  </conditionalFormatting>
  <conditionalFormatting sqref="L3:L50">
    <cfRule type="expression" dxfId="875" priority="108" stopIfTrue="1">
      <formula>#REF!="DLN"</formula>
    </cfRule>
  </conditionalFormatting>
  <conditionalFormatting sqref="L3:L50">
    <cfRule type="expression" dxfId="874" priority="107" stopIfTrue="1">
      <formula>#REF!="DLN"</formula>
    </cfRule>
  </conditionalFormatting>
  <conditionalFormatting sqref="T3:T50">
    <cfRule type="expression" dxfId="873" priority="106" stopIfTrue="1">
      <formula>#REF!="DLN"</formula>
    </cfRule>
  </conditionalFormatting>
  <conditionalFormatting sqref="T3:T50">
    <cfRule type="expression" dxfId="872" priority="105" stopIfTrue="1">
      <formula>#REF!="DLN"</formula>
    </cfRule>
  </conditionalFormatting>
  <conditionalFormatting sqref="X3:X50">
    <cfRule type="expression" dxfId="871" priority="104" stopIfTrue="1">
      <formula>#REF!="DLN"</formula>
    </cfRule>
  </conditionalFormatting>
  <conditionalFormatting sqref="X3:X50">
    <cfRule type="expression" dxfId="870" priority="103" stopIfTrue="1">
      <formula>#REF!="DLN"</formula>
    </cfRule>
  </conditionalFormatting>
  <conditionalFormatting sqref="G2">
    <cfRule type="expression" dxfId="869" priority="102" stopIfTrue="1">
      <formula>#REF!="DLN"</formula>
    </cfRule>
  </conditionalFormatting>
  <conditionalFormatting sqref="G2">
    <cfRule type="expression" dxfId="868" priority="101" stopIfTrue="1">
      <formula>#REF!="DLN"</formula>
    </cfRule>
  </conditionalFormatting>
  <conditionalFormatting sqref="K2">
    <cfRule type="expression" dxfId="867" priority="100" stopIfTrue="1">
      <formula>#REF!="DLN"</formula>
    </cfRule>
  </conditionalFormatting>
  <conditionalFormatting sqref="K2">
    <cfRule type="expression" dxfId="866" priority="99" stopIfTrue="1">
      <formula>#REF!="DLN"</formula>
    </cfRule>
  </conditionalFormatting>
  <conditionalFormatting sqref="O2">
    <cfRule type="expression" dxfId="865" priority="98" stopIfTrue="1">
      <formula>#REF!="DLN"</formula>
    </cfRule>
  </conditionalFormatting>
  <conditionalFormatting sqref="O2">
    <cfRule type="expression" dxfId="864" priority="97" stopIfTrue="1">
      <formula>#REF!="DLN"</formula>
    </cfRule>
  </conditionalFormatting>
  <conditionalFormatting sqref="S2">
    <cfRule type="expression" dxfId="863" priority="96" stopIfTrue="1">
      <formula>#REF!="DLN"</formula>
    </cfRule>
  </conditionalFormatting>
  <conditionalFormatting sqref="S2">
    <cfRule type="expression" dxfId="862" priority="95" stopIfTrue="1">
      <formula>#REF!="DLN"</formula>
    </cfRule>
  </conditionalFormatting>
  <conditionalFormatting sqref="W2">
    <cfRule type="expression" dxfId="861" priority="94" stopIfTrue="1">
      <formula>#REF!="DLN"</formula>
    </cfRule>
  </conditionalFormatting>
  <conditionalFormatting sqref="W2">
    <cfRule type="expression" dxfId="860" priority="93" stopIfTrue="1">
      <formula>#REF!="DLN"</formula>
    </cfRule>
  </conditionalFormatting>
  <conditionalFormatting sqref="AF3:AF50">
    <cfRule type="expression" dxfId="859" priority="47" stopIfTrue="1">
      <formula>#REF!="DLN"</formula>
    </cfRule>
  </conditionalFormatting>
  <conditionalFormatting sqref="W3:W50">
    <cfRule type="expression" dxfId="858" priority="92" stopIfTrue="1">
      <formula>#REF!="DLN"</formula>
    </cfRule>
  </conditionalFormatting>
  <conditionalFormatting sqref="W3:W50">
    <cfRule type="expression" dxfId="857" priority="91" stopIfTrue="1">
      <formula>#REF!="DLN"</formula>
    </cfRule>
  </conditionalFormatting>
  <conditionalFormatting sqref="S3:S50">
    <cfRule type="expression" dxfId="856" priority="90" stopIfTrue="1">
      <formula>#REF!="DLN"</formula>
    </cfRule>
  </conditionalFormatting>
  <conditionalFormatting sqref="S3:S50">
    <cfRule type="expression" dxfId="855" priority="89" stopIfTrue="1">
      <formula>#REF!="DLN"</formula>
    </cfRule>
  </conditionalFormatting>
  <conditionalFormatting sqref="K3:K50">
    <cfRule type="expression" dxfId="854" priority="88" stopIfTrue="1">
      <formula>#REF!="DLN"</formula>
    </cfRule>
  </conditionalFormatting>
  <conditionalFormatting sqref="K3:K50">
    <cfRule type="expression" dxfId="853" priority="87" stopIfTrue="1">
      <formula>#REF!="DLN"</formula>
    </cfRule>
  </conditionalFormatting>
  <conditionalFormatting sqref="AF3:AF50">
    <cfRule type="expression" dxfId="852" priority="48" stopIfTrue="1">
      <formula>#REF!="DLN"</formula>
    </cfRule>
  </conditionalFormatting>
  <conditionalFormatting sqref="J52">
    <cfRule type="cellIs" dxfId="851" priority="83" stopIfTrue="1" operator="greaterThanOrEqual">
      <formula>0.801</formula>
    </cfRule>
    <cfRule type="cellIs" dxfId="850" priority="84" stopIfTrue="1" operator="between">
      <formula>0.61</formula>
      <formula>0.8</formula>
    </cfRule>
    <cfRule type="cellIs" dxfId="849" priority="85" stopIfTrue="1" operator="between">
      <formula>0</formula>
      <formula>0.6</formula>
    </cfRule>
  </conditionalFormatting>
  <conditionalFormatting sqref="J52">
    <cfRule type="expression" dxfId="848" priority="86" stopIfTrue="1">
      <formula>#REF!="DLN"</formula>
    </cfRule>
  </conditionalFormatting>
  <conditionalFormatting sqref="I52">
    <cfRule type="cellIs" dxfId="847" priority="79" stopIfTrue="1" operator="greaterThanOrEqual">
      <formula>0.801</formula>
    </cfRule>
    <cfRule type="cellIs" dxfId="846" priority="80" stopIfTrue="1" operator="between">
      <formula>0.61</formula>
      <formula>0.8</formula>
    </cfRule>
    <cfRule type="cellIs" dxfId="845" priority="81" stopIfTrue="1" operator="between">
      <formula>0</formula>
      <formula>0.6</formula>
    </cfRule>
  </conditionalFormatting>
  <conditionalFormatting sqref="I52">
    <cfRule type="expression" dxfId="844" priority="82" stopIfTrue="1">
      <formula>#REF!="DLN"</formula>
    </cfRule>
  </conditionalFormatting>
  <conditionalFormatting sqref="M52:N52">
    <cfRule type="cellIs" dxfId="843" priority="75" stopIfTrue="1" operator="greaterThanOrEqual">
      <formula>0.801</formula>
    </cfRule>
    <cfRule type="cellIs" dxfId="842" priority="76" stopIfTrue="1" operator="between">
      <formula>0.61</formula>
      <formula>0.8</formula>
    </cfRule>
    <cfRule type="cellIs" dxfId="841" priority="77" stopIfTrue="1" operator="between">
      <formula>0</formula>
      <formula>0.6</formula>
    </cfRule>
  </conditionalFormatting>
  <conditionalFormatting sqref="M52:N52">
    <cfRule type="expression" dxfId="840" priority="78" stopIfTrue="1">
      <formula>#REF!="DLN"</formula>
    </cfRule>
  </conditionalFormatting>
  <conditionalFormatting sqref="Q52:R52">
    <cfRule type="cellIs" dxfId="839" priority="71" stopIfTrue="1" operator="greaterThanOrEqual">
      <formula>0.801</formula>
    </cfRule>
    <cfRule type="cellIs" dxfId="838" priority="72" stopIfTrue="1" operator="between">
      <formula>0.61</formula>
      <formula>0.8</formula>
    </cfRule>
    <cfRule type="cellIs" dxfId="837" priority="73" stopIfTrue="1" operator="between">
      <formula>0</formula>
      <formula>0.6</formula>
    </cfRule>
  </conditionalFormatting>
  <conditionalFormatting sqref="Q52:R52">
    <cfRule type="expression" dxfId="836" priority="74" stopIfTrue="1">
      <formula>#REF!="DLN"</formula>
    </cfRule>
  </conditionalFormatting>
  <conditionalFormatting sqref="U52:V52">
    <cfRule type="cellIs" dxfId="835" priority="67" stopIfTrue="1" operator="greaterThanOrEqual">
      <formula>0.801</formula>
    </cfRule>
    <cfRule type="cellIs" dxfId="834" priority="68" stopIfTrue="1" operator="between">
      <formula>0.61</formula>
      <formula>0.8</formula>
    </cfRule>
    <cfRule type="cellIs" dxfId="833" priority="69" stopIfTrue="1" operator="between">
      <formula>0</formula>
      <formula>0.6</formula>
    </cfRule>
  </conditionalFormatting>
  <conditionalFormatting sqref="U52:V52">
    <cfRule type="expression" dxfId="832" priority="70" stopIfTrue="1">
      <formula>#REF!="DLN"</formula>
    </cfRule>
  </conditionalFormatting>
  <conditionalFormatting sqref="Y52:Z52">
    <cfRule type="cellIs" dxfId="831" priority="63" stopIfTrue="1" operator="greaterThanOrEqual">
      <formula>0.801</formula>
    </cfRule>
    <cfRule type="cellIs" dxfId="830" priority="64" stopIfTrue="1" operator="between">
      <formula>0.61</formula>
      <formula>0.8</formula>
    </cfRule>
    <cfRule type="cellIs" dxfId="829" priority="65" stopIfTrue="1" operator="between">
      <formula>0</formula>
      <formula>0.6</formula>
    </cfRule>
  </conditionalFormatting>
  <conditionalFormatting sqref="Y52:Z52">
    <cfRule type="expression" dxfId="828" priority="66" stopIfTrue="1">
      <formula>#REF!="DLN"</formula>
    </cfRule>
  </conditionalFormatting>
  <conditionalFormatting sqref="AC52:AD52">
    <cfRule type="cellIs" dxfId="827" priority="59" stopIfTrue="1" operator="greaterThanOrEqual">
      <formula>0.801</formula>
    </cfRule>
    <cfRule type="cellIs" dxfId="826" priority="60" stopIfTrue="1" operator="between">
      <formula>0.61</formula>
      <formula>0.8</formula>
    </cfRule>
    <cfRule type="cellIs" dxfId="825" priority="61" stopIfTrue="1" operator="between">
      <formula>0</formula>
      <formula>0.6</formula>
    </cfRule>
  </conditionalFormatting>
  <conditionalFormatting sqref="AC52:AD52">
    <cfRule type="expression" dxfId="824" priority="62" stopIfTrue="1">
      <formula>#REF!="DLN"</formula>
    </cfRule>
  </conditionalFormatting>
  <conditionalFormatting sqref="G3:G50">
    <cfRule type="expression" dxfId="823" priority="57" stopIfTrue="1">
      <formula>#REF!="DLN"</formula>
    </cfRule>
  </conditionalFormatting>
  <conditionalFormatting sqref="G3:G50">
    <cfRule type="expression" dxfId="822" priority="58" stopIfTrue="1">
      <formula>#REF!="DLN"</formula>
    </cfRule>
  </conditionalFormatting>
  <conditionalFormatting sqref="P3:P50">
    <cfRule type="expression" dxfId="821" priority="56" stopIfTrue="1">
      <formula>#REF!="DLN"</formula>
    </cfRule>
  </conditionalFormatting>
  <conditionalFormatting sqref="P3:P50">
    <cfRule type="expression" dxfId="820" priority="55" stopIfTrue="1">
      <formula>#REF!="DLN"</formula>
    </cfRule>
  </conditionalFormatting>
  <conditionalFormatting sqref="O3:O50">
    <cfRule type="expression" dxfId="819" priority="54" stopIfTrue="1">
      <formula>#REF!="DLN"</formula>
    </cfRule>
  </conditionalFormatting>
  <conditionalFormatting sqref="O3:O50">
    <cfRule type="expression" dxfId="818" priority="53" stopIfTrue="1">
      <formula>#REF!="DLN"</formula>
    </cfRule>
  </conditionalFormatting>
  <conditionalFormatting sqref="H3:H50">
    <cfRule type="expression" dxfId="817" priority="52" stopIfTrue="1">
      <formula>#REF!="DLN"</formula>
    </cfRule>
  </conditionalFormatting>
  <conditionalFormatting sqref="H3:H50">
    <cfRule type="expression" dxfId="816" priority="51" stopIfTrue="1">
      <formula>#REF!="DLN"</formula>
    </cfRule>
  </conditionalFormatting>
  <conditionalFormatting sqref="A8:A50">
    <cfRule type="expression" dxfId="815" priority="50" stopIfTrue="1">
      <formula>#REF!="DLN"</formula>
    </cfRule>
  </conditionalFormatting>
  <conditionalFormatting sqref="A8:A50">
    <cfRule type="expression" dxfId="814" priority="49" stopIfTrue="1">
      <formula>#REF!="DLN"</formula>
    </cfRule>
  </conditionalFormatting>
  <conditionalFormatting sqref="AE2">
    <cfRule type="expression" dxfId="813" priority="46" stopIfTrue="1">
      <formula>#REF!="DLN"</formula>
    </cfRule>
  </conditionalFormatting>
  <conditionalFormatting sqref="AE2">
    <cfRule type="expression" dxfId="812" priority="45" stopIfTrue="1">
      <formula>#REF!="DLN"</formula>
    </cfRule>
  </conditionalFormatting>
  <conditionalFormatting sqref="AE3:AE50">
    <cfRule type="expression" dxfId="811" priority="44" stopIfTrue="1">
      <formula>#REF!="DLN"</formula>
    </cfRule>
  </conditionalFormatting>
  <conditionalFormatting sqref="AE3:AE50">
    <cfRule type="expression" dxfId="810" priority="43" stopIfTrue="1">
      <formula>#REF!="DLN"</formula>
    </cfRule>
  </conditionalFormatting>
  <conditionalFormatting sqref="AG52:AH52">
    <cfRule type="cellIs" dxfId="809" priority="39" stopIfTrue="1" operator="greaterThanOrEqual">
      <formula>0.801</formula>
    </cfRule>
    <cfRule type="cellIs" dxfId="808" priority="40" stopIfTrue="1" operator="between">
      <formula>0.61</formula>
      <formula>0.8</formula>
    </cfRule>
    <cfRule type="cellIs" dxfId="807" priority="41" stopIfTrue="1" operator="between">
      <formula>0</formula>
      <formula>0.6</formula>
    </cfRule>
  </conditionalFormatting>
  <conditionalFormatting sqref="AG52:AH52">
    <cfRule type="expression" dxfId="806" priority="42" stopIfTrue="1">
      <formula>#REF!="DLN"</formula>
    </cfRule>
  </conditionalFormatting>
  <conditionalFormatting sqref="AK52:AL52">
    <cfRule type="cellIs" dxfId="805" priority="35" stopIfTrue="1" operator="greaterThanOrEqual">
      <formula>0.801</formula>
    </cfRule>
    <cfRule type="cellIs" dxfId="804" priority="36" stopIfTrue="1" operator="between">
      <formula>0.61</formula>
      <formula>0.8</formula>
    </cfRule>
    <cfRule type="cellIs" dxfId="803" priority="37" stopIfTrue="1" operator="between">
      <formula>0</formula>
      <formula>0.6</formula>
    </cfRule>
  </conditionalFormatting>
  <conditionalFormatting sqref="AK52:AL52">
    <cfRule type="expression" dxfId="802" priority="38" stopIfTrue="1">
      <formula>#REF!="DLN"</formula>
    </cfRule>
  </conditionalFormatting>
  <conditionalFormatting sqref="AN3:AN50">
    <cfRule type="expression" dxfId="801" priority="34" stopIfTrue="1">
      <formula>#REF!="DLN"</formula>
    </cfRule>
  </conditionalFormatting>
  <conditionalFormatting sqref="AN3:AN50">
    <cfRule type="expression" dxfId="800" priority="33" stopIfTrue="1">
      <formula>#REF!="DLN"</formula>
    </cfRule>
  </conditionalFormatting>
  <conditionalFormatting sqref="AM2">
    <cfRule type="expression" dxfId="799" priority="32" stopIfTrue="1">
      <formula>#REF!="DLN"</formula>
    </cfRule>
  </conditionalFormatting>
  <conditionalFormatting sqref="AM2">
    <cfRule type="expression" dxfId="798" priority="31" stopIfTrue="1">
      <formula>#REF!="DLN"</formula>
    </cfRule>
  </conditionalFormatting>
  <conditionalFormatting sqref="AM3:AM50">
    <cfRule type="expression" dxfId="797" priority="30" stopIfTrue="1">
      <formula>#REF!="DLN"</formula>
    </cfRule>
  </conditionalFormatting>
  <conditionalFormatting sqref="AM3:AM50">
    <cfRule type="expression" dxfId="796" priority="29" stopIfTrue="1">
      <formula>#REF!="DLN"</formula>
    </cfRule>
  </conditionalFormatting>
  <conditionalFormatting sqref="AO52:AP52">
    <cfRule type="cellIs" dxfId="795" priority="25" stopIfTrue="1" operator="greaterThanOrEqual">
      <formula>0.801</formula>
    </cfRule>
    <cfRule type="cellIs" dxfId="794" priority="26" stopIfTrue="1" operator="between">
      <formula>0.61</formula>
      <formula>0.8</formula>
    </cfRule>
    <cfRule type="cellIs" dxfId="793" priority="27" stopIfTrue="1" operator="between">
      <formula>0</formula>
      <formula>0.6</formula>
    </cfRule>
  </conditionalFormatting>
  <conditionalFormatting sqref="AO52:AP52">
    <cfRule type="expression" dxfId="792" priority="28" stopIfTrue="1">
      <formula>#REF!="DLN"</formula>
    </cfRule>
  </conditionalFormatting>
  <conditionalFormatting sqref="AS52:AT52">
    <cfRule type="cellIs" dxfId="791" priority="21" stopIfTrue="1" operator="greaterThanOrEqual">
      <formula>0.801</formula>
    </cfRule>
    <cfRule type="cellIs" dxfId="790" priority="22" stopIfTrue="1" operator="between">
      <formula>0.61</formula>
      <formula>0.8</formula>
    </cfRule>
    <cfRule type="cellIs" dxfId="789" priority="23" stopIfTrue="1" operator="between">
      <formula>0</formula>
      <formula>0.6</formula>
    </cfRule>
  </conditionalFormatting>
  <conditionalFormatting sqref="AS52:AT52">
    <cfRule type="expression" dxfId="788" priority="24" stopIfTrue="1">
      <formula>#REF!="DLN"</formula>
    </cfRule>
  </conditionalFormatting>
  <conditionalFormatting sqref="AV3:AV50">
    <cfRule type="expression" dxfId="787" priority="20" stopIfTrue="1">
      <formula>#REF!="DLN"</formula>
    </cfRule>
  </conditionalFormatting>
  <conditionalFormatting sqref="AV3:AV50">
    <cfRule type="expression" dxfId="786" priority="19" stopIfTrue="1">
      <formula>#REF!="DLN"</formula>
    </cfRule>
  </conditionalFormatting>
  <conditionalFormatting sqref="AU2">
    <cfRule type="expression" dxfId="785" priority="18" stopIfTrue="1">
      <formula>#REF!="DLN"</formula>
    </cfRule>
  </conditionalFormatting>
  <conditionalFormatting sqref="AU2">
    <cfRule type="expression" dxfId="784" priority="17" stopIfTrue="1">
      <formula>#REF!="DLN"</formula>
    </cfRule>
  </conditionalFormatting>
  <conditionalFormatting sqref="AU3:AU50">
    <cfRule type="expression" dxfId="783" priority="16" stopIfTrue="1">
      <formula>#REF!="DLN"</formula>
    </cfRule>
  </conditionalFormatting>
  <conditionalFormatting sqref="AU3:AU50">
    <cfRule type="expression" dxfId="782" priority="15" stopIfTrue="1">
      <formula>#REF!="DLN"</formula>
    </cfRule>
  </conditionalFormatting>
  <conditionalFormatting sqref="AW52:AX52">
    <cfRule type="cellIs" dxfId="781" priority="11" stopIfTrue="1" operator="greaterThanOrEqual">
      <formula>0.801</formula>
    </cfRule>
    <cfRule type="cellIs" dxfId="780" priority="12" stopIfTrue="1" operator="between">
      <formula>0.61</formula>
      <formula>0.8</formula>
    </cfRule>
    <cfRule type="cellIs" dxfId="779" priority="13" stopIfTrue="1" operator="between">
      <formula>0</formula>
      <formula>0.6</formula>
    </cfRule>
  </conditionalFormatting>
  <conditionalFormatting sqref="AW52:AX52">
    <cfRule type="expression" dxfId="778" priority="14" stopIfTrue="1">
      <formula>#REF!="DLN"</formula>
    </cfRule>
  </conditionalFormatting>
  <conditionalFormatting sqref="A6">
    <cfRule type="expression" dxfId="777" priority="10" stopIfTrue="1">
      <formula>#REF!="DLN"</formula>
    </cfRule>
  </conditionalFormatting>
  <conditionalFormatting sqref="A6">
    <cfRule type="expression" dxfId="776" priority="9" stopIfTrue="1">
      <formula>#REF!="DLN"</formula>
    </cfRule>
  </conditionalFormatting>
  <conditionalFormatting sqref="A7">
    <cfRule type="expression" dxfId="775" priority="8" stopIfTrue="1">
      <formula>#REF!="DLN"</formula>
    </cfRule>
  </conditionalFormatting>
  <conditionalFormatting sqref="A7">
    <cfRule type="expression" dxfId="774" priority="7" stopIfTrue="1">
      <formula>#REF!="DLN"</formula>
    </cfRule>
  </conditionalFormatting>
  <conditionalFormatting sqref="A3">
    <cfRule type="expression" dxfId="773" priority="6" stopIfTrue="1">
      <formula>#REF!="DLN"</formula>
    </cfRule>
  </conditionalFormatting>
  <conditionalFormatting sqref="A3">
    <cfRule type="expression" dxfId="772" priority="5" stopIfTrue="1">
      <formula>#REF!="DLN"</formula>
    </cfRule>
  </conditionalFormatting>
  <conditionalFormatting sqref="A4">
    <cfRule type="expression" dxfId="771" priority="4" stopIfTrue="1">
      <formula>#REF!="DLN"</formula>
    </cfRule>
  </conditionalFormatting>
  <conditionalFormatting sqref="A4">
    <cfRule type="expression" dxfId="770" priority="3" stopIfTrue="1">
      <formula>#REF!="DLN"</formula>
    </cfRule>
  </conditionalFormatting>
  <conditionalFormatting sqref="A5">
    <cfRule type="expression" dxfId="769" priority="2" stopIfTrue="1">
      <formula>#REF!="DLN"</formula>
    </cfRule>
  </conditionalFormatting>
  <conditionalFormatting sqref="A5">
    <cfRule type="expression" dxfId="768" priority="1" stopIfTrue="1">
      <formula>#REF!="DLN"</formula>
    </cfRule>
  </conditionalFormatting>
  <dataValidations count="1">
    <dataValidation type="list" allowBlank="1" showInputMessage="1" showErrorMessage="1" sqref="A3:A50" xr:uid="{96F1E6B8-9332-4412-ADF5-5BBA1EAC1633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A9D2A9-6CED-46F6-B139-B3769010153F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BE87-A597-4709-9D95-6D931ECF7AD8}">
  <sheetPr codeName="Sheet23"/>
  <dimension ref="A1:AX62"/>
  <sheetViews>
    <sheetView workbookViewId="0">
      <selection activeCell="A3" sqref="A3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187</v>
      </c>
      <c r="B3" s="24" t="s">
        <v>444</v>
      </c>
      <c r="C3" s="20" t="str">
        <f>IFERROR(VLOOKUP(A3,'Parts List and Volumes'!C2:D194,2,FALSE),"")</f>
        <v>NBAA0025BAF20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244568</v>
      </c>
      <c r="H3" s="41">
        <f>IFERROR(VLOOKUP($A3,'Parts List and Volumes'!$C$2:$W194,6,FALSE),"")</f>
        <v>294304.8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0</v>
      </c>
      <c r="L3" s="45">
        <f>IFERROR(VLOOKUP($A3,'Parts List and Volumes'!$C$2:$W194,8,FALSE),"")</f>
        <v>268240.8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237000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195441.6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40497.599999999999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/>
      <c r="B4" s="24"/>
      <c r="C4" s="20" t="str">
        <f>IFERROR(VLOOKUP(A4,'Parts List and Volumes'!C3:D195,2,FALSE),"")</f>
        <v/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/>
      <c r="G4" s="40" t="str">
        <f>IFERROR(VLOOKUP($A4,'Parts List and Volumes'!$C$2:$W195,5,FALSE),"")</f>
        <v/>
      </c>
      <c r="H4" s="41" t="str">
        <f>IFERROR(VLOOKUP($A4,'Parts List and Volumes'!$C$2:$W195,6,FALSE),"")</f>
        <v/>
      </c>
      <c r="I4" s="42" t="str">
        <f t="shared" si="0"/>
        <v/>
      </c>
      <c r="J4" s="43" t="str">
        <f t="shared" si="0"/>
        <v/>
      </c>
      <c r="K4" s="44" t="str">
        <f>IFERROR(VLOOKUP($A4,'Parts List and Volumes'!$C$2:$W195,7,FALSE),"")</f>
        <v/>
      </c>
      <c r="L4" s="45" t="str">
        <f>IFERROR(VLOOKUP($A4,'Parts List and Volumes'!$C$2:$W195,8,FALSE),"")</f>
        <v/>
      </c>
      <c r="M4" s="46" t="str">
        <f t="shared" si="1"/>
        <v/>
      </c>
      <c r="N4" s="47" t="str">
        <f t="shared" si="1"/>
        <v/>
      </c>
      <c r="O4" s="41" t="str">
        <f>IFERROR(VLOOKUP($A4,'Parts List and Volumes'!$C$2:$W195,9,FALSE),"")</f>
        <v/>
      </c>
      <c r="P4" s="41" t="str">
        <f>IFERROR(VLOOKUP($A4,'Parts List and Volumes'!$C$2:$W195,10,FALSE),"")</f>
        <v/>
      </c>
      <c r="Q4" s="48" t="str">
        <f t="shared" si="2"/>
        <v/>
      </c>
      <c r="R4" s="43" t="str">
        <f t="shared" si="2"/>
        <v/>
      </c>
      <c r="S4" s="44" t="str">
        <f>IFERROR(VLOOKUP($A4,'Parts List and Volumes'!$C$2:$W195,11,FALSE),"")</f>
        <v/>
      </c>
      <c r="T4" s="45" t="str">
        <f>IFERROR(VLOOKUP($A4,'Parts List and Volumes'!$C$2:$W195,12,FALSE),"")</f>
        <v/>
      </c>
      <c r="U4" s="46" t="str">
        <f t="shared" si="3"/>
        <v/>
      </c>
      <c r="V4" s="47" t="str">
        <f t="shared" si="3"/>
        <v/>
      </c>
      <c r="W4" s="40" t="str">
        <f>IFERROR(VLOOKUP($A4,'Parts List and Volumes'!$C$2:$W195,13,FALSE),"")</f>
        <v/>
      </c>
      <c r="X4" s="41" t="str">
        <f>IFERROR(VLOOKUP($A4,'Parts List and Volumes'!$C$2:$W195,14,FALSE),"")</f>
        <v/>
      </c>
      <c r="Y4" s="48" t="str">
        <f t="shared" si="4"/>
        <v/>
      </c>
      <c r="Z4" s="43" t="str">
        <f t="shared" si="4"/>
        <v/>
      </c>
      <c r="AA4" s="49" t="str">
        <f>IFERROR(VLOOKUP($A4,'Parts List and Volumes'!$C$2:$W195,15,FALSE),"")</f>
        <v/>
      </c>
      <c r="AB4" s="50" t="str">
        <f>IFERROR(VLOOKUP($A4,'Parts List and Volumes'!$C$2:$W195,16,FALSE),"")</f>
        <v/>
      </c>
      <c r="AC4" s="51" t="str">
        <f t="shared" si="5"/>
        <v/>
      </c>
      <c r="AD4" s="52" t="str">
        <f t="shared" si="5"/>
        <v/>
      </c>
      <c r="AE4" s="40" t="str">
        <f>IFERROR(VLOOKUP($A4,'Parts List and Volumes'!$C$2:$W195,17,FALSE),"")</f>
        <v/>
      </c>
      <c r="AF4" s="41" t="str">
        <f>IFERROR(VLOOKUP($A4,'Parts List and Volumes'!$C$2:$W195,18,FALSE),"")</f>
        <v/>
      </c>
      <c r="AG4" s="48" t="str">
        <f t="shared" si="6"/>
        <v/>
      </c>
      <c r="AH4" s="43" t="str">
        <f t="shared" si="6"/>
        <v/>
      </c>
      <c r="AI4" s="49" t="str">
        <f>IFERROR(VLOOKUP($A4,'Parts List and Volumes'!$C$2:$W195,19,FALSE),"")</f>
        <v/>
      </c>
      <c r="AJ4" s="50" t="str">
        <f>IFERROR(VLOOKUP($A4,'Parts List and Volumes'!$C$2:$W195,20,FALSE),"")</f>
        <v/>
      </c>
      <c r="AK4" s="51" t="str">
        <f t="shared" si="7"/>
        <v/>
      </c>
      <c r="AL4" s="52" t="str">
        <f t="shared" si="7"/>
        <v/>
      </c>
      <c r="AM4" s="40" t="str">
        <f>IFERROR(VLOOKUP($A4,'Parts List and Volumes'!$C$2:$W195,21,FALSE),"")</f>
        <v/>
      </c>
      <c r="AN4" s="41" t="str">
        <f>IFERROR(VLOOKUP($A4,'Parts List and Volumes'!$C$2:$W195,22,FALSE),"")</f>
        <v/>
      </c>
      <c r="AO4" s="48" t="str">
        <f t="shared" si="8"/>
        <v/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0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1"/>
        <v/>
      </c>
      <c r="N5" s="47" t="str">
        <f t="shared" si="1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2"/>
        <v/>
      </c>
      <c r="R5" s="43" t="str">
        <f t="shared" si="2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3"/>
        <v/>
      </c>
      <c r="V5" s="47" t="str">
        <f t="shared" si="3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4"/>
        <v/>
      </c>
      <c r="Z5" s="43" t="str">
        <f t="shared" si="4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5"/>
        <v/>
      </c>
      <c r="AD5" s="52" t="str">
        <f t="shared" si="5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6"/>
        <v/>
      </c>
      <c r="AH5" s="43" t="str">
        <f t="shared" si="6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7"/>
        <v/>
      </c>
      <c r="AL5" s="52" t="str">
        <f t="shared" si="7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8"/>
        <v/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217" priority="110" stopIfTrue="1">
      <formula>#REF!="DLN"</formula>
    </cfRule>
  </conditionalFormatting>
  <conditionalFormatting sqref="F3:F7 D3:E50">
    <cfRule type="expression" dxfId="216" priority="109" stopIfTrue="1">
      <formula>#REF!="DLN"</formula>
    </cfRule>
  </conditionalFormatting>
  <conditionalFormatting sqref="L3:L50">
    <cfRule type="expression" dxfId="215" priority="108" stopIfTrue="1">
      <formula>#REF!="DLN"</formula>
    </cfRule>
  </conditionalFormatting>
  <conditionalFormatting sqref="L3:L50">
    <cfRule type="expression" dxfId="214" priority="107" stopIfTrue="1">
      <formula>#REF!="DLN"</formula>
    </cfRule>
  </conditionalFormatting>
  <conditionalFormatting sqref="T3:T50">
    <cfRule type="expression" dxfId="213" priority="106" stopIfTrue="1">
      <formula>#REF!="DLN"</formula>
    </cfRule>
  </conditionalFormatting>
  <conditionalFormatting sqref="T3:T50">
    <cfRule type="expression" dxfId="212" priority="105" stopIfTrue="1">
      <formula>#REF!="DLN"</formula>
    </cfRule>
  </conditionalFormatting>
  <conditionalFormatting sqref="X3:X50">
    <cfRule type="expression" dxfId="211" priority="104" stopIfTrue="1">
      <formula>#REF!="DLN"</formula>
    </cfRule>
  </conditionalFormatting>
  <conditionalFormatting sqref="X3:X50">
    <cfRule type="expression" dxfId="210" priority="103" stopIfTrue="1">
      <formula>#REF!="DLN"</formula>
    </cfRule>
  </conditionalFormatting>
  <conditionalFormatting sqref="G2">
    <cfRule type="expression" dxfId="209" priority="102" stopIfTrue="1">
      <formula>#REF!="DLN"</formula>
    </cfRule>
  </conditionalFormatting>
  <conditionalFormatting sqref="G2">
    <cfRule type="expression" dxfId="208" priority="101" stopIfTrue="1">
      <formula>#REF!="DLN"</formula>
    </cfRule>
  </conditionalFormatting>
  <conditionalFormatting sqref="K2">
    <cfRule type="expression" dxfId="207" priority="100" stopIfTrue="1">
      <formula>#REF!="DLN"</formula>
    </cfRule>
  </conditionalFormatting>
  <conditionalFormatting sqref="K2">
    <cfRule type="expression" dxfId="206" priority="99" stopIfTrue="1">
      <formula>#REF!="DLN"</formula>
    </cfRule>
  </conditionalFormatting>
  <conditionalFormatting sqref="O2">
    <cfRule type="expression" dxfId="205" priority="98" stopIfTrue="1">
      <formula>#REF!="DLN"</formula>
    </cfRule>
  </conditionalFormatting>
  <conditionalFormatting sqref="O2">
    <cfRule type="expression" dxfId="204" priority="97" stopIfTrue="1">
      <formula>#REF!="DLN"</formula>
    </cfRule>
  </conditionalFormatting>
  <conditionalFormatting sqref="S2">
    <cfRule type="expression" dxfId="203" priority="96" stopIfTrue="1">
      <formula>#REF!="DLN"</formula>
    </cfRule>
  </conditionalFormatting>
  <conditionalFormatting sqref="S2">
    <cfRule type="expression" dxfId="202" priority="95" stopIfTrue="1">
      <formula>#REF!="DLN"</formula>
    </cfRule>
  </conditionalFormatting>
  <conditionalFormatting sqref="W2">
    <cfRule type="expression" dxfId="201" priority="94" stopIfTrue="1">
      <formula>#REF!="DLN"</formula>
    </cfRule>
  </conditionalFormatting>
  <conditionalFormatting sqref="W2">
    <cfRule type="expression" dxfId="200" priority="93" stopIfTrue="1">
      <formula>#REF!="DLN"</formula>
    </cfRule>
  </conditionalFormatting>
  <conditionalFormatting sqref="AF3:AF50">
    <cfRule type="expression" dxfId="199" priority="47" stopIfTrue="1">
      <formula>#REF!="DLN"</formula>
    </cfRule>
  </conditionalFormatting>
  <conditionalFormatting sqref="W3:W50">
    <cfRule type="expression" dxfId="198" priority="92" stopIfTrue="1">
      <formula>#REF!="DLN"</formula>
    </cfRule>
  </conditionalFormatting>
  <conditionalFormatting sqref="W3:W50">
    <cfRule type="expression" dxfId="197" priority="91" stopIfTrue="1">
      <formula>#REF!="DLN"</formula>
    </cfRule>
  </conditionalFormatting>
  <conditionalFormatting sqref="S3:S50">
    <cfRule type="expression" dxfId="196" priority="90" stopIfTrue="1">
      <formula>#REF!="DLN"</formula>
    </cfRule>
  </conditionalFormatting>
  <conditionalFormatting sqref="S3:S50">
    <cfRule type="expression" dxfId="195" priority="89" stopIfTrue="1">
      <formula>#REF!="DLN"</formula>
    </cfRule>
  </conditionalFormatting>
  <conditionalFormatting sqref="K3:K50">
    <cfRule type="expression" dxfId="194" priority="88" stopIfTrue="1">
      <formula>#REF!="DLN"</formula>
    </cfRule>
  </conditionalFormatting>
  <conditionalFormatting sqref="K3:K50">
    <cfRule type="expression" dxfId="193" priority="87" stopIfTrue="1">
      <formula>#REF!="DLN"</formula>
    </cfRule>
  </conditionalFormatting>
  <conditionalFormatting sqref="AF3:AF50">
    <cfRule type="expression" dxfId="192" priority="48" stopIfTrue="1">
      <formula>#REF!="DLN"</formula>
    </cfRule>
  </conditionalFormatting>
  <conditionalFormatting sqref="J52">
    <cfRule type="cellIs" dxfId="191" priority="83" stopIfTrue="1" operator="greaterThanOrEqual">
      <formula>0.801</formula>
    </cfRule>
    <cfRule type="cellIs" dxfId="190" priority="84" stopIfTrue="1" operator="between">
      <formula>0.61</formula>
      <formula>0.8</formula>
    </cfRule>
    <cfRule type="cellIs" dxfId="189" priority="85" stopIfTrue="1" operator="between">
      <formula>0</formula>
      <formula>0.6</formula>
    </cfRule>
  </conditionalFormatting>
  <conditionalFormatting sqref="J52">
    <cfRule type="expression" dxfId="188" priority="86" stopIfTrue="1">
      <formula>#REF!="DLN"</formula>
    </cfRule>
  </conditionalFormatting>
  <conditionalFormatting sqref="I52">
    <cfRule type="cellIs" dxfId="187" priority="79" stopIfTrue="1" operator="greaterThanOrEqual">
      <formula>0.801</formula>
    </cfRule>
    <cfRule type="cellIs" dxfId="186" priority="80" stopIfTrue="1" operator="between">
      <formula>0.61</formula>
      <formula>0.8</formula>
    </cfRule>
    <cfRule type="cellIs" dxfId="185" priority="81" stopIfTrue="1" operator="between">
      <formula>0</formula>
      <formula>0.6</formula>
    </cfRule>
  </conditionalFormatting>
  <conditionalFormatting sqref="I52">
    <cfRule type="expression" dxfId="184" priority="82" stopIfTrue="1">
      <formula>#REF!="DLN"</formula>
    </cfRule>
  </conditionalFormatting>
  <conditionalFormatting sqref="M52:N52">
    <cfRule type="cellIs" dxfId="183" priority="75" stopIfTrue="1" operator="greaterThanOrEqual">
      <formula>0.801</formula>
    </cfRule>
    <cfRule type="cellIs" dxfId="182" priority="76" stopIfTrue="1" operator="between">
      <formula>0.61</formula>
      <formula>0.8</formula>
    </cfRule>
    <cfRule type="cellIs" dxfId="181" priority="77" stopIfTrue="1" operator="between">
      <formula>0</formula>
      <formula>0.6</formula>
    </cfRule>
  </conditionalFormatting>
  <conditionalFormatting sqref="M52:N52">
    <cfRule type="expression" dxfId="180" priority="78" stopIfTrue="1">
      <formula>#REF!="DLN"</formula>
    </cfRule>
  </conditionalFormatting>
  <conditionalFormatting sqref="Q52:R52">
    <cfRule type="cellIs" dxfId="179" priority="71" stopIfTrue="1" operator="greaterThanOrEqual">
      <formula>0.801</formula>
    </cfRule>
    <cfRule type="cellIs" dxfId="178" priority="72" stopIfTrue="1" operator="between">
      <formula>0.61</formula>
      <formula>0.8</formula>
    </cfRule>
    <cfRule type="cellIs" dxfId="177" priority="73" stopIfTrue="1" operator="between">
      <formula>0</formula>
      <formula>0.6</formula>
    </cfRule>
  </conditionalFormatting>
  <conditionalFormatting sqref="Q52:R52">
    <cfRule type="expression" dxfId="176" priority="74" stopIfTrue="1">
      <formula>#REF!="DLN"</formula>
    </cfRule>
  </conditionalFormatting>
  <conditionalFormatting sqref="U52:V52">
    <cfRule type="cellIs" dxfId="175" priority="67" stopIfTrue="1" operator="greaterThanOrEqual">
      <formula>0.801</formula>
    </cfRule>
    <cfRule type="cellIs" dxfId="174" priority="68" stopIfTrue="1" operator="between">
      <formula>0.61</formula>
      <formula>0.8</formula>
    </cfRule>
    <cfRule type="cellIs" dxfId="173" priority="69" stopIfTrue="1" operator="between">
      <formula>0</formula>
      <formula>0.6</formula>
    </cfRule>
  </conditionalFormatting>
  <conditionalFormatting sqref="U52:V52">
    <cfRule type="expression" dxfId="172" priority="70" stopIfTrue="1">
      <formula>#REF!="DLN"</formula>
    </cfRule>
  </conditionalFormatting>
  <conditionalFormatting sqref="Y52:Z52">
    <cfRule type="cellIs" dxfId="171" priority="63" stopIfTrue="1" operator="greaterThanOrEqual">
      <formula>0.801</formula>
    </cfRule>
    <cfRule type="cellIs" dxfId="170" priority="64" stopIfTrue="1" operator="between">
      <formula>0.61</formula>
      <formula>0.8</formula>
    </cfRule>
    <cfRule type="cellIs" dxfId="169" priority="65" stopIfTrue="1" operator="between">
      <formula>0</formula>
      <formula>0.6</formula>
    </cfRule>
  </conditionalFormatting>
  <conditionalFormatting sqref="Y52:Z52">
    <cfRule type="expression" dxfId="168" priority="66" stopIfTrue="1">
      <formula>#REF!="DLN"</formula>
    </cfRule>
  </conditionalFormatting>
  <conditionalFormatting sqref="AC52:AD52">
    <cfRule type="cellIs" dxfId="167" priority="59" stopIfTrue="1" operator="greaterThanOrEqual">
      <formula>0.801</formula>
    </cfRule>
    <cfRule type="cellIs" dxfId="166" priority="60" stopIfTrue="1" operator="between">
      <formula>0.61</formula>
      <formula>0.8</formula>
    </cfRule>
    <cfRule type="cellIs" dxfId="165" priority="61" stopIfTrue="1" operator="between">
      <formula>0</formula>
      <formula>0.6</formula>
    </cfRule>
  </conditionalFormatting>
  <conditionalFormatting sqref="AC52:AD52">
    <cfRule type="expression" dxfId="164" priority="62" stopIfTrue="1">
      <formula>#REF!="DLN"</formula>
    </cfRule>
  </conditionalFormatting>
  <conditionalFormatting sqref="G3:G50">
    <cfRule type="expression" dxfId="163" priority="57" stopIfTrue="1">
      <formula>#REF!="DLN"</formula>
    </cfRule>
  </conditionalFormatting>
  <conditionalFormatting sqref="G3:G50">
    <cfRule type="expression" dxfId="162" priority="58" stopIfTrue="1">
      <formula>#REF!="DLN"</formula>
    </cfRule>
  </conditionalFormatting>
  <conditionalFormatting sqref="P3:P50">
    <cfRule type="expression" dxfId="161" priority="56" stopIfTrue="1">
      <formula>#REF!="DLN"</formula>
    </cfRule>
  </conditionalFormatting>
  <conditionalFormatting sqref="P3:P50">
    <cfRule type="expression" dxfId="160" priority="55" stopIfTrue="1">
      <formula>#REF!="DLN"</formula>
    </cfRule>
  </conditionalFormatting>
  <conditionalFormatting sqref="O3:O50">
    <cfRule type="expression" dxfId="159" priority="54" stopIfTrue="1">
      <formula>#REF!="DLN"</formula>
    </cfRule>
  </conditionalFormatting>
  <conditionalFormatting sqref="O3:O50">
    <cfRule type="expression" dxfId="158" priority="53" stopIfTrue="1">
      <formula>#REF!="DLN"</formula>
    </cfRule>
  </conditionalFormatting>
  <conditionalFormatting sqref="H3:H50">
    <cfRule type="expression" dxfId="157" priority="52" stopIfTrue="1">
      <formula>#REF!="DLN"</formula>
    </cfRule>
  </conditionalFormatting>
  <conditionalFormatting sqref="H3:H50">
    <cfRule type="expression" dxfId="156" priority="51" stopIfTrue="1">
      <formula>#REF!="DLN"</formula>
    </cfRule>
  </conditionalFormatting>
  <conditionalFormatting sqref="A8:A50">
    <cfRule type="expression" dxfId="155" priority="50" stopIfTrue="1">
      <formula>#REF!="DLN"</formula>
    </cfRule>
  </conditionalFormatting>
  <conditionalFormatting sqref="A8:A50">
    <cfRule type="expression" dxfId="154" priority="49" stopIfTrue="1">
      <formula>#REF!="DLN"</formula>
    </cfRule>
  </conditionalFormatting>
  <conditionalFormatting sqref="AE2">
    <cfRule type="expression" dxfId="153" priority="46" stopIfTrue="1">
      <formula>#REF!="DLN"</formula>
    </cfRule>
  </conditionalFormatting>
  <conditionalFormatting sqref="AE2">
    <cfRule type="expression" dxfId="152" priority="45" stopIfTrue="1">
      <formula>#REF!="DLN"</formula>
    </cfRule>
  </conditionalFormatting>
  <conditionalFormatting sqref="AE3:AE50">
    <cfRule type="expression" dxfId="151" priority="44" stopIfTrue="1">
      <formula>#REF!="DLN"</formula>
    </cfRule>
  </conditionalFormatting>
  <conditionalFormatting sqref="AE3:AE50">
    <cfRule type="expression" dxfId="150" priority="43" stopIfTrue="1">
      <formula>#REF!="DLN"</formula>
    </cfRule>
  </conditionalFormatting>
  <conditionalFormatting sqref="AG52:AH52">
    <cfRule type="cellIs" dxfId="149" priority="39" stopIfTrue="1" operator="greaterThanOrEqual">
      <formula>0.801</formula>
    </cfRule>
    <cfRule type="cellIs" dxfId="148" priority="40" stopIfTrue="1" operator="between">
      <formula>0.61</formula>
      <formula>0.8</formula>
    </cfRule>
    <cfRule type="cellIs" dxfId="147" priority="41" stopIfTrue="1" operator="between">
      <formula>0</formula>
      <formula>0.6</formula>
    </cfRule>
  </conditionalFormatting>
  <conditionalFormatting sqref="AG52:AH52">
    <cfRule type="expression" dxfId="146" priority="42" stopIfTrue="1">
      <formula>#REF!="DLN"</formula>
    </cfRule>
  </conditionalFormatting>
  <conditionalFormatting sqref="AK52:AL52">
    <cfRule type="cellIs" dxfId="145" priority="35" stopIfTrue="1" operator="greaterThanOrEqual">
      <formula>0.801</formula>
    </cfRule>
    <cfRule type="cellIs" dxfId="144" priority="36" stopIfTrue="1" operator="between">
      <formula>0.61</formula>
      <formula>0.8</formula>
    </cfRule>
    <cfRule type="cellIs" dxfId="143" priority="37" stopIfTrue="1" operator="between">
      <formula>0</formula>
      <formula>0.6</formula>
    </cfRule>
  </conditionalFormatting>
  <conditionalFormatting sqref="AK52:AL52">
    <cfRule type="expression" dxfId="142" priority="38" stopIfTrue="1">
      <formula>#REF!="DLN"</formula>
    </cfRule>
  </conditionalFormatting>
  <conditionalFormatting sqref="AN3:AN50">
    <cfRule type="expression" dxfId="141" priority="34" stopIfTrue="1">
      <formula>#REF!="DLN"</formula>
    </cfRule>
  </conditionalFormatting>
  <conditionalFormatting sqref="AN3:AN50">
    <cfRule type="expression" dxfId="140" priority="33" stopIfTrue="1">
      <formula>#REF!="DLN"</formula>
    </cfRule>
  </conditionalFormatting>
  <conditionalFormatting sqref="AM2">
    <cfRule type="expression" dxfId="139" priority="32" stopIfTrue="1">
      <formula>#REF!="DLN"</formula>
    </cfRule>
  </conditionalFormatting>
  <conditionalFormatting sqref="AM2">
    <cfRule type="expression" dxfId="138" priority="31" stopIfTrue="1">
      <formula>#REF!="DLN"</formula>
    </cfRule>
  </conditionalFormatting>
  <conditionalFormatting sqref="AM3:AM50">
    <cfRule type="expression" dxfId="137" priority="30" stopIfTrue="1">
      <formula>#REF!="DLN"</formula>
    </cfRule>
  </conditionalFormatting>
  <conditionalFormatting sqref="AM3:AM50">
    <cfRule type="expression" dxfId="136" priority="29" stopIfTrue="1">
      <formula>#REF!="DLN"</formula>
    </cfRule>
  </conditionalFormatting>
  <conditionalFormatting sqref="AO52:AP52">
    <cfRule type="cellIs" dxfId="135" priority="25" stopIfTrue="1" operator="greaterThanOrEqual">
      <formula>0.801</formula>
    </cfRule>
    <cfRule type="cellIs" dxfId="134" priority="26" stopIfTrue="1" operator="between">
      <formula>0.61</formula>
      <formula>0.8</formula>
    </cfRule>
    <cfRule type="cellIs" dxfId="133" priority="27" stopIfTrue="1" operator="between">
      <formula>0</formula>
      <formula>0.6</formula>
    </cfRule>
  </conditionalFormatting>
  <conditionalFormatting sqref="AO52:AP52">
    <cfRule type="expression" dxfId="132" priority="28" stopIfTrue="1">
      <formula>#REF!="DLN"</formula>
    </cfRule>
  </conditionalFormatting>
  <conditionalFormatting sqref="AS52:AT52">
    <cfRule type="cellIs" dxfId="131" priority="21" stopIfTrue="1" operator="greaterThanOrEqual">
      <formula>0.801</formula>
    </cfRule>
    <cfRule type="cellIs" dxfId="130" priority="22" stopIfTrue="1" operator="between">
      <formula>0.61</formula>
      <formula>0.8</formula>
    </cfRule>
    <cfRule type="cellIs" dxfId="129" priority="23" stopIfTrue="1" operator="between">
      <formula>0</formula>
      <formula>0.6</formula>
    </cfRule>
  </conditionalFormatting>
  <conditionalFormatting sqref="AS52:AT52">
    <cfRule type="expression" dxfId="128" priority="24" stopIfTrue="1">
      <formula>#REF!="DLN"</formula>
    </cfRule>
  </conditionalFormatting>
  <conditionalFormatting sqref="AV3:AV50">
    <cfRule type="expression" dxfId="127" priority="20" stopIfTrue="1">
      <formula>#REF!="DLN"</formula>
    </cfRule>
  </conditionalFormatting>
  <conditionalFormatting sqref="AV3:AV50">
    <cfRule type="expression" dxfId="126" priority="19" stopIfTrue="1">
      <formula>#REF!="DLN"</formula>
    </cfRule>
  </conditionalFormatting>
  <conditionalFormatting sqref="AU2">
    <cfRule type="expression" dxfId="125" priority="18" stopIfTrue="1">
      <formula>#REF!="DLN"</formula>
    </cfRule>
  </conditionalFormatting>
  <conditionalFormatting sqref="AU2">
    <cfRule type="expression" dxfId="124" priority="17" stopIfTrue="1">
      <formula>#REF!="DLN"</formula>
    </cfRule>
  </conditionalFormatting>
  <conditionalFormatting sqref="AU3:AU50">
    <cfRule type="expression" dxfId="123" priority="16" stopIfTrue="1">
      <formula>#REF!="DLN"</formula>
    </cfRule>
  </conditionalFormatting>
  <conditionalFormatting sqref="AU3:AU50">
    <cfRule type="expression" dxfId="122" priority="15" stopIfTrue="1">
      <formula>#REF!="DLN"</formula>
    </cfRule>
  </conditionalFormatting>
  <conditionalFormatting sqref="AW52:AX52">
    <cfRule type="cellIs" dxfId="121" priority="11" stopIfTrue="1" operator="greaterThanOrEqual">
      <formula>0.801</formula>
    </cfRule>
    <cfRule type="cellIs" dxfId="120" priority="12" stopIfTrue="1" operator="between">
      <formula>0.61</formula>
      <formula>0.8</formula>
    </cfRule>
    <cfRule type="cellIs" dxfId="119" priority="13" stopIfTrue="1" operator="between">
      <formula>0</formula>
      <formula>0.6</formula>
    </cfRule>
  </conditionalFormatting>
  <conditionalFormatting sqref="AW52:AX52">
    <cfRule type="expression" dxfId="118" priority="14" stopIfTrue="1">
      <formula>#REF!="DLN"</formula>
    </cfRule>
  </conditionalFormatting>
  <conditionalFormatting sqref="A6">
    <cfRule type="expression" dxfId="117" priority="10" stopIfTrue="1">
      <formula>#REF!="DLN"</formula>
    </cfRule>
  </conditionalFormatting>
  <conditionalFormatting sqref="A6">
    <cfRule type="expression" dxfId="116" priority="9" stopIfTrue="1">
      <formula>#REF!="DLN"</formula>
    </cfRule>
  </conditionalFormatting>
  <conditionalFormatting sqref="A7">
    <cfRule type="expression" dxfId="115" priority="8" stopIfTrue="1">
      <formula>#REF!="DLN"</formula>
    </cfRule>
  </conditionalFormatting>
  <conditionalFormatting sqref="A7">
    <cfRule type="expression" dxfId="114" priority="7" stopIfTrue="1">
      <formula>#REF!="DLN"</formula>
    </cfRule>
  </conditionalFormatting>
  <conditionalFormatting sqref="A3">
    <cfRule type="expression" dxfId="113" priority="6" stopIfTrue="1">
      <formula>#REF!="DLN"</formula>
    </cfRule>
  </conditionalFormatting>
  <conditionalFormatting sqref="A3">
    <cfRule type="expression" dxfId="112" priority="5" stopIfTrue="1">
      <formula>#REF!="DLN"</formula>
    </cfRule>
  </conditionalFormatting>
  <conditionalFormatting sqref="A4">
    <cfRule type="expression" dxfId="111" priority="4" stopIfTrue="1">
      <formula>#REF!="DLN"</formula>
    </cfRule>
  </conditionalFormatting>
  <conditionalFormatting sqref="A4">
    <cfRule type="expression" dxfId="110" priority="3" stopIfTrue="1">
      <formula>#REF!="DLN"</formula>
    </cfRule>
  </conditionalFormatting>
  <conditionalFormatting sqref="A5">
    <cfRule type="expression" dxfId="109" priority="2" stopIfTrue="1">
      <formula>#REF!="DLN"</formula>
    </cfRule>
  </conditionalFormatting>
  <conditionalFormatting sqref="A5">
    <cfRule type="expression" dxfId="108" priority="1" stopIfTrue="1">
      <formula>#REF!="DLN"</formula>
    </cfRule>
  </conditionalFormatting>
  <dataValidations count="1">
    <dataValidation type="list" allowBlank="1" showInputMessage="1" showErrorMessage="1" sqref="A3:A50" xr:uid="{8C75E634-68E1-4CFE-BDAF-3139688C0147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855B66-3846-447E-A09C-7746A6CE32D0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A98F-00B1-4951-A404-005686EF51AE}">
  <sheetPr codeName="Sheet21"/>
  <dimension ref="A1:AX62"/>
  <sheetViews>
    <sheetView workbookViewId="0">
      <selection activeCell="A3" sqref="A3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191</v>
      </c>
      <c r="B3" s="24" t="s">
        <v>444</v>
      </c>
      <c r="C3" s="20" t="str">
        <f>IFERROR(VLOOKUP(A3,'Parts List and Volumes'!C2:D194,2,FALSE),"")</f>
        <v>NBAA0027BAF20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244168</v>
      </c>
      <c r="H3" s="41">
        <f>IFERROR(VLOOKUP($A3,'Parts List and Volumes'!$C$2:$W194,6,FALSE),"")</f>
        <v>294304.8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0</v>
      </c>
      <c r="L3" s="45">
        <f>IFERROR(VLOOKUP($A3,'Parts List and Volumes'!$C$2:$W194,8,FALSE),"")</f>
        <v>268240.8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237000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195441.6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40497.599999999999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/>
      <c r="B4" s="24"/>
      <c r="C4" s="20" t="str">
        <f>IFERROR(VLOOKUP(A4,'Parts List and Volumes'!C3:D195,2,FALSE),"")</f>
        <v/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/>
      <c r="G4" s="40" t="str">
        <f>IFERROR(VLOOKUP($A4,'Parts List and Volumes'!$C$2:$W195,5,FALSE),"")</f>
        <v/>
      </c>
      <c r="H4" s="41" t="str">
        <f>IFERROR(VLOOKUP($A4,'Parts List and Volumes'!$C$2:$W195,6,FALSE),"")</f>
        <v/>
      </c>
      <c r="I4" s="42" t="str">
        <f t="shared" si="0"/>
        <v/>
      </c>
      <c r="J4" s="43" t="str">
        <f t="shared" si="0"/>
        <v/>
      </c>
      <c r="K4" s="44" t="str">
        <f>IFERROR(VLOOKUP($A4,'Parts List and Volumes'!$C$2:$W195,7,FALSE),"")</f>
        <v/>
      </c>
      <c r="L4" s="45" t="str">
        <f>IFERROR(VLOOKUP($A4,'Parts List and Volumes'!$C$2:$W195,8,FALSE),"")</f>
        <v/>
      </c>
      <c r="M4" s="46" t="str">
        <f t="shared" si="1"/>
        <v/>
      </c>
      <c r="N4" s="47" t="str">
        <f t="shared" si="1"/>
        <v/>
      </c>
      <c r="O4" s="41" t="str">
        <f>IFERROR(VLOOKUP($A4,'Parts List and Volumes'!$C$2:$W195,9,FALSE),"")</f>
        <v/>
      </c>
      <c r="P4" s="41" t="str">
        <f>IFERROR(VLOOKUP($A4,'Parts List and Volumes'!$C$2:$W195,10,FALSE),"")</f>
        <v/>
      </c>
      <c r="Q4" s="48" t="str">
        <f t="shared" si="2"/>
        <v/>
      </c>
      <c r="R4" s="43" t="str">
        <f t="shared" si="2"/>
        <v/>
      </c>
      <c r="S4" s="44" t="str">
        <f>IFERROR(VLOOKUP($A4,'Parts List and Volumes'!$C$2:$W195,11,FALSE),"")</f>
        <v/>
      </c>
      <c r="T4" s="45" t="str">
        <f>IFERROR(VLOOKUP($A4,'Parts List and Volumes'!$C$2:$W195,12,FALSE),"")</f>
        <v/>
      </c>
      <c r="U4" s="46" t="str">
        <f t="shared" si="3"/>
        <v/>
      </c>
      <c r="V4" s="47" t="str">
        <f t="shared" si="3"/>
        <v/>
      </c>
      <c r="W4" s="40" t="str">
        <f>IFERROR(VLOOKUP($A4,'Parts List and Volumes'!$C$2:$W195,13,FALSE),"")</f>
        <v/>
      </c>
      <c r="X4" s="41" t="str">
        <f>IFERROR(VLOOKUP($A4,'Parts List and Volumes'!$C$2:$W195,14,FALSE),"")</f>
        <v/>
      </c>
      <c r="Y4" s="48" t="str">
        <f t="shared" si="4"/>
        <v/>
      </c>
      <c r="Z4" s="43" t="str">
        <f t="shared" si="4"/>
        <v/>
      </c>
      <c r="AA4" s="49" t="str">
        <f>IFERROR(VLOOKUP($A4,'Parts List and Volumes'!$C$2:$W195,15,FALSE),"")</f>
        <v/>
      </c>
      <c r="AB4" s="50" t="str">
        <f>IFERROR(VLOOKUP($A4,'Parts List and Volumes'!$C$2:$W195,16,FALSE),"")</f>
        <v/>
      </c>
      <c r="AC4" s="51" t="str">
        <f t="shared" si="5"/>
        <v/>
      </c>
      <c r="AD4" s="52" t="str">
        <f t="shared" si="5"/>
        <v/>
      </c>
      <c r="AE4" s="40" t="str">
        <f>IFERROR(VLOOKUP($A4,'Parts List and Volumes'!$C$2:$W195,17,FALSE),"")</f>
        <v/>
      </c>
      <c r="AF4" s="41" t="str">
        <f>IFERROR(VLOOKUP($A4,'Parts List and Volumes'!$C$2:$W195,18,FALSE),"")</f>
        <v/>
      </c>
      <c r="AG4" s="48" t="str">
        <f t="shared" si="6"/>
        <v/>
      </c>
      <c r="AH4" s="43" t="str">
        <f t="shared" si="6"/>
        <v/>
      </c>
      <c r="AI4" s="49" t="str">
        <f>IFERROR(VLOOKUP($A4,'Parts List and Volumes'!$C$2:$W195,19,FALSE),"")</f>
        <v/>
      </c>
      <c r="AJ4" s="50" t="str">
        <f>IFERROR(VLOOKUP($A4,'Parts List and Volumes'!$C$2:$W195,20,FALSE),"")</f>
        <v/>
      </c>
      <c r="AK4" s="51" t="str">
        <f t="shared" si="7"/>
        <v/>
      </c>
      <c r="AL4" s="52" t="str">
        <f t="shared" si="7"/>
        <v/>
      </c>
      <c r="AM4" s="40" t="str">
        <f>IFERROR(VLOOKUP($A4,'Parts List and Volumes'!$C$2:$W195,21,FALSE),"")</f>
        <v/>
      </c>
      <c r="AN4" s="41" t="str">
        <f>IFERROR(VLOOKUP($A4,'Parts List and Volumes'!$C$2:$W195,22,FALSE),"")</f>
        <v/>
      </c>
      <c r="AO4" s="48" t="str">
        <f t="shared" si="8"/>
        <v/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0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1"/>
        <v/>
      </c>
      <c r="N5" s="47" t="str">
        <f t="shared" si="1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2"/>
        <v/>
      </c>
      <c r="R5" s="43" t="str">
        <f t="shared" si="2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3"/>
        <v/>
      </c>
      <c r="V5" s="47" t="str">
        <f t="shared" si="3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4"/>
        <v/>
      </c>
      <c r="Z5" s="43" t="str">
        <f t="shared" si="4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5"/>
        <v/>
      </c>
      <c r="AD5" s="52" t="str">
        <f t="shared" si="5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6"/>
        <v/>
      </c>
      <c r="AH5" s="43" t="str">
        <f t="shared" si="6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7"/>
        <v/>
      </c>
      <c r="AL5" s="52" t="str">
        <f t="shared" si="7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8"/>
        <v/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437" priority="110" stopIfTrue="1">
      <formula>#REF!="DLN"</formula>
    </cfRule>
  </conditionalFormatting>
  <conditionalFormatting sqref="F3:F7 D3:E50">
    <cfRule type="expression" dxfId="436" priority="109" stopIfTrue="1">
      <formula>#REF!="DLN"</formula>
    </cfRule>
  </conditionalFormatting>
  <conditionalFormatting sqref="L3:L50">
    <cfRule type="expression" dxfId="435" priority="108" stopIfTrue="1">
      <formula>#REF!="DLN"</formula>
    </cfRule>
  </conditionalFormatting>
  <conditionalFormatting sqref="L3:L50">
    <cfRule type="expression" dxfId="434" priority="107" stopIfTrue="1">
      <formula>#REF!="DLN"</formula>
    </cfRule>
  </conditionalFormatting>
  <conditionalFormatting sqref="T3:T50">
    <cfRule type="expression" dxfId="433" priority="106" stopIfTrue="1">
      <formula>#REF!="DLN"</formula>
    </cfRule>
  </conditionalFormatting>
  <conditionalFormatting sqref="T3:T50">
    <cfRule type="expression" dxfId="432" priority="105" stopIfTrue="1">
      <formula>#REF!="DLN"</formula>
    </cfRule>
  </conditionalFormatting>
  <conditionalFormatting sqref="X3:X50">
    <cfRule type="expression" dxfId="431" priority="104" stopIfTrue="1">
      <formula>#REF!="DLN"</formula>
    </cfRule>
  </conditionalFormatting>
  <conditionalFormatting sqref="X3:X50">
    <cfRule type="expression" dxfId="430" priority="103" stopIfTrue="1">
      <formula>#REF!="DLN"</formula>
    </cfRule>
  </conditionalFormatting>
  <conditionalFormatting sqref="G2">
    <cfRule type="expression" dxfId="429" priority="102" stopIfTrue="1">
      <formula>#REF!="DLN"</formula>
    </cfRule>
  </conditionalFormatting>
  <conditionalFormatting sqref="G2">
    <cfRule type="expression" dxfId="428" priority="101" stopIfTrue="1">
      <formula>#REF!="DLN"</formula>
    </cfRule>
  </conditionalFormatting>
  <conditionalFormatting sqref="K2">
    <cfRule type="expression" dxfId="427" priority="100" stopIfTrue="1">
      <formula>#REF!="DLN"</formula>
    </cfRule>
  </conditionalFormatting>
  <conditionalFormatting sqref="K2">
    <cfRule type="expression" dxfId="426" priority="99" stopIfTrue="1">
      <formula>#REF!="DLN"</formula>
    </cfRule>
  </conditionalFormatting>
  <conditionalFormatting sqref="O2">
    <cfRule type="expression" dxfId="425" priority="98" stopIfTrue="1">
      <formula>#REF!="DLN"</formula>
    </cfRule>
  </conditionalFormatting>
  <conditionalFormatting sqref="O2">
    <cfRule type="expression" dxfId="424" priority="97" stopIfTrue="1">
      <formula>#REF!="DLN"</formula>
    </cfRule>
  </conditionalFormatting>
  <conditionalFormatting sqref="S2">
    <cfRule type="expression" dxfId="423" priority="96" stopIfTrue="1">
      <formula>#REF!="DLN"</formula>
    </cfRule>
  </conditionalFormatting>
  <conditionalFormatting sqref="S2">
    <cfRule type="expression" dxfId="422" priority="95" stopIfTrue="1">
      <formula>#REF!="DLN"</formula>
    </cfRule>
  </conditionalFormatting>
  <conditionalFormatting sqref="W2">
    <cfRule type="expression" dxfId="421" priority="94" stopIfTrue="1">
      <formula>#REF!="DLN"</formula>
    </cfRule>
  </conditionalFormatting>
  <conditionalFormatting sqref="W2">
    <cfRule type="expression" dxfId="420" priority="93" stopIfTrue="1">
      <formula>#REF!="DLN"</formula>
    </cfRule>
  </conditionalFormatting>
  <conditionalFormatting sqref="AF3:AF50">
    <cfRule type="expression" dxfId="419" priority="47" stopIfTrue="1">
      <formula>#REF!="DLN"</formula>
    </cfRule>
  </conditionalFormatting>
  <conditionalFormatting sqref="W3:W50">
    <cfRule type="expression" dxfId="418" priority="92" stopIfTrue="1">
      <formula>#REF!="DLN"</formula>
    </cfRule>
  </conditionalFormatting>
  <conditionalFormatting sqref="W3:W50">
    <cfRule type="expression" dxfId="417" priority="91" stopIfTrue="1">
      <formula>#REF!="DLN"</formula>
    </cfRule>
  </conditionalFormatting>
  <conditionalFormatting sqref="S3:S50">
    <cfRule type="expression" dxfId="416" priority="90" stopIfTrue="1">
      <formula>#REF!="DLN"</formula>
    </cfRule>
  </conditionalFormatting>
  <conditionalFormatting sqref="S3:S50">
    <cfRule type="expression" dxfId="415" priority="89" stopIfTrue="1">
      <formula>#REF!="DLN"</formula>
    </cfRule>
  </conditionalFormatting>
  <conditionalFormatting sqref="K3:K50">
    <cfRule type="expression" dxfId="414" priority="88" stopIfTrue="1">
      <formula>#REF!="DLN"</formula>
    </cfRule>
  </conditionalFormatting>
  <conditionalFormatting sqref="K3:K50">
    <cfRule type="expression" dxfId="413" priority="87" stopIfTrue="1">
      <formula>#REF!="DLN"</formula>
    </cfRule>
  </conditionalFormatting>
  <conditionalFormatting sqref="AF3:AF50">
    <cfRule type="expression" dxfId="412" priority="48" stopIfTrue="1">
      <formula>#REF!="DLN"</formula>
    </cfRule>
  </conditionalFormatting>
  <conditionalFormatting sqref="J52">
    <cfRule type="cellIs" dxfId="411" priority="83" stopIfTrue="1" operator="greaterThanOrEqual">
      <formula>0.801</formula>
    </cfRule>
    <cfRule type="cellIs" dxfId="410" priority="84" stopIfTrue="1" operator="between">
      <formula>0.61</formula>
      <formula>0.8</formula>
    </cfRule>
    <cfRule type="cellIs" dxfId="409" priority="85" stopIfTrue="1" operator="between">
      <formula>0</formula>
      <formula>0.6</formula>
    </cfRule>
  </conditionalFormatting>
  <conditionalFormatting sqref="J52">
    <cfRule type="expression" dxfId="408" priority="86" stopIfTrue="1">
      <formula>#REF!="DLN"</formula>
    </cfRule>
  </conditionalFormatting>
  <conditionalFormatting sqref="I52">
    <cfRule type="cellIs" dxfId="407" priority="79" stopIfTrue="1" operator="greaterThanOrEqual">
      <formula>0.801</formula>
    </cfRule>
    <cfRule type="cellIs" dxfId="406" priority="80" stopIfTrue="1" operator="between">
      <formula>0.61</formula>
      <formula>0.8</formula>
    </cfRule>
    <cfRule type="cellIs" dxfId="405" priority="81" stopIfTrue="1" operator="between">
      <formula>0</formula>
      <formula>0.6</formula>
    </cfRule>
  </conditionalFormatting>
  <conditionalFormatting sqref="I52">
    <cfRule type="expression" dxfId="404" priority="82" stopIfTrue="1">
      <formula>#REF!="DLN"</formula>
    </cfRule>
  </conditionalFormatting>
  <conditionalFormatting sqref="M52:N52">
    <cfRule type="cellIs" dxfId="403" priority="75" stopIfTrue="1" operator="greaterThanOrEqual">
      <formula>0.801</formula>
    </cfRule>
    <cfRule type="cellIs" dxfId="402" priority="76" stopIfTrue="1" operator="between">
      <formula>0.61</formula>
      <formula>0.8</formula>
    </cfRule>
    <cfRule type="cellIs" dxfId="401" priority="77" stopIfTrue="1" operator="between">
      <formula>0</formula>
      <formula>0.6</formula>
    </cfRule>
  </conditionalFormatting>
  <conditionalFormatting sqref="M52:N52">
    <cfRule type="expression" dxfId="400" priority="78" stopIfTrue="1">
      <formula>#REF!="DLN"</formula>
    </cfRule>
  </conditionalFormatting>
  <conditionalFormatting sqref="Q52:R52">
    <cfRule type="cellIs" dxfId="399" priority="71" stopIfTrue="1" operator="greaterThanOrEqual">
      <formula>0.801</formula>
    </cfRule>
    <cfRule type="cellIs" dxfId="398" priority="72" stopIfTrue="1" operator="between">
      <formula>0.61</formula>
      <formula>0.8</formula>
    </cfRule>
    <cfRule type="cellIs" dxfId="397" priority="73" stopIfTrue="1" operator="between">
      <formula>0</formula>
      <formula>0.6</formula>
    </cfRule>
  </conditionalFormatting>
  <conditionalFormatting sqref="Q52:R52">
    <cfRule type="expression" dxfId="396" priority="74" stopIfTrue="1">
      <formula>#REF!="DLN"</formula>
    </cfRule>
  </conditionalFormatting>
  <conditionalFormatting sqref="U52:V52">
    <cfRule type="cellIs" dxfId="395" priority="67" stopIfTrue="1" operator="greaterThanOrEqual">
      <formula>0.801</formula>
    </cfRule>
    <cfRule type="cellIs" dxfId="394" priority="68" stopIfTrue="1" operator="between">
      <formula>0.61</formula>
      <formula>0.8</formula>
    </cfRule>
    <cfRule type="cellIs" dxfId="393" priority="69" stopIfTrue="1" operator="between">
      <formula>0</formula>
      <formula>0.6</formula>
    </cfRule>
  </conditionalFormatting>
  <conditionalFormatting sqref="U52:V52">
    <cfRule type="expression" dxfId="392" priority="70" stopIfTrue="1">
      <formula>#REF!="DLN"</formula>
    </cfRule>
  </conditionalFormatting>
  <conditionalFormatting sqref="Y52:Z52">
    <cfRule type="cellIs" dxfId="391" priority="63" stopIfTrue="1" operator="greaterThanOrEqual">
      <formula>0.801</formula>
    </cfRule>
    <cfRule type="cellIs" dxfId="390" priority="64" stopIfTrue="1" operator="between">
      <formula>0.61</formula>
      <formula>0.8</formula>
    </cfRule>
    <cfRule type="cellIs" dxfId="389" priority="65" stopIfTrue="1" operator="between">
      <formula>0</formula>
      <formula>0.6</formula>
    </cfRule>
  </conditionalFormatting>
  <conditionalFormatting sqref="Y52:Z52">
    <cfRule type="expression" dxfId="388" priority="66" stopIfTrue="1">
      <formula>#REF!="DLN"</formula>
    </cfRule>
  </conditionalFormatting>
  <conditionalFormatting sqref="AC52:AD52">
    <cfRule type="cellIs" dxfId="387" priority="59" stopIfTrue="1" operator="greaterThanOrEqual">
      <formula>0.801</formula>
    </cfRule>
    <cfRule type="cellIs" dxfId="386" priority="60" stopIfTrue="1" operator="between">
      <formula>0.61</formula>
      <formula>0.8</formula>
    </cfRule>
    <cfRule type="cellIs" dxfId="385" priority="61" stopIfTrue="1" operator="between">
      <formula>0</formula>
      <formula>0.6</formula>
    </cfRule>
  </conditionalFormatting>
  <conditionalFormatting sqref="AC52:AD52">
    <cfRule type="expression" dxfId="384" priority="62" stopIfTrue="1">
      <formula>#REF!="DLN"</formula>
    </cfRule>
  </conditionalFormatting>
  <conditionalFormatting sqref="G3:G50">
    <cfRule type="expression" dxfId="383" priority="57" stopIfTrue="1">
      <formula>#REF!="DLN"</formula>
    </cfRule>
  </conditionalFormatting>
  <conditionalFormatting sqref="G3:G50">
    <cfRule type="expression" dxfId="382" priority="58" stopIfTrue="1">
      <formula>#REF!="DLN"</formula>
    </cfRule>
  </conditionalFormatting>
  <conditionalFormatting sqref="P3:P50">
    <cfRule type="expression" dxfId="381" priority="56" stopIfTrue="1">
      <formula>#REF!="DLN"</formula>
    </cfRule>
  </conditionalFormatting>
  <conditionalFormatting sqref="P3:P50">
    <cfRule type="expression" dxfId="380" priority="55" stopIfTrue="1">
      <formula>#REF!="DLN"</formula>
    </cfRule>
  </conditionalFormatting>
  <conditionalFormatting sqref="O3:O50">
    <cfRule type="expression" dxfId="379" priority="54" stopIfTrue="1">
      <formula>#REF!="DLN"</formula>
    </cfRule>
  </conditionalFormatting>
  <conditionalFormatting sqref="O3:O50">
    <cfRule type="expression" dxfId="378" priority="53" stopIfTrue="1">
      <formula>#REF!="DLN"</formula>
    </cfRule>
  </conditionalFormatting>
  <conditionalFormatting sqref="H3:H50">
    <cfRule type="expression" dxfId="377" priority="52" stopIfTrue="1">
      <formula>#REF!="DLN"</formula>
    </cfRule>
  </conditionalFormatting>
  <conditionalFormatting sqref="H3:H50">
    <cfRule type="expression" dxfId="376" priority="51" stopIfTrue="1">
      <formula>#REF!="DLN"</formula>
    </cfRule>
  </conditionalFormatting>
  <conditionalFormatting sqref="A8:A50">
    <cfRule type="expression" dxfId="375" priority="50" stopIfTrue="1">
      <formula>#REF!="DLN"</formula>
    </cfRule>
  </conditionalFormatting>
  <conditionalFormatting sqref="A8:A50">
    <cfRule type="expression" dxfId="374" priority="49" stopIfTrue="1">
      <formula>#REF!="DLN"</formula>
    </cfRule>
  </conditionalFormatting>
  <conditionalFormatting sqref="AE2">
    <cfRule type="expression" dxfId="373" priority="46" stopIfTrue="1">
      <formula>#REF!="DLN"</formula>
    </cfRule>
  </conditionalFormatting>
  <conditionalFormatting sqref="AE2">
    <cfRule type="expression" dxfId="372" priority="45" stopIfTrue="1">
      <formula>#REF!="DLN"</formula>
    </cfRule>
  </conditionalFormatting>
  <conditionalFormatting sqref="AE3:AE50">
    <cfRule type="expression" dxfId="371" priority="44" stopIfTrue="1">
      <formula>#REF!="DLN"</formula>
    </cfRule>
  </conditionalFormatting>
  <conditionalFormatting sqref="AE3:AE50">
    <cfRule type="expression" dxfId="370" priority="43" stopIfTrue="1">
      <formula>#REF!="DLN"</formula>
    </cfRule>
  </conditionalFormatting>
  <conditionalFormatting sqref="AG52:AH52">
    <cfRule type="cellIs" dxfId="369" priority="39" stopIfTrue="1" operator="greaterThanOrEqual">
      <formula>0.801</formula>
    </cfRule>
    <cfRule type="cellIs" dxfId="368" priority="40" stopIfTrue="1" operator="between">
      <formula>0.61</formula>
      <formula>0.8</formula>
    </cfRule>
    <cfRule type="cellIs" dxfId="367" priority="41" stopIfTrue="1" operator="between">
      <formula>0</formula>
      <formula>0.6</formula>
    </cfRule>
  </conditionalFormatting>
  <conditionalFormatting sqref="AG52:AH52">
    <cfRule type="expression" dxfId="366" priority="42" stopIfTrue="1">
      <formula>#REF!="DLN"</formula>
    </cfRule>
  </conditionalFormatting>
  <conditionalFormatting sqref="AK52:AL52">
    <cfRule type="cellIs" dxfId="365" priority="35" stopIfTrue="1" operator="greaterThanOrEqual">
      <formula>0.801</formula>
    </cfRule>
    <cfRule type="cellIs" dxfId="364" priority="36" stopIfTrue="1" operator="between">
      <formula>0.61</formula>
      <formula>0.8</formula>
    </cfRule>
    <cfRule type="cellIs" dxfId="363" priority="37" stopIfTrue="1" operator="between">
      <formula>0</formula>
      <formula>0.6</formula>
    </cfRule>
  </conditionalFormatting>
  <conditionalFormatting sqref="AK52:AL52">
    <cfRule type="expression" dxfId="362" priority="38" stopIfTrue="1">
      <formula>#REF!="DLN"</formula>
    </cfRule>
  </conditionalFormatting>
  <conditionalFormatting sqref="AN3:AN50">
    <cfRule type="expression" dxfId="361" priority="34" stopIfTrue="1">
      <formula>#REF!="DLN"</formula>
    </cfRule>
  </conditionalFormatting>
  <conditionalFormatting sqref="AN3:AN50">
    <cfRule type="expression" dxfId="360" priority="33" stopIfTrue="1">
      <formula>#REF!="DLN"</formula>
    </cfRule>
  </conditionalFormatting>
  <conditionalFormatting sqref="AM2">
    <cfRule type="expression" dxfId="359" priority="32" stopIfTrue="1">
      <formula>#REF!="DLN"</formula>
    </cfRule>
  </conditionalFormatting>
  <conditionalFormatting sqref="AM2">
    <cfRule type="expression" dxfId="358" priority="31" stopIfTrue="1">
      <formula>#REF!="DLN"</formula>
    </cfRule>
  </conditionalFormatting>
  <conditionalFormatting sqref="AM3:AM50">
    <cfRule type="expression" dxfId="357" priority="30" stopIfTrue="1">
      <formula>#REF!="DLN"</formula>
    </cfRule>
  </conditionalFormatting>
  <conditionalFormatting sqref="AM3:AM50">
    <cfRule type="expression" dxfId="356" priority="29" stopIfTrue="1">
      <formula>#REF!="DLN"</formula>
    </cfRule>
  </conditionalFormatting>
  <conditionalFormatting sqref="AO52:AP52">
    <cfRule type="cellIs" dxfId="355" priority="25" stopIfTrue="1" operator="greaterThanOrEqual">
      <formula>0.801</formula>
    </cfRule>
    <cfRule type="cellIs" dxfId="354" priority="26" stopIfTrue="1" operator="between">
      <formula>0.61</formula>
      <formula>0.8</formula>
    </cfRule>
    <cfRule type="cellIs" dxfId="353" priority="27" stopIfTrue="1" operator="between">
      <formula>0</formula>
      <formula>0.6</formula>
    </cfRule>
  </conditionalFormatting>
  <conditionalFormatting sqref="AO52:AP52">
    <cfRule type="expression" dxfId="352" priority="28" stopIfTrue="1">
      <formula>#REF!="DLN"</formula>
    </cfRule>
  </conditionalFormatting>
  <conditionalFormatting sqref="AS52:AT52">
    <cfRule type="cellIs" dxfId="351" priority="21" stopIfTrue="1" operator="greaterThanOrEqual">
      <formula>0.801</formula>
    </cfRule>
    <cfRule type="cellIs" dxfId="350" priority="22" stopIfTrue="1" operator="between">
      <formula>0.61</formula>
      <formula>0.8</formula>
    </cfRule>
    <cfRule type="cellIs" dxfId="349" priority="23" stopIfTrue="1" operator="between">
      <formula>0</formula>
      <formula>0.6</formula>
    </cfRule>
  </conditionalFormatting>
  <conditionalFormatting sqref="AS52:AT52">
    <cfRule type="expression" dxfId="348" priority="24" stopIfTrue="1">
      <formula>#REF!="DLN"</formula>
    </cfRule>
  </conditionalFormatting>
  <conditionalFormatting sqref="AV3:AV50">
    <cfRule type="expression" dxfId="347" priority="20" stopIfTrue="1">
      <formula>#REF!="DLN"</formula>
    </cfRule>
  </conditionalFormatting>
  <conditionalFormatting sqref="AV3:AV50">
    <cfRule type="expression" dxfId="346" priority="19" stopIfTrue="1">
      <formula>#REF!="DLN"</formula>
    </cfRule>
  </conditionalFormatting>
  <conditionalFormatting sqref="AU2">
    <cfRule type="expression" dxfId="345" priority="18" stopIfTrue="1">
      <formula>#REF!="DLN"</formula>
    </cfRule>
  </conditionalFormatting>
  <conditionalFormatting sqref="AU2">
    <cfRule type="expression" dxfId="344" priority="17" stopIfTrue="1">
      <formula>#REF!="DLN"</formula>
    </cfRule>
  </conditionalFormatting>
  <conditionalFormatting sqref="AU3:AU50">
    <cfRule type="expression" dxfId="343" priority="16" stopIfTrue="1">
      <formula>#REF!="DLN"</formula>
    </cfRule>
  </conditionalFormatting>
  <conditionalFormatting sqref="AU3:AU50">
    <cfRule type="expression" dxfId="342" priority="15" stopIfTrue="1">
      <formula>#REF!="DLN"</formula>
    </cfRule>
  </conditionalFormatting>
  <conditionalFormatting sqref="AW52:AX52">
    <cfRule type="cellIs" dxfId="341" priority="11" stopIfTrue="1" operator="greaterThanOrEqual">
      <formula>0.801</formula>
    </cfRule>
    <cfRule type="cellIs" dxfId="340" priority="12" stopIfTrue="1" operator="between">
      <formula>0.61</formula>
      <formula>0.8</formula>
    </cfRule>
    <cfRule type="cellIs" dxfId="339" priority="13" stopIfTrue="1" operator="between">
      <formula>0</formula>
      <formula>0.6</formula>
    </cfRule>
  </conditionalFormatting>
  <conditionalFormatting sqref="AW52:AX52">
    <cfRule type="expression" dxfId="338" priority="14" stopIfTrue="1">
      <formula>#REF!="DLN"</formula>
    </cfRule>
  </conditionalFormatting>
  <conditionalFormatting sqref="A6">
    <cfRule type="expression" dxfId="337" priority="10" stopIfTrue="1">
      <formula>#REF!="DLN"</formula>
    </cfRule>
  </conditionalFormatting>
  <conditionalFormatting sqref="A6">
    <cfRule type="expression" dxfId="336" priority="9" stopIfTrue="1">
      <formula>#REF!="DLN"</formula>
    </cfRule>
  </conditionalFormatting>
  <conditionalFormatting sqref="A7">
    <cfRule type="expression" dxfId="335" priority="8" stopIfTrue="1">
      <formula>#REF!="DLN"</formula>
    </cfRule>
  </conditionalFormatting>
  <conditionalFormatting sqref="A7">
    <cfRule type="expression" dxfId="334" priority="7" stopIfTrue="1">
      <formula>#REF!="DLN"</formula>
    </cfRule>
  </conditionalFormatting>
  <conditionalFormatting sqref="A3">
    <cfRule type="expression" dxfId="333" priority="6" stopIfTrue="1">
      <formula>#REF!="DLN"</formula>
    </cfRule>
  </conditionalFormatting>
  <conditionalFormatting sqref="A3">
    <cfRule type="expression" dxfId="332" priority="5" stopIfTrue="1">
      <formula>#REF!="DLN"</formula>
    </cfRule>
  </conditionalFormatting>
  <conditionalFormatting sqref="A4">
    <cfRule type="expression" dxfId="331" priority="4" stopIfTrue="1">
      <formula>#REF!="DLN"</formula>
    </cfRule>
  </conditionalFormatting>
  <conditionalFormatting sqref="A4">
    <cfRule type="expression" dxfId="330" priority="3" stopIfTrue="1">
      <formula>#REF!="DLN"</formula>
    </cfRule>
  </conditionalFormatting>
  <conditionalFormatting sqref="A5">
    <cfRule type="expression" dxfId="329" priority="2" stopIfTrue="1">
      <formula>#REF!="DLN"</formula>
    </cfRule>
  </conditionalFormatting>
  <conditionalFormatting sqref="A5">
    <cfRule type="expression" dxfId="328" priority="1" stopIfTrue="1">
      <formula>#REF!="DLN"</formula>
    </cfRule>
  </conditionalFormatting>
  <dataValidations count="1">
    <dataValidation type="list" allowBlank="1" showInputMessage="1" showErrorMessage="1" sqref="A3:A50" xr:uid="{83953386-CF1D-40CE-B00A-9070D3017DAC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5440AA-5F21-4B25-ABEB-0CBA0C6768F5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C16D-6B97-4A5B-AFB3-E9C1BBF31B00}">
  <sheetPr codeName="Sheet19"/>
  <dimension ref="A1:AX62"/>
  <sheetViews>
    <sheetView workbookViewId="0">
      <selection activeCell="E9" sqref="E9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189</v>
      </c>
      <c r="B3" s="24" t="s">
        <v>444</v>
      </c>
      <c r="C3" s="20" t="str">
        <f>IFERROR(VLOOKUP(A3,'Parts List and Volumes'!C2:D194,2,FALSE),"")</f>
        <v>NBAA0030DAF20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156684</v>
      </c>
      <c r="H3" s="41">
        <f>IFERROR(VLOOKUP($A3,'Parts List and Volumes'!$C$2:$W194,6,FALSE),"")</f>
        <v>190497.85405243796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0</v>
      </c>
      <c r="L3" s="45">
        <f>IFERROR(VLOOKUP($A3,'Parts List and Volumes'!$C$2:$W194,8,FALSE),"")</f>
        <v>173627.12660245161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153405.55577220555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126505.60029117759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26213.31998076148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 t="s">
        <v>193</v>
      </c>
      <c r="B4" s="24" t="s">
        <v>444</v>
      </c>
      <c r="C4" s="20" t="str">
        <f>IFERROR(VLOOKUP(A4,'Parts List and Volumes'!C3:D195,2,FALSE),"")</f>
        <v>NBAA0031DAF20</v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/>
      <c r="G4" s="40">
        <f>IFERROR(VLOOKUP($A4,'Parts List and Volumes'!$C$2:$W195,5,FALSE),"")</f>
        <v>156971</v>
      </c>
      <c r="H4" s="41">
        <f>IFERROR(VLOOKUP($A4,'Parts List and Volumes'!$C$2:$W195,6,FALSE),"")</f>
        <v>190497.85405243796</v>
      </c>
      <c r="I4" s="42">
        <f t="shared" si="0"/>
        <v>0</v>
      </c>
      <c r="J4" s="43">
        <f t="shared" si="0"/>
        <v>0</v>
      </c>
      <c r="K4" s="44">
        <f>IFERROR(VLOOKUP($A4,'Parts List and Volumes'!$C$2:$W195,7,FALSE),"")</f>
        <v>0</v>
      </c>
      <c r="L4" s="45">
        <f>IFERROR(VLOOKUP($A4,'Parts List and Volumes'!$C$2:$W195,8,FALSE),"")</f>
        <v>173627.12660245161</v>
      </c>
      <c r="M4" s="46">
        <f t="shared" si="1"/>
        <v>0</v>
      </c>
      <c r="N4" s="47">
        <f t="shared" si="1"/>
        <v>0</v>
      </c>
      <c r="O4" s="41">
        <f>IFERROR(VLOOKUP($A4,'Parts List and Volumes'!$C$2:$W195,9,FALSE),"")</f>
        <v>0</v>
      </c>
      <c r="P4" s="41">
        <f>IFERROR(VLOOKUP($A4,'Parts List and Volumes'!$C$2:$W195,10,FALSE),"")</f>
        <v>153405.55577220555</v>
      </c>
      <c r="Q4" s="48">
        <f t="shared" si="2"/>
        <v>0</v>
      </c>
      <c r="R4" s="43">
        <f t="shared" si="2"/>
        <v>0</v>
      </c>
      <c r="S4" s="44">
        <f>IFERROR(VLOOKUP($A4,'Parts List and Volumes'!$C$2:$W195,11,FALSE),"")</f>
        <v>0</v>
      </c>
      <c r="T4" s="45">
        <f>IFERROR(VLOOKUP($A4,'Parts List and Volumes'!$C$2:$W195,12,FALSE),"")</f>
        <v>126505.60029117759</v>
      </c>
      <c r="U4" s="46">
        <f t="shared" si="3"/>
        <v>0</v>
      </c>
      <c r="V4" s="47">
        <f t="shared" si="3"/>
        <v>0</v>
      </c>
      <c r="W4" s="40">
        <f>IFERROR(VLOOKUP($A4,'Parts List and Volumes'!$C$2:$W195,13,FALSE),"")</f>
        <v>0</v>
      </c>
      <c r="X4" s="41">
        <f>IFERROR(VLOOKUP($A4,'Parts List and Volumes'!$C$2:$W195,14,FALSE),"")</f>
        <v>26213.31998076148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0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1"/>
        <v/>
      </c>
      <c r="N5" s="47" t="str">
        <f t="shared" si="1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2"/>
        <v/>
      </c>
      <c r="R5" s="43" t="str">
        <f t="shared" si="2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3"/>
        <v/>
      </c>
      <c r="V5" s="47" t="str">
        <f t="shared" si="3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4"/>
        <v/>
      </c>
      <c r="Z5" s="43" t="str">
        <f t="shared" si="4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5"/>
        <v/>
      </c>
      <c r="AD5" s="52" t="str">
        <f t="shared" si="5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6"/>
        <v/>
      </c>
      <c r="AH5" s="43" t="str">
        <f t="shared" si="6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7"/>
        <v/>
      </c>
      <c r="AL5" s="52" t="str">
        <f t="shared" si="7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8"/>
        <v/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657" priority="110" stopIfTrue="1">
      <formula>#REF!="DLN"</formula>
    </cfRule>
  </conditionalFormatting>
  <conditionalFormatting sqref="F3:F7 D3:E50">
    <cfRule type="expression" dxfId="656" priority="109" stopIfTrue="1">
      <formula>#REF!="DLN"</formula>
    </cfRule>
  </conditionalFormatting>
  <conditionalFormatting sqref="L3:L50">
    <cfRule type="expression" dxfId="655" priority="108" stopIfTrue="1">
      <formula>#REF!="DLN"</formula>
    </cfRule>
  </conditionalFormatting>
  <conditionalFormatting sqref="L3:L50">
    <cfRule type="expression" dxfId="654" priority="107" stopIfTrue="1">
      <formula>#REF!="DLN"</formula>
    </cfRule>
  </conditionalFormatting>
  <conditionalFormatting sqref="T3:T50">
    <cfRule type="expression" dxfId="653" priority="106" stopIfTrue="1">
      <formula>#REF!="DLN"</formula>
    </cfRule>
  </conditionalFormatting>
  <conditionalFormatting sqref="T3:T50">
    <cfRule type="expression" dxfId="652" priority="105" stopIfTrue="1">
      <formula>#REF!="DLN"</formula>
    </cfRule>
  </conditionalFormatting>
  <conditionalFormatting sqref="X3:X50">
    <cfRule type="expression" dxfId="651" priority="104" stopIfTrue="1">
      <formula>#REF!="DLN"</formula>
    </cfRule>
  </conditionalFormatting>
  <conditionalFormatting sqref="X3:X50">
    <cfRule type="expression" dxfId="650" priority="103" stopIfTrue="1">
      <formula>#REF!="DLN"</formula>
    </cfRule>
  </conditionalFormatting>
  <conditionalFormatting sqref="G2">
    <cfRule type="expression" dxfId="649" priority="102" stopIfTrue="1">
      <formula>#REF!="DLN"</formula>
    </cfRule>
  </conditionalFormatting>
  <conditionalFormatting sqref="G2">
    <cfRule type="expression" dxfId="648" priority="101" stopIfTrue="1">
      <formula>#REF!="DLN"</formula>
    </cfRule>
  </conditionalFormatting>
  <conditionalFormatting sqref="K2">
    <cfRule type="expression" dxfId="647" priority="100" stopIfTrue="1">
      <formula>#REF!="DLN"</formula>
    </cfRule>
  </conditionalFormatting>
  <conditionalFormatting sqref="K2">
    <cfRule type="expression" dxfId="646" priority="99" stopIfTrue="1">
      <formula>#REF!="DLN"</formula>
    </cfRule>
  </conditionalFormatting>
  <conditionalFormatting sqref="O2">
    <cfRule type="expression" dxfId="645" priority="98" stopIfTrue="1">
      <formula>#REF!="DLN"</formula>
    </cfRule>
  </conditionalFormatting>
  <conditionalFormatting sqref="O2">
    <cfRule type="expression" dxfId="644" priority="97" stopIfTrue="1">
      <formula>#REF!="DLN"</formula>
    </cfRule>
  </conditionalFormatting>
  <conditionalFormatting sqref="S2">
    <cfRule type="expression" dxfId="643" priority="96" stopIfTrue="1">
      <formula>#REF!="DLN"</formula>
    </cfRule>
  </conditionalFormatting>
  <conditionalFormatting sqref="S2">
    <cfRule type="expression" dxfId="642" priority="95" stopIfTrue="1">
      <formula>#REF!="DLN"</formula>
    </cfRule>
  </conditionalFormatting>
  <conditionalFormatting sqref="W2">
    <cfRule type="expression" dxfId="641" priority="94" stopIfTrue="1">
      <formula>#REF!="DLN"</formula>
    </cfRule>
  </conditionalFormatting>
  <conditionalFormatting sqref="W2">
    <cfRule type="expression" dxfId="640" priority="93" stopIfTrue="1">
      <formula>#REF!="DLN"</formula>
    </cfRule>
  </conditionalFormatting>
  <conditionalFormatting sqref="AF3:AF50">
    <cfRule type="expression" dxfId="639" priority="47" stopIfTrue="1">
      <formula>#REF!="DLN"</formula>
    </cfRule>
  </conditionalFormatting>
  <conditionalFormatting sqref="W3:W50">
    <cfRule type="expression" dxfId="638" priority="92" stopIfTrue="1">
      <formula>#REF!="DLN"</formula>
    </cfRule>
  </conditionalFormatting>
  <conditionalFormatting sqref="W3:W50">
    <cfRule type="expression" dxfId="637" priority="91" stopIfTrue="1">
      <formula>#REF!="DLN"</formula>
    </cfRule>
  </conditionalFormatting>
  <conditionalFormatting sqref="S3:S50">
    <cfRule type="expression" dxfId="636" priority="90" stopIfTrue="1">
      <formula>#REF!="DLN"</formula>
    </cfRule>
  </conditionalFormatting>
  <conditionalFormatting sqref="S3:S50">
    <cfRule type="expression" dxfId="635" priority="89" stopIfTrue="1">
      <formula>#REF!="DLN"</formula>
    </cfRule>
  </conditionalFormatting>
  <conditionalFormatting sqref="K3:K50">
    <cfRule type="expression" dxfId="634" priority="88" stopIfTrue="1">
      <formula>#REF!="DLN"</formula>
    </cfRule>
  </conditionalFormatting>
  <conditionalFormatting sqref="K3:K50">
    <cfRule type="expression" dxfId="633" priority="87" stopIfTrue="1">
      <formula>#REF!="DLN"</formula>
    </cfRule>
  </conditionalFormatting>
  <conditionalFormatting sqref="AF3:AF50">
    <cfRule type="expression" dxfId="632" priority="48" stopIfTrue="1">
      <formula>#REF!="DLN"</formula>
    </cfRule>
  </conditionalFormatting>
  <conditionalFormatting sqref="J52">
    <cfRule type="cellIs" dxfId="631" priority="83" stopIfTrue="1" operator="greaterThanOrEqual">
      <formula>0.801</formula>
    </cfRule>
    <cfRule type="cellIs" dxfId="630" priority="84" stopIfTrue="1" operator="between">
      <formula>0.61</formula>
      <formula>0.8</formula>
    </cfRule>
    <cfRule type="cellIs" dxfId="629" priority="85" stopIfTrue="1" operator="between">
      <formula>0</formula>
      <formula>0.6</formula>
    </cfRule>
  </conditionalFormatting>
  <conditionalFormatting sqref="J52">
    <cfRule type="expression" dxfId="628" priority="86" stopIfTrue="1">
      <formula>#REF!="DLN"</formula>
    </cfRule>
  </conditionalFormatting>
  <conditionalFormatting sqref="I52">
    <cfRule type="cellIs" dxfId="627" priority="79" stopIfTrue="1" operator="greaterThanOrEqual">
      <formula>0.801</formula>
    </cfRule>
    <cfRule type="cellIs" dxfId="626" priority="80" stopIfTrue="1" operator="between">
      <formula>0.61</formula>
      <formula>0.8</formula>
    </cfRule>
    <cfRule type="cellIs" dxfId="625" priority="81" stopIfTrue="1" operator="between">
      <formula>0</formula>
      <formula>0.6</formula>
    </cfRule>
  </conditionalFormatting>
  <conditionalFormatting sqref="I52">
    <cfRule type="expression" dxfId="624" priority="82" stopIfTrue="1">
      <formula>#REF!="DLN"</formula>
    </cfRule>
  </conditionalFormatting>
  <conditionalFormatting sqref="M52:N52">
    <cfRule type="cellIs" dxfId="623" priority="75" stopIfTrue="1" operator="greaterThanOrEqual">
      <formula>0.801</formula>
    </cfRule>
    <cfRule type="cellIs" dxfId="622" priority="76" stopIfTrue="1" operator="between">
      <formula>0.61</formula>
      <formula>0.8</formula>
    </cfRule>
    <cfRule type="cellIs" dxfId="621" priority="77" stopIfTrue="1" operator="between">
      <formula>0</formula>
      <formula>0.6</formula>
    </cfRule>
  </conditionalFormatting>
  <conditionalFormatting sqref="M52:N52">
    <cfRule type="expression" dxfId="620" priority="78" stopIfTrue="1">
      <formula>#REF!="DLN"</formula>
    </cfRule>
  </conditionalFormatting>
  <conditionalFormatting sqref="Q52:R52">
    <cfRule type="cellIs" dxfId="619" priority="71" stopIfTrue="1" operator="greaterThanOrEqual">
      <formula>0.801</formula>
    </cfRule>
    <cfRule type="cellIs" dxfId="618" priority="72" stopIfTrue="1" operator="between">
      <formula>0.61</formula>
      <formula>0.8</formula>
    </cfRule>
    <cfRule type="cellIs" dxfId="617" priority="73" stopIfTrue="1" operator="between">
      <formula>0</formula>
      <formula>0.6</formula>
    </cfRule>
  </conditionalFormatting>
  <conditionalFormatting sqref="Q52:R52">
    <cfRule type="expression" dxfId="616" priority="74" stopIfTrue="1">
      <formula>#REF!="DLN"</formula>
    </cfRule>
  </conditionalFormatting>
  <conditionalFormatting sqref="U52:V52">
    <cfRule type="cellIs" dxfId="615" priority="67" stopIfTrue="1" operator="greaterThanOrEqual">
      <formula>0.801</formula>
    </cfRule>
    <cfRule type="cellIs" dxfId="614" priority="68" stopIfTrue="1" operator="between">
      <formula>0.61</formula>
      <formula>0.8</formula>
    </cfRule>
    <cfRule type="cellIs" dxfId="613" priority="69" stopIfTrue="1" operator="between">
      <formula>0</formula>
      <formula>0.6</formula>
    </cfRule>
  </conditionalFormatting>
  <conditionalFormatting sqref="U52:V52">
    <cfRule type="expression" dxfId="612" priority="70" stopIfTrue="1">
      <formula>#REF!="DLN"</formula>
    </cfRule>
  </conditionalFormatting>
  <conditionalFormatting sqref="Y52:Z52">
    <cfRule type="cellIs" dxfId="611" priority="63" stopIfTrue="1" operator="greaterThanOrEqual">
      <formula>0.801</formula>
    </cfRule>
    <cfRule type="cellIs" dxfId="610" priority="64" stopIfTrue="1" operator="between">
      <formula>0.61</formula>
      <formula>0.8</formula>
    </cfRule>
    <cfRule type="cellIs" dxfId="609" priority="65" stopIfTrue="1" operator="between">
      <formula>0</formula>
      <formula>0.6</formula>
    </cfRule>
  </conditionalFormatting>
  <conditionalFormatting sqref="Y52:Z52">
    <cfRule type="expression" dxfId="608" priority="66" stopIfTrue="1">
      <formula>#REF!="DLN"</formula>
    </cfRule>
  </conditionalFormatting>
  <conditionalFormatting sqref="AC52:AD52">
    <cfRule type="cellIs" dxfId="607" priority="59" stopIfTrue="1" operator="greaterThanOrEqual">
      <formula>0.801</formula>
    </cfRule>
    <cfRule type="cellIs" dxfId="606" priority="60" stopIfTrue="1" operator="between">
      <formula>0.61</formula>
      <formula>0.8</formula>
    </cfRule>
    <cfRule type="cellIs" dxfId="605" priority="61" stopIfTrue="1" operator="between">
      <formula>0</formula>
      <formula>0.6</formula>
    </cfRule>
  </conditionalFormatting>
  <conditionalFormatting sqref="AC52:AD52">
    <cfRule type="expression" dxfId="604" priority="62" stopIfTrue="1">
      <formula>#REF!="DLN"</formula>
    </cfRule>
  </conditionalFormatting>
  <conditionalFormatting sqref="G3:G50">
    <cfRule type="expression" dxfId="603" priority="57" stopIfTrue="1">
      <formula>#REF!="DLN"</formula>
    </cfRule>
  </conditionalFormatting>
  <conditionalFormatting sqref="G3:G50">
    <cfRule type="expression" dxfId="602" priority="58" stopIfTrue="1">
      <formula>#REF!="DLN"</formula>
    </cfRule>
  </conditionalFormatting>
  <conditionalFormatting sqref="P3:P50">
    <cfRule type="expression" dxfId="601" priority="56" stopIfTrue="1">
      <formula>#REF!="DLN"</formula>
    </cfRule>
  </conditionalFormatting>
  <conditionalFormatting sqref="P3:P50">
    <cfRule type="expression" dxfId="600" priority="55" stopIfTrue="1">
      <formula>#REF!="DLN"</formula>
    </cfRule>
  </conditionalFormatting>
  <conditionalFormatting sqref="O3:O50">
    <cfRule type="expression" dxfId="599" priority="54" stopIfTrue="1">
      <formula>#REF!="DLN"</formula>
    </cfRule>
  </conditionalFormatting>
  <conditionalFormatting sqref="O3:O50">
    <cfRule type="expression" dxfId="598" priority="53" stopIfTrue="1">
      <formula>#REF!="DLN"</formula>
    </cfRule>
  </conditionalFormatting>
  <conditionalFormatting sqref="H3:H50">
    <cfRule type="expression" dxfId="597" priority="52" stopIfTrue="1">
      <formula>#REF!="DLN"</formula>
    </cfRule>
  </conditionalFormatting>
  <conditionalFormatting sqref="H3:H50">
    <cfRule type="expression" dxfId="596" priority="51" stopIfTrue="1">
      <formula>#REF!="DLN"</formula>
    </cfRule>
  </conditionalFormatting>
  <conditionalFormatting sqref="A8:A50">
    <cfRule type="expression" dxfId="595" priority="50" stopIfTrue="1">
      <formula>#REF!="DLN"</formula>
    </cfRule>
  </conditionalFormatting>
  <conditionalFormatting sqref="A8:A50">
    <cfRule type="expression" dxfId="594" priority="49" stopIfTrue="1">
      <formula>#REF!="DLN"</formula>
    </cfRule>
  </conditionalFormatting>
  <conditionalFormatting sqref="AE2">
    <cfRule type="expression" dxfId="593" priority="46" stopIfTrue="1">
      <formula>#REF!="DLN"</formula>
    </cfRule>
  </conditionalFormatting>
  <conditionalFormatting sqref="AE2">
    <cfRule type="expression" dxfId="592" priority="45" stopIfTrue="1">
      <formula>#REF!="DLN"</formula>
    </cfRule>
  </conditionalFormatting>
  <conditionalFormatting sqref="AE3:AE50">
    <cfRule type="expression" dxfId="591" priority="44" stopIfTrue="1">
      <formula>#REF!="DLN"</formula>
    </cfRule>
  </conditionalFormatting>
  <conditionalFormatting sqref="AE3:AE50">
    <cfRule type="expression" dxfId="590" priority="43" stopIfTrue="1">
      <formula>#REF!="DLN"</formula>
    </cfRule>
  </conditionalFormatting>
  <conditionalFormatting sqref="AG52:AH52">
    <cfRule type="cellIs" dxfId="589" priority="39" stopIfTrue="1" operator="greaterThanOrEqual">
      <formula>0.801</formula>
    </cfRule>
    <cfRule type="cellIs" dxfId="588" priority="40" stopIfTrue="1" operator="between">
      <formula>0.61</formula>
      <formula>0.8</formula>
    </cfRule>
    <cfRule type="cellIs" dxfId="587" priority="41" stopIfTrue="1" operator="between">
      <formula>0</formula>
      <formula>0.6</formula>
    </cfRule>
  </conditionalFormatting>
  <conditionalFormatting sqref="AG52:AH52">
    <cfRule type="expression" dxfId="586" priority="42" stopIfTrue="1">
      <formula>#REF!="DLN"</formula>
    </cfRule>
  </conditionalFormatting>
  <conditionalFormatting sqref="AK52:AL52">
    <cfRule type="cellIs" dxfId="585" priority="35" stopIfTrue="1" operator="greaterThanOrEqual">
      <formula>0.801</formula>
    </cfRule>
    <cfRule type="cellIs" dxfId="584" priority="36" stopIfTrue="1" operator="between">
      <formula>0.61</formula>
      <formula>0.8</formula>
    </cfRule>
    <cfRule type="cellIs" dxfId="583" priority="37" stopIfTrue="1" operator="between">
      <formula>0</formula>
      <formula>0.6</formula>
    </cfRule>
  </conditionalFormatting>
  <conditionalFormatting sqref="AK52:AL52">
    <cfRule type="expression" dxfId="582" priority="38" stopIfTrue="1">
      <formula>#REF!="DLN"</formula>
    </cfRule>
  </conditionalFormatting>
  <conditionalFormatting sqref="AN3:AN50">
    <cfRule type="expression" dxfId="581" priority="34" stopIfTrue="1">
      <formula>#REF!="DLN"</formula>
    </cfRule>
  </conditionalFormatting>
  <conditionalFormatting sqref="AN3:AN50">
    <cfRule type="expression" dxfId="580" priority="33" stopIfTrue="1">
      <formula>#REF!="DLN"</formula>
    </cfRule>
  </conditionalFormatting>
  <conditionalFormatting sqref="AM2">
    <cfRule type="expression" dxfId="579" priority="32" stopIfTrue="1">
      <formula>#REF!="DLN"</formula>
    </cfRule>
  </conditionalFormatting>
  <conditionalFormatting sqref="AM2">
    <cfRule type="expression" dxfId="578" priority="31" stopIfTrue="1">
      <formula>#REF!="DLN"</formula>
    </cfRule>
  </conditionalFormatting>
  <conditionalFormatting sqref="AM3:AM50">
    <cfRule type="expression" dxfId="577" priority="30" stopIfTrue="1">
      <formula>#REF!="DLN"</formula>
    </cfRule>
  </conditionalFormatting>
  <conditionalFormatting sqref="AM3:AM50">
    <cfRule type="expression" dxfId="576" priority="29" stopIfTrue="1">
      <formula>#REF!="DLN"</formula>
    </cfRule>
  </conditionalFormatting>
  <conditionalFormatting sqref="AO52:AP52">
    <cfRule type="cellIs" dxfId="575" priority="25" stopIfTrue="1" operator="greaterThanOrEqual">
      <formula>0.801</formula>
    </cfRule>
    <cfRule type="cellIs" dxfId="574" priority="26" stopIfTrue="1" operator="between">
      <formula>0.61</formula>
      <formula>0.8</formula>
    </cfRule>
    <cfRule type="cellIs" dxfId="573" priority="27" stopIfTrue="1" operator="between">
      <formula>0</formula>
      <formula>0.6</formula>
    </cfRule>
  </conditionalFormatting>
  <conditionalFormatting sqref="AO52:AP52">
    <cfRule type="expression" dxfId="572" priority="28" stopIfTrue="1">
      <formula>#REF!="DLN"</formula>
    </cfRule>
  </conditionalFormatting>
  <conditionalFormatting sqref="AS52:AT52">
    <cfRule type="cellIs" dxfId="571" priority="21" stopIfTrue="1" operator="greaterThanOrEqual">
      <formula>0.801</formula>
    </cfRule>
    <cfRule type="cellIs" dxfId="570" priority="22" stopIfTrue="1" operator="between">
      <formula>0.61</formula>
      <formula>0.8</formula>
    </cfRule>
    <cfRule type="cellIs" dxfId="569" priority="23" stopIfTrue="1" operator="between">
      <formula>0</formula>
      <formula>0.6</formula>
    </cfRule>
  </conditionalFormatting>
  <conditionalFormatting sqref="AS52:AT52">
    <cfRule type="expression" dxfId="568" priority="24" stopIfTrue="1">
      <formula>#REF!="DLN"</formula>
    </cfRule>
  </conditionalFormatting>
  <conditionalFormatting sqref="AV3:AV50">
    <cfRule type="expression" dxfId="567" priority="20" stopIfTrue="1">
      <formula>#REF!="DLN"</formula>
    </cfRule>
  </conditionalFormatting>
  <conditionalFormatting sqref="AV3:AV50">
    <cfRule type="expression" dxfId="566" priority="19" stopIfTrue="1">
      <formula>#REF!="DLN"</formula>
    </cfRule>
  </conditionalFormatting>
  <conditionalFormatting sqref="AU2">
    <cfRule type="expression" dxfId="565" priority="18" stopIfTrue="1">
      <formula>#REF!="DLN"</formula>
    </cfRule>
  </conditionalFormatting>
  <conditionalFormatting sqref="AU2">
    <cfRule type="expression" dxfId="564" priority="17" stopIfTrue="1">
      <formula>#REF!="DLN"</formula>
    </cfRule>
  </conditionalFormatting>
  <conditionalFormatting sqref="AU3:AU50">
    <cfRule type="expression" dxfId="563" priority="16" stopIfTrue="1">
      <formula>#REF!="DLN"</formula>
    </cfRule>
  </conditionalFormatting>
  <conditionalFormatting sqref="AU3:AU50">
    <cfRule type="expression" dxfId="562" priority="15" stopIfTrue="1">
      <formula>#REF!="DLN"</formula>
    </cfRule>
  </conditionalFormatting>
  <conditionalFormatting sqref="AW52:AX52">
    <cfRule type="cellIs" dxfId="561" priority="11" stopIfTrue="1" operator="greaterThanOrEqual">
      <formula>0.801</formula>
    </cfRule>
    <cfRule type="cellIs" dxfId="560" priority="12" stopIfTrue="1" operator="between">
      <formula>0.61</formula>
      <formula>0.8</formula>
    </cfRule>
    <cfRule type="cellIs" dxfId="559" priority="13" stopIfTrue="1" operator="between">
      <formula>0</formula>
      <formula>0.6</formula>
    </cfRule>
  </conditionalFormatting>
  <conditionalFormatting sqref="AW52:AX52">
    <cfRule type="expression" dxfId="558" priority="14" stopIfTrue="1">
      <formula>#REF!="DLN"</formula>
    </cfRule>
  </conditionalFormatting>
  <conditionalFormatting sqref="A6">
    <cfRule type="expression" dxfId="557" priority="10" stopIfTrue="1">
      <formula>#REF!="DLN"</formula>
    </cfRule>
  </conditionalFormatting>
  <conditionalFormatting sqref="A6">
    <cfRule type="expression" dxfId="556" priority="9" stopIfTrue="1">
      <formula>#REF!="DLN"</formula>
    </cfRule>
  </conditionalFormatting>
  <conditionalFormatting sqref="A7">
    <cfRule type="expression" dxfId="555" priority="8" stopIfTrue="1">
      <formula>#REF!="DLN"</formula>
    </cfRule>
  </conditionalFormatting>
  <conditionalFormatting sqref="A7">
    <cfRule type="expression" dxfId="554" priority="7" stopIfTrue="1">
      <formula>#REF!="DLN"</formula>
    </cfRule>
  </conditionalFormatting>
  <conditionalFormatting sqref="A3">
    <cfRule type="expression" dxfId="553" priority="6" stopIfTrue="1">
      <formula>#REF!="DLN"</formula>
    </cfRule>
  </conditionalFormatting>
  <conditionalFormatting sqref="A3">
    <cfRule type="expression" dxfId="552" priority="5" stopIfTrue="1">
      <formula>#REF!="DLN"</formula>
    </cfRule>
  </conditionalFormatting>
  <conditionalFormatting sqref="A4">
    <cfRule type="expression" dxfId="551" priority="4" stopIfTrue="1">
      <formula>#REF!="DLN"</formula>
    </cfRule>
  </conditionalFormatting>
  <conditionalFormatting sqref="A4">
    <cfRule type="expression" dxfId="550" priority="3" stopIfTrue="1">
      <formula>#REF!="DLN"</formula>
    </cfRule>
  </conditionalFormatting>
  <conditionalFormatting sqref="A5">
    <cfRule type="expression" dxfId="549" priority="2" stopIfTrue="1">
      <formula>#REF!="DLN"</formula>
    </cfRule>
  </conditionalFormatting>
  <conditionalFormatting sqref="A5">
    <cfRule type="expression" dxfId="548" priority="1" stopIfTrue="1">
      <formula>#REF!="DLN"</formula>
    </cfRule>
  </conditionalFormatting>
  <dataValidations count="1">
    <dataValidation type="list" allowBlank="1" showInputMessage="1" showErrorMessage="1" sqref="A3:A50" xr:uid="{4996657E-FE8A-41C9-B9DB-11BCC2D56134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71E759-920C-4192-806D-B161AFD3B28F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1AD4-0B88-4A9B-AAD5-AC88C030E13A}">
  <sheetPr codeName="Sheet22"/>
  <dimension ref="A1:AX62"/>
  <sheetViews>
    <sheetView workbookViewId="0">
      <selection activeCell="C8" sqref="C8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203</v>
      </c>
      <c r="B3" s="24" t="s">
        <v>444</v>
      </c>
      <c r="C3" s="20" t="str">
        <f>IFERROR(VLOOKUP(A3,'Parts List and Volumes'!C2:D194,2,FALSE),"")</f>
        <v>NBAA0028BAF20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20526</v>
      </c>
      <c r="H3" s="41">
        <f>IFERROR(VLOOKUP($A3,'Parts List and Volumes'!$C$2:$W194,6,FALSE),"")</f>
        <v>38029.688611576908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0</v>
      </c>
      <c r="L3" s="45">
        <f>IFERROR(VLOOKUP($A3,'Parts List and Volumes'!$C$2:$W194,8,FALSE),"")</f>
        <v>34661.731976237832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30624.835887636655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25254.712766316996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5233.0479065111986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 t="s">
        <v>205</v>
      </c>
      <c r="B4" s="24" t="s">
        <v>444</v>
      </c>
      <c r="C4" s="20" t="str">
        <f>IFERROR(VLOOKUP(A4,'Parts List and Volumes'!C3:D195,2,FALSE),"")</f>
        <v>NBAA0029BAF20</v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/>
      <c r="G4" s="40">
        <f>IFERROR(VLOOKUP($A4,'Parts List and Volumes'!$C$2:$W195,5,FALSE),"")</f>
        <v>20541</v>
      </c>
      <c r="H4" s="41">
        <f>IFERROR(VLOOKUP($A4,'Parts List and Volumes'!$C$2:$W195,6,FALSE),"")</f>
        <v>38029.688611576908</v>
      </c>
      <c r="I4" s="42">
        <f t="shared" si="0"/>
        <v>0</v>
      </c>
      <c r="J4" s="43">
        <f t="shared" si="0"/>
        <v>0</v>
      </c>
      <c r="K4" s="44">
        <f>IFERROR(VLOOKUP($A4,'Parts List and Volumes'!$C$2:$W195,7,FALSE),"")</f>
        <v>0</v>
      </c>
      <c r="L4" s="45">
        <f>IFERROR(VLOOKUP($A4,'Parts List and Volumes'!$C$2:$W195,8,FALSE),"")</f>
        <v>34661.731976237832</v>
      </c>
      <c r="M4" s="46">
        <f t="shared" si="1"/>
        <v>0</v>
      </c>
      <c r="N4" s="47">
        <f t="shared" si="1"/>
        <v>0</v>
      </c>
      <c r="O4" s="41">
        <f>IFERROR(VLOOKUP($A4,'Parts List and Volumes'!$C$2:$W195,9,FALSE),"")</f>
        <v>0</v>
      </c>
      <c r="P4" s="41">
        <f>IFERROR(VLOOKUP($A4,'Parts List and Volumes'!$C$2:$W195,10,FALSE),"")</f>
        <v>30624.835887636655</v>
      </c>
      <c r="Q4" s="48">
        <f t="shared" si="2"/>
        <v>0</v>
      </c>
      <c r="R4" s="43">
        <f t="shared" si="2"/>
        <v>0</v>
      </c>
      <c r="S4" s="44">
        <f>IFERROR(VLOOKUP($A4,'Parts List and Volumes'!$C$2:$W195,11,FALSE),"")</f>
        <v>0</v>
      </c>
      <c r="T4" s="45">
        <f>IFERROR(VLOOKUP($A4,'Parts List and Volumes'!$C$2:$W195,12,FALSE),"")</f>
        <v>25254.712766316996</v>
      </c>
      <c r="U4" s="46">
        <f t="shared" si="3"/>
        <v>0</v>
      </c>
      <c r="V4" s="47">
        <f t="shared" si="3"/>
        <v>0</v>
      </c>
      <c r="W4" s="40">
        <f>IFERROR(VLOOKUP($A4,'Parts List and Volumes'!$C$2:$W195,13,FALSE),"")</f>
        <v>0</v>
      </c>
      <c r="X4" s="41">
        <f>IFERROR(VLOOKUP($A4,'Parts List and Volumes'!$C$2:$W195,14,FALSE),"")</f>
        <v>5233.0479065111986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0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1"/>
        <v/>
      </c>
      <c r="N5" s="47" t="str">
        <f t="shared" si="1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2"/>
        <v/>
      </c>
      <c r="R5" s="43" t="str">
        <f t="shared" si="2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3"/>
        <v/>
      </c>
      <c r="V5" s="47" t="str">
        <f t="shared" si="3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4"/>
        <v/>
      </c>
      <c r="Z5" s="43" t="str">
        <f t="shared" si="4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5"/>
        <v/>
      </c>
      <c r="AD5" s="52" t="str">
        <f t="shared" si="5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6"/>
        <v/>
      </c>
      <c r="AH5" s="43" t="str">
        <f t="shared" si="6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7"/>
        <v/>
      </c>
      <c r="AL5" s="52" t="str">
        <f t="shared" si="7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8"/>
        <v/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327" priority="110" stopIfTrue="1">
      <formula>#REF!="DLN"</formula>
    </cfRule>
  </conditionalFormatting>
  <conditionalFormatting sqref="F3:F7 D3:E50">
    <cfRule type="expression" dxfId="326" priority="109" stopIfTrue="1">
      <formula>#REF!="DLN"</formula>
    </cfRule>
  </conditionalFormatting>
  <conditionalFormatting sqref="L3:L50">
    <cfRule type="expression" dxfId="325" priority="108" stopIfTrue="1">
      <formula>#REF!="DLN"</formula>
    </cfRule>
  </conditionalFormatting>
  <conditionalFormatting sqref="L3:L50">
    <cfRule type="expression" dxfId="324" priority="107" stopIfTrue="1">
      <formula>#REF!="DLN"</formula>
    </cfRule>
  </conditionalFormatting>
  <conditionalFormatting sqref="T3:T50">
    <cfRule type="expression" dxfId="323" priority="106" stopIfTrue="1">
      <formula>#REF!="DLN"</formula>
    </cfRule>
  </conditionalFormatting>
  <conditionalFormatting sqref="T3:T50">
    <cfRule type="expression" dxfId="322" priority="105" stopIfTrue="1">
      <formula>#REF!="DLN"</formula>
    </cfRule>
  </conditionalFormatting>
  <conditionalFormatting sqref="X3:X50">
    <cfRule type="expression" dxfId="321" priority="104" stopIfTrue="1">
      <formula>#REF!="DLN"</formula>
    </cfRule>
  </conditionalFormatting>
  <conditionalFormatting sqref="X3:X50">
    <cfRule type="expression" dxfId="320" priority="103" stopIfTrue="1">
      <formula>#REF!="DLN"</formula>
    </cfRule>
  </conditionalFormatting>
  <conditionalFormatting sqref="G2">
    <cfRule type="expression" dxfId="319" priority="102" stopIfTrue="1">
      <formula>#REF!="DLN"</formula>
    </cfRule>
  </conditionalFormatting>
  <conditionalFormatting sqref="G2">
    <cfRule type="expression" dxfId="318" priority="101" stopIfTrue="1">
      <formula>#REF!="DLN"</formula>
    </cfRule>
  </conditionalFormatting>
  <conditionalFormatting sqref="K2">
    <cfRule type="expression" dxfId="317" priority="100" stopIfTrue="1">
      <formula>#REF!="DLN"</formula>
    </cfRule>
  </conditionalFormatting>
  <conditionalFormatting sqref="K2">
    <cfRule type="expression" dxfId="316" priority="99" stopIfTrue="1">
      <formula>#REF!="DLN"</formula>
    </cfRule>
  </conditionalFormatting>
  <conditionalFormatting sqref="O2">
    <cfRule type="expression" dxfId="315" priority="98" stopIfTrue="1">
      <formula>#REF!="DLN"</formula>
    </cfRule>
  </conditionalFormatting>
  <conditionalFormatting sqref="O2">
    <cfRule type="expression" dxfId="314" priority="97" stopIfTrue="1">
      <formula>#REF!="DLN"</formula>
    </cfRule>
  </conditionalFormatting>
  <conditionalFormatting sqref="S2">
    <cfRule type="expression" dxfId="313" priority="96" stopIfTrue="1">
      <formula>#REF!="DLN"</formula>
    </cfRule>
  </conditionalFormatting>
  <conditionalFormatting sqref="S2">
    <cfRule type="expression" dxfId="312" priority="95" stopIfTrue="1">
      <formula>#REF!="DLN"</formula>
    </cfRule>
  </conditionalFormatting>
  <conditionalFormatting sqref="W2">
    <cfRule type="expression" dxfId="311" priority="94" stopIfTrue="1">
      <formula>#REF!="DLN"</formula>
    </cfRule>
  </conditionalFormatting>
  <conditionalFormatting sqref="W2">
    <cfRule type="expression" dxfId="310" priority="93" stopIfTrue="1">
      <formula>#REF!="DLN"</formula>
    </cfRule>
  </conditionalFormatting>
  <conditionalFormatting sqref="AF3:AF50">
    <cfRule type="expression" dxfId="309" priority="47" stopIfTrue="1">
      <formula>#REF!="DLN"</formula>
    </cfRule>
  </conditionalFormatting>
  <conditionalFormatting sqref="W3:W50">
    <cfRule type="expression" dxfId="308" priority="92" stopIfTrue="1">
      <formula>#REF!="DLN"</formula>
    </cfRule>
  </conditionalFormatting>
  <conditionalFormatting sqref="W3:W50">
    <cfRule type="expression" dxfId="307" priority="91" stopIfTrue="1">
      <formula>#REF!="DLN"</formula>
    </cfRule>
  </conditionalFormatting>
  <conditionalFormatting sqref="S3:S50">
    <cfRule type="expression" dxfId="306" priority="90" stopIfTrue="1">
      <formula>#REF!="DLN"</formula>
    </cfRule>
  </conditionalFormatting>
  <conditionalFormatting sqref="S3:S50">
    <cfRule type="expression" dxfId="305" priority="89" stopIfTrue="1">
      <formula>#REF!="DLN"</formula>
    </cfRule>
  </conditionalFormatting>
  <conditionalFormatting sqref="K3:K50">
    <cfRule type="expression" dxfId="304" priority="88" stopIfTrue="1">
      <formula>#REF!="DLN"</formula>
    </cfRule>
  </conditionalFormatting>
  <conditionalFormatting sqref="K3:K50">
    <cfRule type="expression" dxfId="303" priority="87" stopIfTrue="1">
      <formula>#REF!="DLN"</formula>
    </cfRule>
  </conditionalFormatting>
  <conditionalFormatting sqref="AF3:AF50">
    <cfRule type="expression" dxfId="302" priority="48" stopIfTrue="1">
      <formula>#REF!="DLN"</formula>
    </cfRule>
  </conditionalFormatting>
  <conditionalFormatting sqref="J52">
    <cfRule type="cellIs" dxfId="301" priority="83" stopIfTrue="1" operator="greaterThanOrEqual">
      <formula>0.801</formula>
    </cfRule>
    <cfRule type="cellIs" dxfId="300" priority="84" stopIfTrue="1" operator="between">
      <formula>0.61</formula>
      <formula>0.8</formula>
    </cfRule>
    <cfRule type="cellIs" dxfId="299" priority="85" stopIfTrue="1" operator="between">
      <formula>0</formula>
      <formula>0.6</formula>
    </cfRule>
  </conditionalFormatting>
  <conditionalFormatting sqref="J52">
    <cfRule type="expression" dxfId="298" priority="86" stopIfTrue="1">
      <formula>#REF!="DLN"</formula>
    </cfRule>
  </conditionalFormatting>
  <conditionalFormatting sqref="I52">
    <cfRule type="cellIs" dxfId="297" priority="79" stopIfTrue="1" operator="greaterThanOrEqual">
      <formula>0.801</formula>
    </cfRule>
    <cfRule type="cellIs" dxfId="296" priority="80" stopIfTrue="1" operator="between">
      <formula>0.61</formula>
      <formula>0.8</formula>
    </cfRule>
    <cfRule type="cellIs" dxfId="295" priority="81" stopIfTrue="1" operator="between">
      <formula>0</formula>
      <formula>0.6</formula>
    </cfRule>
  </conditionalFormatting>
  <conditionalFormatting sqref="I52">
    <cfRule type="expression" dxfId="294" priority="82" stopIfTrue="1">
      <formula>#REF!="DLN"</formula>
    </cfRule>
  </conditionalFormatting>
  <conditionalFormatting sqref="M52:N52">
    <cfRule type="cellIs" dxfId="293" priority="75" stopIfTrue="1" operator="greaterThanOrEqual">
      <formula>0.801</formula>
    </cfRule>
    <cfRule type="cellIs" dxfId="292" priority="76" stopIfTrue="1" operator="between">
      <formula>0.61</formula>
      <formula>0.8</formula>
    </cfRule>
    <cfRule type="cellIs" dxfId="291" priority="77" stopIfTrue="1" operator="between">
      <formula>0</formula>
      <formula>0.6</formula>
    </cfRule>
  </conditionalFormatting>
  <conditionalFormatting sqref="M52:N52">
    <cfRule type="expression" dxfId="290" priority="78" stopIfTrue="1">
      <formula>#REF!="DLN"</formula>
    </cfRule>
  </conditionalFormatting>
  <conditionalFormatting sqref="Q52:R52">
    <cfRule type="cellIs" dxfId="289" priority="71" stopIfTrue="1" operator="greaterThanOrEqual">
      <formula>0.801</formula>
    </cfRule>
    <cfRule type="cellIs" dxfId="288" priority="72" stopIfTrue="1" operator="between">
      <formula>0.61</formula>
      <formula>0.8</formula>
    </cfRule>
    <cfRule type="cellIs" dxfId="287" priority="73" stopIfTrue="1" operator="between">
      <formula>0</formula>
      <formula>0.6</formula>
    </cfRule>
  </conditionalFormatting>
  <conditionalFormatting sqref="Q52:R52">
    <cfRule type="expression" dxfId="286" priority="74" stopIfTrue="1">
      <formula>#REF!="DLN"</formula>
    </cfRule>
  </conditionalFormatting>
  <conditionalFormatting sqref="U52:V52">
    <cfRule type="cellIs" dxfId="285" priority="67" stopIfTrue="1" operator="greaterThanOrEqual">
      <formula>0.801</formula>
    </cfRule>
    <cfRule type="cellIs" dxfId="284" priority="68" stopIfTrue="1" operator="between">
      <formula>0.61</formula>
      <formula>0.8</formula>
    </cfRule>
    <cfRule type="cellIs" dxfId="283" priority="69" stopIfTrue="1" operator="between">
      <formula>0</formula>
      <formula>0.6</formula>
    </cfRule>
  </conditionalFormatting>
  <conditionalFormatting sqref="U52:V52">
    <cfRule type="expression" dxfId="282" priority="70" stopIfTrue="1">
      <formula>#REF!="DLN"</formula>
    </cfRule>
  </conditionalFormatting>
  <conditionalFormatting sqref="Y52:Z52">
    <cfRule type="cellIs" dxfId="281" priority="63" stopIfTrue="1" operator="greaterThanOrEqual">
      <formula>0.801</formula>
    </cfRule>
    <cfRule type="cellIs" dxfId="280" priority="64" stopIfTrue="1" operator="between">
      <formula>0.61</formula>
      <formula>0.8</formula>
    </cfRule>
    <cfRule type="cellIs" dxfId="279" priority="65" stopIfTrue="1" operator="between">
      <formula>0</formula>
      <formula>0.6</formula>
    </cfRule>
  </conditionalFormatting>
  <conditionalFormatting sqref="Y52:Z52">
    <cfRule type="expression" dxfId="278" priority="66" stopIfTrue="1">
      <formula>#REF!="DLN"</formula>
    </cfRule>
  </conditionalFormatting>
  <conditionalFormatting sqref="AC52:AD52">
    <cfRule type="cellIs" dxfId="277" priority="59" stopIfTrue="1" operator="greaterThanOrEqual">
      <formula>0.801</formula>
    </cfRule>
    <cfRule type="cellIs" dxfId="276" priority="60" stopIfTrue="1" operator="between">
      <formula>0.61</formula>
      <formula>0.8</formula>
    </cfRule>
    <cfRule type="cellIs" dxfId="275" priority="61" stopIfTrue="1" operator="between">
      <formula>0</formula>
      <formula>0.6</formula>
    </cfRule>
  </conditionalFormatting>
  <conditionalFormatting sqref="AC52:AD52">
    <cfRule type="expression" dxfId="274" priority="62" stopIfTrue="1">
      <formula>#REF!="DLN"</formula>
    </cfRule>
  </conditionalFormatting>
  <conditionalFormatting sqref="G3:G50">
    <cfRule type="expression" dxfId="273" priority="57" stopIfTrue="1">
      <formula>#REF!="DLN"</formula>
    </cfRule>
  </conditionalFormatting>
  <conditionalFormatting sqref="G3:G50">
    <cfRule type="expression" dxfId="272" priority="58" stopIfTrue="1">
      <formula>#REF!="DLN"</formula>
    </cfRule>
  </conditionalFormatting>
  <conditionalFormatting sqref="P3:P50">
    <cfRule type="expression" dxfId="271" priority="56" stopIfTrue="1">
      <formula>#REF!="DLN"</formula>
    </cfRule>
  </conditionalFormatting>
  <conditionalFormatting sqref="P3:P50">
    <cfRule type="expression" dxfId="270" priority="55" stopIfTrue="1">
      <formula>#REF!="DLN"</formula>
    </cfRule>
  </conditionalFormatting>
  <conditionalFormatting sqref="O3:O50">
    <cfRule type="expression" dxfId="269" priority="54" stopIfTrue="1">
      <formula>#REF!="DLN"</formula>
    </cfRule>
  </conditionalFormatting>
  <conditionalFormatting sqref="O3:O50">
    <cfRule type="expression" dxfId="268" priority="53" stopIfTrue="1">
      <formula>#REF!="DLN"</formula>
    </cfRule>
  </conditionalFormatting>
  <conditionalFormatting sqref="H3:H50">
    <cfRule type="expression" dxfId="267" priority="52" stopIfTrue="1">
      <formula>#REF!="DLN"</formula>
    </cfRule>
  </conditionalFormatting>
  <conditionalFormatting sqref="H3:H50">
    <cfRule type="expression" dxfId="266" priority="51" stopIfTrue="1">
      <formula>#REF!="DLN"</formula>
    </cfRule>
  </conditionalFormatting>
  <conditionalFormatting sqref="A8:A50">
    <cfRule type="expression" dxfId="265" priority="50" stopIfTrue="1">
      <formula>#REF!="DLN"</formula>
    </cfRule>
  </conditionalFormatting>
  <conditionalFormatting sqref="A8:A50">
    <cfRule type="expression" dxfId="264" priority="49" stopIfTrue="1">
      <formula>#REF!="DLN"</formula>
    </cfRule>
  </conditionalFormatting>
  <conditionalFormatting sqref="AE2">
    <cfRule type="expression" dxfId="263" priority="46" stopIfTrue="1">
      <formula>#REF!="DLN"</formula>
    </cfRule>
  </conditionalFormatting>
  <conditionalFormatting sqref="AE2">
    <cfRule type="expression" dxfId="262" priority="45" stopIfTrue="1">
      <formula>#REF!="DLN"</formula>
    </cfRule>
  </conditionalFormatting>
  <conditionalFormatting sqref="AE3:AE50">
    <cfRule type="expression" dxfId="261" priority="44" stopIfTrue="1">
      <formula>#REF!="DLN"</formula>
    </cfRule>
  </conditionalFormatting>
  <conditionalFormatting sqref="AE3:AE50">
    <cfRule type="expression" dxfId="260" priority="43" stopIfTrue="1">
      <formula>#REF!="DLN"</formula>
    </cfRule>
  </conditionalFormatting>
  <conditionalFormatting sqref="AG52:AH52">
    <cfRule type="cellIs" dxfId="259" priority="39" stopIfTrue="1" operator="greaterThanOrEqual">
      <formula>0.801</formula>
    </cfRule>
    <cfRule type="cellIs" dxfId="258" priority="40" stopIfTrue="1" operator="between">
      <formula>0.61</formula>
      <formula>0.8</formula>
    </cfRule>
    <cfRule type="cellIs" dxfId="257" priority="41" stopIfTrue="1" operator="between">
      <formula>0</formula>
      <formula>0.6</formula>
    </cfRule>
  </conditionalFormatting>
  <conditionalFormatting sqref="AG52:AH52">
    <cfRule type="expression" dxfId="256" priority="42" stopIfTrue="1">
      <formula>#REF!="DLN"</formula>
    </cfRule>
  </conditionalFormatting>
  <conditionalFormatting sqref="AK52:AL52">
    <cfRule type="cellIs" dxfId="255" priority="35" stopIfTrue="1" operator="greaterThanOrEqual">
      <formula>0.801</formula>
    </cfRule>
    <cfRule type="cellIs" dxfId="254" priority="36" stopIfTrue="1" operator="between">
      <formula>0.61</formula>
      <formula>0.8</formula>
    </cfRule>
    <cfRule type="cellIs" dxfId="253" priority="37" stopIfTrue="1" operator="between">
      <formula>0</formula>
      <formula>0.6</formula>
    </cfRule>
  </conditionalFormatting>
  <conditionalFormatting sqref="AK52:AL52">
    <cfRule type="expression" dxfId="252" priority="38" stopIfTrue="1">
      <formula>#REF!="DLN"</formula>
    </cfRule>
  </conditionalFormatting>
  <conditionalFormatting sqref="AN3:AN50">
    <cfRule type="expression" dxfId="251" priority="34" stopIfTrue="1">
      <formula>#REF!="DLN"</formula>
    </cfRule>
  </conditionalFormatting>
  <conditionalFormatting sqref="AN3:AN50">
    <cfRule type="expression" dxfId="250" priority="33" stopIfTrue="1">
      <formula>#REF!="DLN"</formula>
    </cfRule>
  </conditionalFormatting>
  <conditionalFormatting sqref="AM2">
    <cfRule type="expression" dxfId="249" priority="32" stopIfTrue="1">
      <formula>#REF!="DLN"</formula>
    </cfRule>
  </conditionalFormatting>
  <conditionalFormatting sqref="AM2">
    <cfRule type="expression" dxfId="248" priority="31" stopIfTrue="1">
      <formula>#REF!="DLN"</formula>
    </cfRule>
  </conditionalFormatting>
  <conditionalFormatting sqref="AM3:AM50">
    <cfRule type="expression" dxfId="247" priority="30" stopIfTrue="1">
      <formula>#REF!="DLN"</formula>
    </cfRule>
  </conditionalFormatting>
  <conditionalFormatting sqref="AM3:AM50">
    <cfRule type="expression" dxfId="246" priority="29" stopIfTrue="1">
      <formula>#REF!="DLN"</formula>
    </cfRule>
  </conditionalFormatting>
  <conditionalFormatting sqref="AO52:AP52">
    <cfRule type="cellIs" dxfId="245" priority="25" stopIfTrue="1" operator="greaterThanOrEqual">
      <formula>0.801</formula>
    </cfRule>
    <cfRule type="cellIs" dxfId="244" priority="26" stopIfTrue="1" operator="between">
      <formula>0.61</formula>
      <formula>0.8</formula>
    </cfRule>
    <cfRule type="cellIs" dxfId="243" priority="27" stopIfTrue="1" operator="between">
      <formula>0</formula>
      <formula>0.6</formula>
    </cfRule>
  </conditionalFormatting>
  <conditionalFormatting sqref="AO52:AP52">
    <cfRule type="expression" dxfId="242" priority="28" stopIfTrue="1">
      <formula>#REF!="DLN"</formula>
    </cfRule>
  </conditionalFormatting>
  <conditionalFormatting sqref="AS52:AT52">
    <cfRule type="cellIs" dxfId="241" priority="21" stopIfTrue="1" operator="greaterThanOrEqual">
      <formula>0.801</formula>
    </cfRule>
    <cfRule type="cellIs" dxfId="240" priority="22" stopIfTrue="1" operator="between">
      <formula>0.61</formula>
      <formula>0.8</formula>
    </cfRule>
    <cfRule type="cellIs" dxfId="239" priority="23" stopIfTrue="1" operator="between">
      <formula>0</formula>
      <formula>0.6</formula>
    </cfRule>
  </conditionalFormatting>
  <conditionalFormatting sqref="AS52:AT52">
    <cfRule type="expression" dxfId="238" priority="24" stopIfTrue="1">
      <formula>#REF!="DLN"</formula>
    </cfRule>
  </conditionalFormatting>
  <conditionalFormatting sqref="AV3:AV50">
    <cfRule type="expression" dxfId="237" priority="20" stopIfTrue="1">
      <formula>#REF!="DLN"</formula>
    </cfRule>
  </conditionalFormatting>
  <conditionalFormatting sqref="AV3:AV50">
    <cfRule type="expression" dxfId="236" priority="19" stopIfTrue="1">
      <formula>#REF!="DLN"</formula>
    </cfRule>
  </conditionalFormatting>
  <conditionalFormatting sqref="AU2">
    <cfRule type="expression" dxfId="235" priority="18" stopIfTrue="1">
      <formula>#REF!="DLN"</formula>
    </cfRule>
  </conditionalFormatting>
  <conditionalFormatting sqref="AU2">
    <cfRule type="expression" dxfId="234" priority="17" stopIfTrue="1">
      <formula>#REF!="DLN"</formula>
    </cfRule>
  </conditionalFormatting>
  <conditionalFormatting sqref="AU3:AU50">
    <cfRule type="expression" dxfId="233" priority="16" stopIfTrue="1">
      <formula>#REF!="DLN"</formula>
    </cfRule>
  </conditionalFormatting>
  <conditionalFormatting sqref="AU3:AU50">
    <cfRule type="expression" dxfId="232" priority="15" stopIfTrue="1">
      <formula>#REF!="DLN"</formula>
    </cfRule>
  </conditionalFormatting>
  <conditionalFormatting sqref="AW52:AX52">
    <cfRule type="cellIs" dxfId="231" priority="11" stopIfTrue="1" operator="greaterThanOrEqual">
      <formula>0.801</formula>
    </cfRule>
    <cfRule type="cellIs" dxfId="230" priority="12" stopIfTrue="1" operator="between">
      <formula>0.61</formula>
      <formula>0.8</formula>
    </cfRule>
    <cfRule type="cellIs" dxfId="229" priority="13" stopIfTrue="1" operator="between">
      <formula>0</formula>
      <formula>0.6</formula>
    </cfRule>
  </conditionalFormatting>
  <conditionalFormatting sqref="AW52:AX52">
    <cfRule type="expression" dxfId="228" priority="14" stopIfTrue="1">
      <formula>#REF!="DLN"</formula>
    </cfRule>
  </conditionalFormatting>
  <conditionalFormatting sqref="A6">
    <cfRule type="expression" dxfId="227" priority="10" stopIfTrue="1">
      <formula>#REF!="DLN"</formula>
    </cfRule>
  </conditionalFormatting>
  <conditionalFormatting sqref="A6">
    <cfRule type="expression" dxfId="226" priority="9" stopIfTrue="1">
      <formula>#REF!="DLN"</formula>
    </cfRule>
  </conditionalFormatting>
  <conditionalFormatting sqref="A7">
    <cfRule type="expression" dxfId="225" priority="8" stopIfTrue="1">
      <formula>#REF!="DLN"</formula>
    </cfRule>
  </conditionalFormatting>
  <conditionalFormatting sqref="A7">
    <cfRule type="expression" dxfId="224" priority="7" stopIfTrue="1">
      <formula>#REF!="DLN"</formula>
    </cfRule>
  </conditionalFormatting>
  <conditionalFormatting sqref="A3">
    <cfRule type="expression" dxfId="223" priority="6" stopIfTrue="1">
      <formula>#REF!="DLN"</formula>
    </cfRule>
  </conditionalFormatting>
  <conditionalFormatting sqref="A3">
    <cfRule type="expression" dxfId="222" priority="5" stopIfTrue="1">
      <formula>#REF!="DLN"</formula>
    </cfRule>
  </conditionalFormatting>
  <conditionalFormatting sqref="A4">
    <cfRule type="expression" dxfId="221" priority="4" stopIfTrue="1">
      <formula>#REF!="DLN"</formula>
    </cfRule>
  </conditionalFormatting>
  <conditionalFormatting sqref="A4">
    <cfRule type="expression" dxfId="220" priority="3" stopIfTrue="1">
      <formula>#REF!="DLN"</formula>
    </cfRule>
  </conditionalFormatting>
  <conditionalFormatting sqref="A5">
    <cfRule type="expression" dxfId="219" priority="2" stopIfTrue="1">
      <formula>#REF!="DLN"</formula>
    </cfRule>
  </conditionalFormatting>
  <conditionalFormatting sqref="A5">
    <cfRule type="expression" dxfId="218" priority="1" stopIfTrue="1">
      <formula>#REF!="DLN"</formula>
    </cfRule>
  </conditionalFormatting>
  <dataValidations count="1">
    <dataValidation type="list" allowBlank="1" showInputMessage="1" showErrorMessage="1" sqref="A3:A50" xr:uid="{8DF60A91-DDE4-4C2E-A935-1BDE3B8B74B4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F6AA9E-ED95-4F8C-860C-AA9B3E3AD3D7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0796-E68B-42B0-B8B9-58A22E7CD120}">
  <sheetPr codeName="Sheet20"/>
  <dimension ref="A1:AX62"/>
  <sheetViews>
    <sheetView workbookViewId="0">
      <selection activeCell="J28" sqref="J28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189</v>
      </c>
      <c r="B3" s="24" t="s">
        <v>444</v>
      </c>
      <c r="C3" s="20" t="str">
        <f>IFERROR(VLOOKUP(A3,'Parts List and Volumes'!C2:D194,2,FALSE),"")</f>
        <v>NBAA0030DAF20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156684</v>
      </c>
      <c r="H3" s="41">
        <f>IFERROR(VLOOKUP($A3,'Parts List and Volumes'!$C$2:$W194,6,FALSE),"")</f>
        <v>190497.85405243796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0</v>
      </c>
      <c r="L3" s="45">
        <f>IFERROR(VLOOKUP($A3,'Parts List and Volumes'!$C$2:$W194,8,FALSE),"")</f>
        <v>173627.12660245161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153405.55577220555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126505.60029117759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26213.31998076148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 t="s">
        <v>193</v>
      </c>
      <c r="B4" s="24" t="s">
        <v>444</v>
      </c>
      <c r="C4" s="20" t="str">
        <f>IFERROR(VLOOKUP(A4,'Parts List and Volumes'!C3:D195,2,FALSE),"")</f>
        <v>NBAA0031DAF20</v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/>
      <c r="G4" s="40">
        <f>IFERROR(VLOOKUP($A4,'Parts List and Volumes'!$C$2:$W195,5,FALSE),"")</f>
        <v>156971</v>
      </c>
      <c r="H4" s="41">
        <f>IFERROR(VLOOKUP($A4,'Parts List and Volumes'!$C$2:$W195,6,FALSE),"")</f>
        <v>190497.85405243796</v>
      </c>
      <c r="I4" s="42">
        <f t="shared" si="0"/>
        <v>0</v>
      </c>
      <c r="J4" s="43">
        <f t="shared" si="0"/>
        <v>0</v>
      </c>
      <c r="K4" s="44">
        <f>IFERROR(VLOOKUP($A4,'Parts List and Volumes'!$C$2:$W195,7,FALSE),"")</f>
        <v>0</v>
      </c>
      <c r="L4" s="45">
        <f>IFERROR(VLOOKUP($A4,'Parts List and Volumes'!$C$2:$W195,8,FALSE),"")</f>
        <v>173627.12660245161</v>
      </c>
      <c r="M4" s="46">
        <f t="shared" si="1"/>
        <v>0</v>
      </c>
      <c r="N4" s="47">
        <f t="shared" si="1"/>
        <v>0</v>
      </c>
      <c r="O4" s="41">
        <f>IFERROR(VLOOKUP($A4,'Parts List and Volumes'!$C$2:$W195,9,FALSE),"")</f>
        <v>0</v>
      </c>
      <c r="P4" s="41">
        <f>IFERROR(VLOOKUP($A4,'Parts List and Volumes'!$C$2:$W195,10,FALSE),"")</f>
        <v>153405.55577220555</v>
      </c>
      <c r="Q4" s="48">
        <f t="shared" si="2"/>
        <v>0</v>
      </c>
      <c r="R4" s="43">
        <f t="shared" si="2"/>
        <v>0</v>
      </c>
      <c r="S4" s="44">
        <f>IFERROR(VLOOKUP($A4,'Parts List and Volumes'!$C$2:$W195,11,FALSE),"")</f>
        <v>0</v>
      </c>
      <c r="T4" s="45">
        <f>IFERROR(VLOOKUP($A4,'Parts List and Volumes'!$C$2:$W195,12,FALSE),"")</f>
        <v>126505.60029117759</v>
      </c>
      <c r="U4" s="46">
        <f t="shared" si="3"/>
        <v>0</v>
      </c>
      <c r="V4" s="47">
        <f t="shared" si="3"/>
        <v>0</v>
      </c>
      <c r="W4" s="40">
        <f>IFERROR(VLOOKUP($A4,'Parts List and Volumes'!$C$2:$W195,13,FALSE),"")</f>
        <v>0</v>
      </c>
      <c r="X4" s="41">
        <f>IFERROR(VLOOKUP($A4,'Parts List and Volumes'!$C$2:$W195,14,FALSE),"")</f>
        <v>26213.31998076148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0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1"/>
        <v/>
      </c>
      <c r="N5" s="47" t="str">
        <f t="shared" si="1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2"/>
        <v/>
      </c>
      <c r="R5" s="43" t="str">
        <f t="shared" si="2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3"/>
        <v/>
      </c>
      <c r="V5" s="47" t="str">
        <f t="shared" si="3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4"/>
        <v/>
      </c>
      <c r="Z5" s="43" t="str">
        <f t="shared" si="4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5"/>
        <v/>
      </c>
      <c r="AD5" s="52" t="str">
        <f t="shared" si="5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6"/>
        <v/>
      </c>
      <c r="AH5" s="43" t="str">
        <f t="shared" si="6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7"/>
        <v/>
      </c>
      <c r="AL5" s="52" t="str">
        <f t="shared" si="7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8"/>
        <v/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547" priority="110" stopIfTrue="1">
      <formula>#REF!="DLN"</formula>
    </cfRule>
  </conditionalFormatting>
  <conditionalFormatting sqref="F3:F7 D3:E50">
    <cfRule type="expression" dxfId="546" priority="109" stopIfTrue="1">
      <formula>#REF!="DLN"</formula>
    </cfRule>
  </conditionalFormatting>
  <conditionalFormatting sqref="L3:L50">
    <cfRule type="expression" dxfId="545" priority="108" stopIfTrue="1">
      <formula>#REF!="DLN"</formula>
    </cfRule>
  </conditionalFormatting>
  <conditionalFormatting sqref="L3:L50">
    <cfRule type="expression" dxfId="544" priority="107" stopIfTrue="1">
      <formula>#REF!="DLN"</formula>
    </cfRule>
  </conditionalFormatting>
  <conditionalFormatting sqref="T3:T50">
    <cfRule type="expression" dxfId="543" priority="106" stopIfTrue="1">
      <formula>#REF!="DLN"</formula>
    </cfRule>
  </conditionalFormatting>
  <conditionalFormatting sqref="T3:T50">
    <cfRule type="expression" dxfId="542" priority="105" stopIfTrue="1">
      <formula>#REF!="DLN"</formula>
    </cfRule>
  </conditionalFormatting>
  <conditionalFormatting sqref="X3:X50">
    <cfRule type="expression" dxfId="541" priority="104" stopIfTrue="1">
      <formula>#REF!="DLN"</formula>
    </cfRule>
  </conditionalFormatting>
  <conditionalFormatting sqref="X3:X50">
    <cfRule type="expression" dxfId="540" priority="103" stopIfTrue="1">
      <formula>#REF!="DLN"</formula>
    </cfRule>
  </conditionalFormatting>
  <conditionalFormatting sqref="G2">
    <cfRule type="expression" dxfId="539" priority="102" stopIfTrue="1">
      <formula>#REF!="DLN"</formula>
    </cfRule>
  </conditionalFormatting>
  <conditionalFormatting sqref="G2">
    <cfRule type="expression" dxfId="538" priority="101" stopIfTrue="1">
      <formula>#REF!="DLN"</formula>
    </cfRule>
  </conditionalFormatting>
  <conditionalFormatting sqref="K2">
    <cfRule type="expression" dxfId="537" priority="100" stopIfTrue="1">
      <formula>#REF!="DLN"</formula>
    </cfRule>
  </conditionalFormatting>
  <conditionalFormatting sqref="K2">
    <cfRule type="expression" dxfId="536" priority="99" stopIfTrue="1">
      <formula>#REF!="DLN"</formula>
    </cfRule>
  </conditionalFormatting>
  <conditionalFormatting sqref="O2">
    <cfRule type="expression" dxfId="535" priority="98" stopIfTrue="1">
      <formula>#REF!="DLN"</formula>
    </cfRule>
  </conditionalFormatting>
  <conditionalFormatting sqref="O2">
    <cfRule type="expression" dxfId="534" priority="97" stopIfTrue="1">
      <formula>#REF!="DLN"</formula>
    </cfRule>
  </conditionalFormatting>
  <conditionalFormatting sqref="S2">
    <cfRule type="expression" dxfId="533" priority="96" stopIfTrue="1">
      <formula>#REF!="DLN"</formula>
    </cfRule>
  </conditionalFormatting>
  <conditionalFormatting sqref="S2">
    <cfRule type="expression" dxfId="532" priority="95" stopIfTrue="1">
      <formula>#REF!="DLN"</formula>
    </cfRule>
  </conditionalFormatting>
  <conditionalFormatting sqref="W2">
    <cfRule type="expression" dxfId="531" priority="94" stopIfTrue="1">
      <formula>#REF!="DLN"</formula>
    </cfRule>
  </conditionalFormatting>
  <conditionalFormatting sqref="W2">
    <cfRule type="expression" dxfId="530" priority="93" stopIfTrue="1">
      <formula>#REF!="DLN"</formula>
    </cfRule>
  </conditionalFormatting>
  <conditionalFormatting sqref="AF3:AF50">
    <cfRule type="expression" dxfId="529" priority="47" stopIfTrue="1">
      <formula>#REF!="DLN"</formula>
    </cfRule>
  </conditionalFormatting>
  <conditionalFormatting sqref="W3:W50">
    <cfRule type="expression" dxfId="528" priority="92" stopIfTrue="1">
      <formula>#REF!="DLN"</formula>
    </cfRule>
  </conditionalFormatting>
  <conditionalFormatting sqref="W3:W50">
    <cfRule type="expression" dxfId="527" priority="91" stopIfTrue="1">
      <formula>#REF!="DLN"</formula>
    </cfRule>
  </conditionalFormatting>
  <conditionalFormatting sqref="S3:S50">
    <cfRule type="expression" dxfId="526" priority="90" stopIfTrue="1">
      <formula>#REF!="DLN"</formula>
    </cfRule>
  </conditionalFormatting>
  <conditionalFormatting sqref="S3:S50">
    <cfRule type="expression" dxfId="525" priority="89" stopIfTrue="1">
      <formula>#REF!="DLN"</formula>
    </cfRule>
  </conditionalFormatting>
  <conditionalFormatting sqref="K3:K50">
    <cfRule type="expression" dxfId="524" priority="88" stopIfTrue="1">
      <formula>#REF!="DLN"</formula>
    </cfRule>
  </conditionalFormatting>
  <conditionalFormatting sqref="K3:K50">
    <cfRule type="expression" dxfId="523" priority="87" stopIfTrue="1">
      <formula>#REF!="DLN"</formula>
    </cfRule>
  </conditionalFormatting>
  <conditionalFormatting sqref="AF3:AF50">
    <cfRule type="expression" dxfId="522" priority="48" stopIfTrue="1">
      <formula>#REF!="DLN"</formula>
    </cfRule>
  </conditionalFormatting>
  <conditionalFormatting sqref="J52">
    <cfRule type="cellIs" dxfId="521" priority="83" stopIfTrue="1" operator="greaterThanOrEqual">
      <formula>0.801</formula>
    </cfRule>
    <cfRule type="cellIs" dxfId="520" priority="84" stopIfTrue="1" operator="between">
      <formula>0.61</formula>
      <formula>0.8</formula>
    </cfRule>
    <cfRule type="cellIs" dxfId="519" priority="85" stopIfTrue="1" operator="between">
      <formula>0</formula>
      <formula>0.6</formula>
    </cfRule>
  </conditionalFormatting>
  <conditionalFormatting sqref="J52">
    <cfRule type="expression" dxfId="518" priority="86" stopIfTrue="1">
      <formula>#REF!="DLN"</formula>
    </cfRule>
  </conditionalFormatting>
  <conditionalFormatting sqref="I52">
    <cfRule type="cellIs" dxfId="517" priority="79" stopIfTrue="1" operator="greaterThanOrEqual">
      <formula>0.801</formula>
    </cfRule>
    <cfRule type="cellIs" dxfId="516" priority="80" stopIfTrue="1" operator="between">
      <formula>0.61</formula>
      <formula>0.8</formula>
    </cfRule>
    <cfRule type="cellIs" dxfId="515" priority="81" stopIfTrue="1" operator="between">
      <formula>0</formula>
      <formula>0.6</formula>
    </cfRule>
  </conditionalFormatting>
  <conditionalFormatting sqref="I52">
    <cfRule type="expression" dxfId="514" priority="82" stopIfTrue="1">
      <formula>#REF!="DLN"</formula>
    </cfRule>
  </conditionalFormatting>
  <conditionalFormatting sqref="M52:N52">
    <cfRule type="cellIs" dxfId="513" priority="75" stopIfTrue="1" operator="greaterThanOrEqual">
      <formula>0.801</formula>
    </cfRule>
    <cfRule type="cellIs" dxfId="512" priority="76" stopIfTrue="1" operator="between">
      <formula>0.61</formula>
      <formula>0.8</formula>
    </cfRule>
    <cfRule type="cellIs" dxfId="511" priority="77" stopIfTrue="1" operator="between">
      <formula>0</formula>
      <formula>0.6</formula>
    </cfRule>
  </conditionalFormatting>
  <conditionalFormatting sqref="M52:N52">
    <cfRule type="expression" dxfId="510" priority="78" stopIfTrue="1">
      <formula>#REF!="DLN"</formula>
    </cfRule>
  </conditionalFormatting>
  <conditionalFormatting sqref="Q52:R52">
    <cfRule type="cellIs" dxfId="509" priority="71" stopIfTrue="1" operator="greaterThanOrEqual">
      <formula>0.801</formula>
    </cfRule>
    <cfRule type="cellIs" dxfId="508" priority="72" stopIfTrue="1" operator="between">
      <formula>0.61</formula>
      <formula>0.8</formula>
    </cfRule>
    <cfRule type="cellIs" dxfId="507" priority="73" stopIfTrue="1" operator="between">
      <formula>0</formula>
      <formula>0.6</formula>
    </cfRule>
  </conditionalFormatting>
  <conditionalFormatting sqref="Q52:R52">
    <cfRule type="expression" dxfId="506" priority="74" stopIfTrue="1">
      <formula>#REF!="DLN"</formula>
    </cfRule>
  </conditionalFormatting>
  <conditionalFormatting sqref="U52:V52">
    <cfRule type="cellIs" dxfId="505" priority="67" stopIfTrue="1" operator="greaterThanOrEqual">
      <formula>0.801</formula>
    </cfRule>
    <cfRule type="cellIs" dxfId="504" priority="68" stopIfTrue="1" operator="between">
      <formula>0.61</formula>
      <formula>0.8</formula>
    </cfRule>
    <cfRule type="cellIs" dxfId="503" priority="69" stopIfTrue="1" operator="between">
      <formula>0</formula>
      <formula>0.6</formula>
    </cfRule>
  </conditionalFormatting>
  <conditionalFormatting sqref="U52:V52">
    <cfRule type="expression" dxfId="502" priority="70" stopIfTrue="1">
      <formula>#REF!="DLN"</formula>
    </cfRule>
  </conditionalFormatting>
  <conditionalFormatting sqref="Y52:Z52">
    <cfRule type="cellIs" dxfId="501" priority="63" stopIfTrue="1" operator="greaterThanOrEqual">
      <formula>0.801</formula>
    </cfRule>
    <cfRule type="cellIs" dxfId="500" priority="64" stopIfTrue="1" operator="between">
      <formula>0.61</formula>
      <formula>0.8</formula>
    </cfRule>
    <cfRule type="cellIs" dxfId="499" priority="65" stopIfTrue="1" operator="between">
      <formula>0</formula>
      <formula>0.6</formula>
    </cfRule>
  </conditionalFormatting>
  <conditionalFormatting sqref="Y52:Z52">
    <cfRule type="expression" dxfId="498" priority="66" stopIfTrue="1">
      <formula>#REF!="DLN"</formula>
    </cfRule>
  </conditionalFormatting>
  <conditionalFormatting sqref="AC52:AD52">
    <cfRule type="cellIs" dxfId="497" priority="59" stopIfTrue="1" operator="greaterThanOrEqual">
      <formula>0.801</formula>
    </cfRule>
    <cfRule type="cellIs" dxfId="496" priority="60" stopIfTrue="1" operator="between">
      <formula>0.61</formula>
      <formula>0.8</formula>
    </cfRule>
    <cfRule type="cellIs" dxfId="495" priority="61" stopIfTrue="1" operator="between">
      <formula>0</formula>
      <formula>0.6</formula>
    </cfRule>
  </conditionalFormatting>
  <conditionalFormatting sqref="AC52:AD52">
    <cfRule type="expression" dxfId="494" priority="62" stopIfTrue="1">
      <formula>#REF!="DLN"</formula>
    </cfRule>
  </conditionalFormatting>
  <conditionalFormatting sqref="G3:G50">
    <cfRule type="expression" dxfId="493" priority="57" stopIfTrue="1">
      <formula>#REF!="DLN"</formula>
    </cfRule>
  </conditionalFormatting>
  <conditionalFormatting sqref="G3:G50">
    <cfRule type="expression" dxfId="492" priority="58" stopIfTrue="1">
      <formula>#REF!="DLN"</formula>
    </cfRule>
  </conditionalFormatting>
  <conditionalFormatting sqref="P3:P50">
    <cfRule type="expression" dxfId="491" priority="56" stopIfTrue="1">
      <formula>#REF!="DLN"</formula>
    </cfRule>
  </conditionalFormatting>
  <conditionalFormatting sqref="P3:P50">
    <cfRule type="expression" dxfId="490" priority="55" stopIfTrue="1">
      <formula>#REF!="DLN"</formula>
    </cfRule>
  </conditionalFormatting>
  <conditionalFormatting sqref="O3:O50">
    <cfRule type="expression" dxfId="489" priority="54" stopIfTrue="1">
      <formula>#REF!="DLN"</formula>
    </cfRule>
  </conditionalFormatting>
  <conditionalFormatting sqref="O3:O50">
    <cfRule type="expression" dxfId="488" priority="53" stopIfTrue="1">
      <formula>#REF!="DLN"</formula>
    </cfRule>
  </conditionalFormatting>
  <conditionalFormatting sqref="H3:H50">
    <cfRule type="expression" dxfId="487" priority="52" stopIfTrue="1">
      <formula>#REF!="DLN"</formula>
    </cfRule>
  </conditionalFormatting>
  <conditionalFormatting sqref="H3:H50">
    <cfRule type="expression" dxfId="486" priority="51" stopIfTrue="1">
      <formula>#REF!="DLN"</formula>
    </cfRule>
  </conditionalFormatting>
  <conditionalFormatting sqref="A8:A50">
    <cfRule type="expression" dxfId="485" priority="50" stopIfTrue="1">
      <formula>#REF!="DLN"</formula>
    </cfRule>
  </conditionalFormatting>
  <conditionalFormatting sqref="A8:A50">
    <cfRule type="expression" dxfId="484" priority="49" stopIfTrue="1">
      <formula>#REF!="DLN"</formula>
    </cfRule>
  </conditionalFormatting>
  <conditionalFormatting sqref="AE2">
    <cfRule type="expression" dxfId="483" priority="46" stopIfTrue="1">
      <formula>#REF!="DLN"</formula>
    </cfRule>
  </conditionalFormatting>
  <conditionalFormatting sqref="AE2">
    <cfRule type="expression" dxfId="482" priority="45" stopIfTrue="1">
      <formula>#REF!="DLN"</formula>
    </cfRule>
  </conditionalFormatting>
  <conditionalFormatting sqref="AE3:AE50">
    <cfRule type="expression" dxfId="481" priority="44" stopIfTrue="1">
      <formula>#REF!="DLN"</formula>
    </cfRule>
  </conditionalFormatting>
  <conditionalFormatting sqref="AE3:AE50">
    <cfRule type="expression" dxfId="480" priority="43" stopIfTrue="1">
      <formula>#REF!="DLN"</formula>
    </cfRule>
  </conditionalFormatting>
  <conditionalFormatting sqref="AG52:AH52">
    <cfRule type="cellIs" dxfId="479" priority="39" stopIfTrue="1" operator="greaterThanOrEqual">
      <formula>0.801</formula>
    </cfRule>
    <cfRule type="cellIs" dxfId="478" priority="40" stopIfTrue="1" operator="between">
      <formula>0.61</formula>
      <formula>0.8</formula>
    </cfRule>
    <cfRule type="cellIs" dxfId="477" priority="41" stopIfTrue="1" operator="between">
      <formula>0</formula>
      <formula>0.6</formula>
    </cfRule>
  </conditionalFormatting>
  <conditionalFormatting sqref="AG52:AH52">
    <cfRule type="expression" dxfId="476" priority="42" stopIfTrue="1">
      <formula>#REF!="DLN"</formula>
    </cfRule>
  </conditionalFormatting>
  <conditionalFormatting sqref="AK52:AL52">
    <cfRule type="cellIs" dxfId="475" priority="35" stopIfTrue="1" operator="greaterThanOrEqual">
      <formula>0.801</formula>
    </cfRule>
    <cfRule type="cellIs" dxfId="474" priority="36" stopIfTrue="1" operator="between">
      <formula>0.61</formula>
      <formula>0.8</formula>
    </cfRule>
    <cfRule type="cellIs" dxfId="473" priority="37" stopIfTrue="1" operator="between">
      <formula>0</formula>
      <formula>0.6</formula>
    </cfRule>
  </conditionalFormatting>
  <conditionalFormatting sqref="AK52:AL52">
    <cfRule type="expression" dxfId="472" priority="38" stopIfTrue="1">
      <formula>#REF!="DLN"</formula>
    </cfRule>
  </conditionalFormatting>
  <conditionalFormatting sqref="AN3:AN50">
    <cfRule type="expression" dxfId="471" priority="34" stopIfTrue="1">
      <formula>#REF!="DLN"</formula>
    </cfRule>
  </conditionalFormatting>
  <conditionalFormatting sqref="AN3:AN50">
    <cfRule type="expression" dxfId="470" priority="33" stopIfTrue="1">
      <formula>#REF!="DLN"</formula>
    </cfRule>
  </conditionalFormatting>
  <conditionalFormatting sqref="AM2">
    <cfRule type="expression" dxfId="469" priority="32" stopIfTrue="1">
      <formula>#REF!="DLN"</formula>
    </cfRule>
  </conditionalFormatting>
  <conditionalFormatting sqref="AM2">
    <cfRule type="expression" dxfId="468" priority="31" stopIfTrue="1">
      <formula>#REF!="DLN"</formula>
    </cfRule>
  </conditionalFormatting>
  <conditionalFormatting sqref="AM3:AM50">
    <cfRule type="expression" dxfId="467" priority="30" stopIfTrue="1">
      <formula>#REF!="DLN"</formula>
    </cfRule>
  </conditionalFormatting>
  <conditionalFormatting sqref="AM3:AM50">
    <cfRule type="expression" dxfId="466" priority="29" stopIfTrue="1">
      <formula>#REF!="DLN"</formula>
    </cfRule>
  </conditionalFormatting>
  <conditionalFormatting sqref="AO52:AP52">
    <cfRule type="cellIs" dxfId="465" priority="25" stopIfTrue="1" operator="greaterThanOrEqual">
      <formula>0.801</formula>
    </cfRule>
    <cfRule type="cellIs" dxfId="464" priority="26" stopIfTrue="1" operator="between">
      <formula>0.61</formula>
      <formula>0.8</formula>
    </cfRule>
    <cfRule type="cellIs" dxfId="463" priority="27" stopIfTrue="1" operator="between">
      <formula>0</formula>
      <formula>0.6</formula>
    </cfRule>
  </conditionalFormatting>
  <conditionalFormatting sqref="AO52:AP52">
    <cfRule type="expression" dxfId="462" priority="28" stopIfTrue="1">
      <formula>#REF!="DLN"</formula>
    </cfRule>
  </conditionalFormatting>
  <conditionalFormatting sqref="AS52:AT52">
    <cfRule type="cellIs" dxfId="461" priority="21" stopIfTrue="1" operator="greaterThanOrEqual">
      <formula>0.801</formula>
    </cfRule>
    <cfRule type="cellIs" dxfId="460" priority="22" stopIfTrue="1" operator="between">
      <formula>0.61</formula>
      <formula>0.8</formula>
    </cfRule>
    <cfRule type="cellIs" dxfId="459" priority="23" stopIfTrue="1" operator="between">
      <formula>0</formula>
      <formula>0.6</formula>
    </cfRule>
  </conditionalFormatting>
  <conditionalFormatting sqref="AS52:AT52">
    <cfRule type="expression" dxfId="458" priority="24" stopIfTrue="1">
      <formula>#REF!="DLN"</formula>
    </cfRule>
  </conditionalFormatting>
  <conditionalFormatting sqref="AV3:AV50">
    <cfRule type="expression" dxfId="457" priority="20" stopIfTrue="1">
      <formula>#REF!="DLN"</formula>
    </cfRule>
  </conditionalFormatting>
  <conditionalFormatting sqref="AV3:AV50">
    <cfRule type="expression" dxfId="456" priority="19" stopIfTrue="1">
      <formula>#REF!="DLN"</formula>
    </cfRule>
  </conditionalFormatting>
  <conditionalFormatting sqref="AU2">
    <cfRule type="expression" dxfId="455" priority="18" stopIfTrue="1">
      <formula>#REF!="DLN"</formula>
    </cfRule>
  </conditionalFormatting>
  <conditionalFormatting sqref="AU2">
    <cfRule type="expression" dxfId="454" priority="17" stopIfTrue="1">
      <formula>#REF!="DLN"</formula>
    </cfRule>
  </conditionalFormatting>
  <conditionalFormatting sqref="AU3:AU50">
    <cfRule type="expression" dxfId="453" priority="16" stopIfTrue="1">
      <formula>#REF!="DLN"</formula>
    </cfRule>
  </conditionalFormatting>
  <conditionalFormatting sqref="AU3:AU50">
    <cfRule type="expression" dxfId="452" priority="15" stopIfTrue="1">
      <formula>#REF!="DLN"</formula>
    </cfRule>
  </conditionalFormatting>
  <conditionalFormatting sqref="AW52:AX52">
    <cfRule type="cellIs" dxfId="451" priority="11" stopIfTrue="1" operator="greaterThanOrEqual">
      <formula>0.801</formula>
    </cfRule>
    <cfRule type="cellIs" dxfId="450" priority="12" stopIfTrue="1" operator="between">
      <formula>0.61</formula>
      <formula>0.8</formula>
    </cfRule>
    <cfRule type="cellIs" dxfId="449" priority="13" stopIfTrue="1" operator="between">
      <formula>0</formula>
      <formula>0.6</formula>
    </cfRule>
  </conditionalFormatting>
  <conditionalFormatting sqref="AW52:AX52">
    <cfRule type="expression" dxfId="448" priority="14" stopIfTrue="1">
      <formula>#REF!="DLN"</formula>
    </cfRule>
  </conditionalFormatting>
  <conditionalFormatting sqref="A6">
    <cfRule type="expression" dxfId="447" priority="10" stopIfTrue="1">
      <formula>#REF!="DLN"</formula>
    </cfRule>
  </conditionalFormatting>
  <conditionalFormatting sqref="A6">
    <cfRule type="expression" dxfId="446" priority="9" stopIfTrue="1">
      <formula>#REF!="DLN"</formula>
    </cfRule>
  </conditionalFormatting>
  <conditionalFormatting sqref="A7">
    <cfRule type="expression" dxfId="445" priority="8" stopIfTrue="1">
      <formula>#REF!="DLN"</formula>
    </cfRule>
  </conditionalFormatting>
  <conditionalFormatting sqref="A7">
    <cfRule type="expression" dxfId="444" priority="7" stopIfTrue="1">
      <formula>#REF!="DLN"</formula>
    </cfRule>
  </conditionalFormatting>
  <conditionalFormatting sqref="A3">
    <cfRule type="expression" dxfId="443" priority="6" stopIfTrue="1">
      <formula>#REF!="DLN"</formula>
    </cfRule>
  </conditionalFormatting>
  <conditionalFormatting sqref="A3">
    <cfRule type="expression" dxfId="442" priority="5" stopIfTrue="1">
      <formula>#REF!="DLN"</formula>
    </cfRule>
  </conditionalFormatting>
  <conditionalFormatting sqref="A4">
    <cfRule type="expression" dxfId="441" priority="4" stopIfTrue="1">
      <formula>#REF!="DLN"</formula>
    </cfRule>
  </conditionalFormatting>
  <conditionalFormatting sqref="A4">
    <cfRule type="expression" dxfId="440" priority="3" stopIfTrue="1">
      <formula>#REF!="DLN"</formula>
    </cfRule>
  </conditionalFormatting>
  <conditionalFormatting sqref="A5">
    <cfRule type="expression" dxfId="439" priority="2" stopIfTrue="1">
      <formula>#REF!="DLN"</formula>
    </cfRule>
  </conditionalFormatting>
  <conditionalFormatting sqref="A5">
    <cfRule type="expression" dxfId="438" priority="1" stopIfTrue="1">
      <formula>#REF!="DLN"</formula>
    </cfRule>
  </conditionalFormatting>
  <dataValidations count="1">
    <dataValidation type="list" allowBlank="1" showInputMessage="1" showErrorMessage="1" sqref="A3:A50" xr:uid="{F107A03D-29ED-4CB7-89B3-9EAC218E2D78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898760-1FDC-49DF-B4EF-B31846B747B3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9135-640C-457A-98F2-81E40F9C835C}">
  <sheetPr codeName="Sheet18"/>
  <dimension ref="A1:AX62"/>
  <sheetViews>
    <sheetView workbookViewId="0">
      <selection activeCell="E4" sqref="E4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271</v>
      </c>
      <c r="B3" s="24" t="s">
        <v>431</v>
      </c>
      <c r="C3" s="20" t="str">
        <f>IFERROR(VLOOKUP(A3,'Parts List and Volumes'!C2:D194,2,FALSE),"")</f>
        <v>NFAA0190ACF20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25"/>
      <c r="G3" s="40">
        <f>IFERROR(VLOOKUP($A3,'Parts List and Volumes'!$C$2:$W194,5,FALSE),"")</f>
        <v>170291</v>
      </c>
      <c r="H3" s="41">
        <f>IFERROR(VLOOKUP($A3,'Parts List and Volumes'!$C$2:$W194,6,FALSE),"")</f>
        <v>169605</v>
      </c>
      <c r="I3" s="42">
        <f t="shared" ref="I3:J50" si="0">IFERROR((($F3*G3)/FourHeadAssumption),"")</f>
        <v>0</v>
      </c>
      <c r="J3" s="43">
        <f t="shared" si="0"/>
        <v>0</v>
      </c>
      <c r="K3" s="44">
        <f>IFERROR(VLOOKUP($A3,'Parts List and Volumes'!$C$2:$W194,7,FALSE),"")</f>
        <v>169605</v>
      </c>
      <c r="L3" s="45">
        <f>IFERROR(VLOOKUP($A3,'Parts List and Volumes'!$C$2:$W194,8,FALSE),"")</f>
        <v>169605</v>
      </c>
      <c r="M3" s="46">
        <f t="shared" ref="M3:N50" si="1">IFERROR((($F3*K3)/FourHeadAssumption),"")</f>
        <v>0</v>
      </c>
      <c r="N3" s="47">
        <f t="shared" si="1"/>
        <v>0</v>
      </c>
      <c r="O3" s="41">
        <f>IFERROR(VLOOKUP($A3,'Parts List and Volumes'!$C$2:$W194,9,FALSE),"")</f>
        <v>0</v>
      </c>
      <c r="P3" s="41">
        <f>IFERROR(VLOOKUP($A3,'Parts List and Volumes'!$C$2:$W194,10,FALSE),"")</f>
        <v>85956</v>
      </c>
      <c r="Q3" s="48">
        <f t="shared" ref="Q3:R50" si="2">IFERROR((($F3*O3)/FourHeadAssumption),"")</f>
        <v>0</v>
      </c>
      <c r="R3" s="43">
        <f t="shared" si="2"/>
        <v>0</v>
      </c>
      <c r="S3" s="44">
        <f>IFERROR(VLOOKUP($A3,'Parts List and Volumes'!$C$2:$W194,11,FALSE),"")</f>
        <v>0</v>
      </c>
      <c r="T3" s="45">
        <f>IFERROR(VLOOKUP($A3,'Parts List and Volumes'!$C$2:$W194,12,FALSE),"")</f>
        <v>0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0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/>
      <c r="B4" s="24"/>
      <c r="C4" s="20" t="str">
        <f>IFERROR(VLOOKUP(A4,'Parts List and Volumes'!C3:D195,2,FALSE),"")</f>
        <v/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/>
      <c r="G4" s="40" t="str">
        <f>IFERROR(VLOOKUP($A4,'Parts List and Volumes'!$C$2:$W195,5,FALSE),"")</f>
        <v/>
      </c>
      <c r="H4" s="41" t="str">
        <f>IFERROR(VLOOKUP($A4,'Parts List and Volumes'!$C$2:$W195,6,FALSE),"")</f>
        <v/>
      </c>
      <c r="I4" s="42" t="str">
        <f t="shared" si="0"/>
        <v/>
      </c>
      <c r="J4" s="43" t="str">
        <f t="shared" si="0"/>
        <v/>
      </c>
      <c r="K4" s="44" t="str">
        <f>IFERROR(VLOOKUP($A4,'Parts List and Volumes'!$C$2:$W195,7,FALSE),"")</f>
        <v/>
      </c>
      <c r="L4" s="45" t="str">
        <f>IFERROR(VLOOKUP($A4,'Parts List and Volumes'!$C$2:$W195,8,FALSE),"")</f>
        <v/>
      </c>
      <c r="M4" s="46" t="str">
        <f t="shared" si="1"/>
        <v/>
      </c>
      <c r="N4" s="47" t="str">
        <f t="shared" si="1"/>
        <v/>
      </c>
      <c r="O4" s="41" t="str">
        <f>IFERROR(VLOOKUP($A4,'Parts List and Volumes'!$C$2:$W195,9,FALSE),"")</f>
        <v/>
      </c>
      <c r="P4" s="41" t="str">
        <f>IFERROR(VLOOKUP($A4,'Parts List and Volumes'!$C$2:$W195,10,FALSE),"")</f>
        <v/>
      </c>
      <c r="Q4" s="48" t="str">
        <f t="shared" si="2"/>
        <v/>
      </c>
      <c r="R4" s="43" t="str">
        <f t="shared" si="2"/>
        <v/>
      </c>
      <c r="S4" s="44" t="str">
        <f>IFERROR(VLOOKUP($A4,'Parts List and Volumes'!$C$2:$W195,11,FALSE),"")</f>
        <v/>
      </c>
      <c r="T4" s="45" t="str">
        <f>IFERROR(VLOOKUP($A4,'Parts List and Volumes'!$C$2:$W195,12,FALSE),"")</f>
        <v/>
      </c>
      <c r="U4" s="46" t="str">
        <f t="shared" si="3"/>
        <v/>
      </c>
      <c r="V4" s="47" t="str">
        <f t="shared" si="3"/>
        <v/>
      </c>
      <c r="W4" s="40" t="str">
        <f>IFERROR(VLOOKUP($A4,'Parts List and Volumes'!$C$2:$W195,13,FALSE),"")</f>
        <v/>
      </c>
      <c r="X4" s="41" t="str">
        <f>IFERROR(VLOOKUP($A4,'Parts List and Volumes'!$C$2:$W195,14,FALSE),"")</f>
        <v/>
      </c>
      <c r="Y4" s="48" t="str">
        <f t="shared" si="4"/>
        <v/>
      </c>
      <c r="Z4" s="43" t="str">
        <f t="shared" si="4"/>
        <v/>
      </c>
      <c r="AA4" s="49" t="str">
        <f>IFERROR(VLOOKUP($A4,'Parts List and Volumes'!$C$2:$W195,15,FALSE),"")</f>
        <v/>
      </c>
      <c r="AB4" s="50" t="str">
        <f>IFERROR(VLOOKUP($A4,'Parts List and Volumes'!$C$2:$W195,16,FALSE),"")</f>
        <v/>
      </c>
      <c r="AC4" s="51" t="str">
        <f t="shared" si="5"/>
        <v/>
      </c>
      <c r="AD4" s="52" t="str">
        <f t="shared" si="5"/>
        <v/>
      </c>
      <c r="AE4" s="40" t="str">
        <f>IFERROR(VLOOKUP($A4,'Parts List and Volumes'!$C$2:$W195,17,FALSE),"")</f>
        <v/>
      </c>
      <c r="AF4" s="41" t="str">
        <f>IFERROR(VLOOKUP($A4,'Parts List and Volumes'!$C$2:$W195,18,FALSE),"")</f>
        <v/>
      </c>
      <c r="AG4" s="48" t="str">
        <f t="shared" si="6"/>
        <v/>
      </c>
      <c r="AH4" s="43" t="str">
        <f t="shared" si="6"/>
        <v/>
      </c>
      <c r="AI4" s="49" t="str">
        <f>IFERROR(VLOOKUP($A4,'Parts List and Volumes'!$C$2:$W195,19,FALSE),"")</f>
        <v/>
      </c>
      <c r="AJ4" s="50" t="str">
        <f>IFERROR(VLOOKUP($A4,'Parts List and Volumes'!$C$2:$W195,20,FALSE),"")</f>
        <v/>
      </c>
      <c r="AK4" s="51" t="str">
        <f t="shared" si="7"/>
        <v/>
      </c>
      <c r="AL4" s="52" t="str">
        <f t="shared" si="7"/>
        <v/>
      </c>
      <c r="AM4" s="40" t="str">
        <f>IFERROR(VLOOKUP($A4,'Parts List and Volumes'!$C$2:$W195,21,FALSE),"")</f>
        <v/>
      </c>
      <c r="AN4" s="41" t="str">
        <f>IFERROR(VLOOKUP($A4,'Parts List and Volumes'!$C$2:$W195,22,FALSE),"")</f>
        <v/>
      </c>
      <c r="AO4" s="48" t="str">
        <f t="shared" si="8"/>
        <v/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/>
      <c r="B5" s="24"/>
      <c r="C5" s="20" t="str">
        <f>IFERROR(VLOOKUP(A5,'Parts List and Volumes'!C4:D196,2,FALSE),"")</f>
        <v/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/>
      <c r="G5" s="40" t="str">
        <f>IFERROR(VLOOKUP($A5,'Parts List and Volumes'!$C$2:$W196,5,FALSE),"")</f>
        <v/>
      </c>
      <c r="H5" s="41" t="str">
        <f>IFERROR(VLOOKUP($A5,'Parts List and Volumes'!$C$2:$W196,6,FALSE),"")</f>
        <v/>
      </c>
      <c r="I5" s="42" t="str">
        <f t="shared" si="0"/>
        <v/>
      </c>
      <c r="J5" s="43" t="str">
        <f t="shared" si="0"/>
        <v/>
      </c>
      <c r="K5" s="44" t="str">
        <f>IFERROR(VLOOKUP($A5,'Parts List and Volumes'!$C$2:$W196,7,FALSE),"")</f>
        <v/>
      </c>
      <c r="L5" s="45" t="str">
        <f>IFERROR(VLOOKUP($A5,'Parts List and Volumes'!$C$2:$W196,8,FALSE),"")</f>
        <v/>
      </c>
      <c r="M5" s="46" t="str">
        <f t="shared" si="1"/>
        <v/>
      </c>
      <c r="N5" s="47" t="str">
        <f t="shared" si="1"/>
        <v/>
      </c>
      <c r="O5" s="41" t="str">
        <f>IFERROR(VLOOKUP($A5,'Parts List and Volumes'!$C$2:$W196,9,FALSE),"")</f>
        <v/>
      </c>
      <c r="P5" s="41" t="str">
        <f>IFERROR(VLOOKUP($A5,'Parts List and Volumes'!$C$2:$W196,10,FALSE),"")</f>
        <v/>
      </c>
      <c r="Q5" s="48" t="str">
        <f t="shared" si="2"/>
        <v/>
      </c>
      <c r="R5" s="43" t="str">
        <f t="shared" si="2"/>
        <v/>
      </c>
      <c r="S5" s="44" t="str">
        <f>IFERROR(VLOOKUP($A5,'Parts List and Volumes'!$C$2:$W196,11,FALSE),"")</f>
        <v/>
      </c>
      <c r="T5" s="45" t="str">
        <f>IFERROR(VLOOKUP($A5,'Parts List and Volumes'!$C$2:$W196,12,FALSE),"")</f>
        <v/>
      </c>
      <c r="U5" s="46" t="str">
        <f t="shared" si="3"/>
        <v/>
      </c>
      <c r="V5" s="47" t="str">
        <f t="shared" si="3"/>
        <v/>
      </c>
      <c r="W5" s="40" t="str">
        <f>IFERROR(VLOOKUP($A5,'Parts List and Volumes'!$C$2:$W196,13,FALSE),"")</f>
        <v/>
      </c>
      <c r="X5" s="41" t="str">
        <f>IFERROR(VLOOKUP($A5,'Parts List and Volumes'!$C$2:$W196,14,FALSE),"")</f>
        <v/>
      </c>
      <c r="Y5" s="48" t="str">
        <f t="shared" si="4"/>
        <v/>
      </c>
      <c r="Z5" s="43" t="str">
        <f t="shared" si="4"/>
        <v/>
      </c>
      <c r="AA5" s="49" t="str">
        <f>IFERROR(VLOOKUP($A5,'Parts List and Volumes'!$C$2:$W196,15,FALSE),"")</f>
        <v/>
      </c>
      <c r="AB5" s="50" t="str">
        <f>IFERROR(VLOOKUP($A5,'Parts List and Volumes'!$C$2:$W196,16,FALSE),"")</f>
        <v/>
      </c>
      <c r="AC5" s="51" t="str">
        <f t="shared" si="5"/>
        <v/>
      </c>
      <c r="AD5" s="52" t="str">
        <f t="shared" si="5"/>
        <v/>
      </c>
      <c r="AE5" s="40" t="str">
        <f>IFERROR(VLOOKUP($A5,'Parts List and Volumes'!$C$2:$W196,17,FALSE),"")</f>
        <v/>
      </c>
      <c r="AF5" s="41" t="str">
        <f>IFERROR(VLOOKUP($A5,'Parts List and Volumes'!$C$2:$W196,18,FALSE),"")</f>
        <v/>
      </c>
      <c r="AG5" s="48" t="str">
        <f t="shared" si="6"/>
        <v/>
      </c>
      <c r="AH5" s="43" t="str">
        <f t="shared" si="6"/>
        <v/>
      </c>
      <c r="AI5" s="49" t="str">
        <f>IFERROR(VLOOKUP($A5,'Parts List and Volumes'!$C$2:$W196,19,FALSE),"")</f>
        <v/>
      </c>
      <c r="AJ5" s="50" t="str">
        <f>IFERROR(VLOOKUP($A5,'Parts List and Volumes'!$C$2:$W196,20,FALSE),"")</f>
        <v/>
      </c>
      <c r="AK5" s="51" t="str">
        <f t="shared" si="7"/>
        <v/>
      </c>
      <c r="AL5" s="52" t="str">
        <f t="shared" si="7"/>
        <v/>
      </c>
      <c r="AM5" s="40" t="str">
        <f>IFERROR(VLOOKUP($A5,'Parts List and Volumes'!$C$2:$W196,21,FALSE),"")</f>
        <v/>
      </c>
      <c r="AN5" s="41" t="str">
        <f>IFERROR(VLOOKUP($A5,'Parts List and Volumes'!$C$2:$W196,22,FALSE),"")</f>
        <v/>
      </c>
      <c r="AO5" s="48" t="str">
        <f t="shared" si="8"/>
        <v/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</v>
      </c>
      <c r="J52" s="53">
        <f>SUM(J3:J50)</f>
        <v>0</v>
      </c>
      <c r="M52" s="53">
        <f>SUM(M3:M50)</f>
        <v>0</v>
      </c>
      <c r="N52" s="53">
        <f>SUM(N3:N50)</f>
        <v>0</v>
      </c>
      <c r="Q52" s="53">
        <f>SUM(Q3:Q50)</f>
        <v>0</v>
      </c>
      <c r="R52" s="53">
        <f>SUM(R3:R50)</f>
        <v>0</v>
      </c>
      <c r="U52" s="53">
        <f>SUM(U3:U50)</f>
        <v>0</v>
      </c>
      <c r="V52" s="53">
        <f>SUM(V3:V50)</f>
        <v>0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767" priority="110" stopIfTrue="1">
      <formula>#REF!="DLN"</formula>
    </cfRule>
  </conditionalFormatting>
  <conditionalFormatting sqref="F3:F7 D3:E50">
    <cfRule type="expression" dxfId="766" priority="109" stopIfTrue="1">
      <formula>#REF!="DLN"</formula>
    </cfRule>
  </conditionalFormatting>
  <conditionalFormatting sqref="L3:L50">
    <cfRule type="expression" dxfId="765" priority="108" stopIfTrue="1">
      <formula>#REF!="DLN"</formula>
    </cfRule>
  </conditionalFormatting>
  <conditionalFormatting sqref="L3:L50">
    <cfRule type="expression" dxfId="764" priority="107" stopIfTrue="1">
      <formula>#REF!="DLN"</formula>
    </cfRule>
  </conditionalFormatting>
  <conditionalFormatting sqref="T3:T50">
    <cfRule type="expression" dxfId="763" priority="106" stopIfTrue="1">
      <formula>#REF!="DLN"</formula>
    </cfRule>
  </conditionalFormatting>
  <conditionalFormatting sqref="T3:T50">
    <cfRule type="expression" dxfId="762" priority="105" stopIfTrue="1">
      <formula>#REF!="DLN"</formula>
    </cfRule>
  </conditionalFormatting>
  <conditionalFormatting sqref="X3:X50">
    <cfRule type="expression" dxfId="761" priority="104" stopIfTrue="1">
      <formula>#REF!="DLN"</formula>
    </cfRule>
  </conditionalFormatting>
  <conditionalFormatting sqref="X3:X50">
    <cfRule type="expression" dxfId="760" priority="103" stopIfTrue="1">
      <formula>#REF!="DLN"</formula>
    </cfRule>
  </conditionalFormatting>
  <conditionalFormatting sqref="G2">
    <cfRule type="expression" dxfId="759" priority="102" stopIfTrue="1">
      <formula>#REF!="DLN"</formula>
    </cfRule>
  </conditionalFormatting>
  <conditionalFormatting sqref="G2">
    <cfRule type="expression" dxfId="758" priority="101" stopIfTrue="1">
      <formula>#REF!="DLN"</formula>
    </cfRule>
  </conditionalFormatting>
  <conditionalFormatting sqref="K2">
    <cfRule type="expression" dxfId="757" priority="100" stopIfTrue="1">
      <formula>#REF!="DLN"</formula>
    </cfRule>
  </conditionalFormatting>
  <conditionalFormatting sqref="K2">
    <cfRule type="expression" dxfId="756" priority="99" stopIfTrue="1">
      <formula>#REF!="DLN"</formula>
    </cfRule>
  </conditionalFormatting>
  <conditionalFormatting sqref="O2">
    <cfRule type="expression" dxfId="755" priority="98" stopIfTrue="1">
      <formula>#REF!="DLN"</formula>
    </cfRule>
  </conditionalFormatting>
  <conditionalFormatting sqref="O2">
    <cfRule type="expression" dxfId="754" priority="97" stopIfTrue="1">
      <formula>#REF!="DLN"</formula>
    </cfRule>
  </conditionalFormatting>
  <conditionalFormatting sqref="S2">
    <cfRule type="expression" dxfId="753" priority="96" stopIfTrue="1">
      <formula>#REF!="DLN"</formula>
    </cfRule>
  </conditionalFormatting>
  <conditionalFormatting sqref="S2">
    <cfRule type="expression" dxfId="752" priority="95" stopIfTrue="1">
      <formula>#REF!="DLN"</formula>
    </cfRule>
  </conditionalFormatting>
  <conditionalFormatting sqref="W2">
    <cfRule type="expression" dxfId="751" priority="94" stopIfTrue="1">
      <formula>#REF!="DLN"</formula>
    </cfRule>
  </conditionalFormatting>
  <conditionalFormatting sqref="W2">
    <cfRule type="expression" dxfId="750" priority="93" stopIfTrue="1">
      <formula>#REF!="DLN"</formula>
    </cfRule>
  </conditionalFormatting>
  <conditionalFormatting sqref="AF3:AF50">
    <cfRule type="expression" dxfId="749" priority="47" stopIfTrue="1">
      <formula>#REF!="DLN"</formula>
    </cfRule>
  </conditionalFormatting>
  <conditionalFormatting sqref="W3:W50">
    <cfRule type="expression" dxfId="748" priority="92" stopIfTrue="1">
      <formula>#REF!="DLN"</formula>
    </cfRule>
  </conditionalFormatting>
  <conditionalFormatting sqref="W3:W50">
    <cfRule type="expression" dxfId="747" priority="91" stopIfTrue="1">
      <formula>#REF!="DLN"</formula>
    </cfRule>
  </conditionalFormatting>
  <conditionalFormatting sqref="S3:S50">
    <cfRule type="expression" dxfId="746" priority="90" stopIfTrue="1">
      <formula>#REF!="DLN"</formula>
    </cfRule>
  </conditionalFormatting>
  <conditionalFormatting sqref="S3:S50">
    <cfRule type="expression" dxfId="745" priority="89" stopIfTrue="1">
      <formula>#REF!="DLN"</formula>
    </cfRule>
  </conditionalFormatting>
  <conditionalFormatting sqref="K3:K50">
    <cfRule type="expression" dxfId="744" priority="88" stopIfTrue="1">
      <formula>#REF!="DLN"</formula>
    </cfRule>
  </conditionalFormatting>
  <conditionalFormatting sqref="K3:K50">
    <cfRule type="expression" dxfId="743" priority="87" stopIfTrue="1">
      <formula>#REF!="DLN"</formula>
    </cfRule>
  </conditionalFormatting>
  <conditionalFormatting sqref="AF3:AF50">
    <cfRule type="expression" dxfId="742" priority="48" stopIfTrue="1">
      <formula>#REF!="DLN"</formula>
    </cfRule>
  </conditionalFormatting>
  <conditionalFormatting sqref="J52">
    <cfRule type="cellIs" dxfId="741" priority="83" stopIfTrue="1" operator="greaterThanOrEqual">
      <formula>0.801</formula>
    </cfRule>
    <cfRule type="cellIs" dxfId="740" priority="84" stopIfTrue="1" operator="between">
      <formula>0.61</formula>
      <formula>0.8</formula>
    </cfRule>
    <cfRule type="cellIs" dxfId="739" priority="85" stopIfTrue="1" operator="between">
      <formula>0</formula>
      <formula>0.6</formula>
    </cfRule>
  </conditionalFormatting>
  <conditionalFormatting sqref="J52">
    <cfRule type="expression" dxfId="738" priority="86" stopIfTrue="1">
      <formula>#REF!="DLN"</formula>
    </cfRule>
  </conditionalFormatting>
  <conditionalFormatting sqref="I52">
    <cfRule type="cellIs" dxfId="737" priority="79" stopIfTrue="1" operator="greaterThanOrEqual">
      <formula>0.801</formula>
    </cfRule>
    <cfRule type="cellIs" dxfId="736" priority="80" stopIfTrue="1" operator="between">
      <formula>0.61</formula>
      <formula>0.8</formula>
    </cfRule>
    <cfRule type="cellIs" dxfId="735" priority="81" stopIfTrue="1" operator="between">
      <formula>0</formula>
      <formula>0.6</formula>
    </cfRule>
  </conditionalFormatting>
  <conditionalFormatting sqref="I52">
    <cfRule type="expression" dxfId="734" priority="82" stopIfTrue="1">
      <formula>#REF!="DLN"</formula>
    </cfRule>
  </conditionalFormatting>
  <conditionalFormatting sqref="M52:N52">
    <cfRule type="cellIs" dxfId="733" priority="75" stopIfTrue="1" operator="greaterThanOrEqual">
      <formula>0.801</formula>
    </cfRule>
    <cfRule type="cellIs" dxfId="732" priority="76" stopIfTrue="1" operator="between">
      <formula>0.61</formula>
      <formula>0.8</formula>
    </cfRule>
    <cfRule type="cellIs" dxfId="731" priority="77" stopIfTrue="1" operator="between">
      <formula>0</formula>
      <formula>0.6</formula>
    </cfRule>
  </conditionalFormatting>
  <conditionalFormatting sqref="M52:N52">
    <cfRule type="expression" dxfId="730" priority="78" stopIfTrue="1">
      <formula>#REF!="DLN"</formula>
    </cfRule>
  </conditionalFormatting>
  <conditionalFormatting sqref="Q52:R52">
    <cfRule type="cellIs" dxfId="729" priority="71" stopIfTrue="1" operator="greaterThanOrEqual">
      <formula>0.801</formula>
    </cfRule>
    <cfRule type="cellIs" dxfId="728" priority="72" stopIfTrue="1" operator="between">
      <formula>0.61</formula>
      <formula>0.8</formula>
    </cfRule>
    <cfRule type="cellIs" dxfId="727" priority="73" stopIfTrue="1" operator="between">
      <formula>0</formula>
      <formula>0.6</formula>
    </cfRule>
  </conditionalFormatting>
  <conditionalFormatting sqref="Q52:R52">
    <cfRule type="expression" dxfId="726" priority="74" stopIfTrue="1">
      <formula>#REF!="DLN"</formula>
    </cfRule>
  </conditionalFormatting>
  <conditionalFormatting sqref="U52:V52">
    <cfRule type="cellIs" dxfId="725" priority="67" stopIfTrue="1" operator="greaterThanOrEqual">
      <formula>0.801</formula>
    </cfRule>
    <cfRule type="cellIs" dxfId="724" priority="68" stopIfTrue="1" operator="between">
      <formula>0.61</formula>
      <formula>0.8</formula>
    </cfRule>
    <cfRule type="cellIs" dxfId="723" priority="69" stopIfTrue="1" operator="between">
      <formula>0</formula>
      <formula>0.6</formula>
    </cfRule>
  </conditionalFormatting>
  <conditionalFormatting sqref="U52:V52">
    <cfRule type="expression" dxfId="722" priority="70" stopIfTrue="1">
      <formula>#REF!="DLN"</formula>
    </cfRule>
  </conditionalFormatting>
  <conditionalFormatting sqref="Y52:Z52">
    <cfRule type="cellIs" dxfId="721" priority="63" stopIfTrue="1" operator="greaterThanOrEqual">
      <formula>0.801</formula>
    </cfRule>
    <cfRule type="cellIs" dxfId="720" priority="64" stopIfTrue="1" operator="between">
      <formula>0.61</formula>
      <formula>0.8</formula>
    </cfRule>
    <cfRule type="cellIs" dxfId="719" priority="65" stopIfTrue="1" operator="between">
      <formula>0</formula>
      <formula>0.6</formula>
    </cfRule>
  </conditionalFormatting>
  <conditionalFormatting sqref="Y52:Z52">
    <cfRule type="expression" dxfId="718" priority="66" stopIfTrue="1">
      <formula>#REF!="DLN"</formula>
    </cfRule>
  </conditionalFormatting>
  <conditionalFormatting sqref="AC52:AD52">
    <cfRule type="cellIs" dxfId="717" priority="59" stopIfTrue="1" operator="greaterThanOrEqual">
      <formula>0.801</formula>
    </cfRule>
    <cfRule type="cellIs" dxfId="716" priority="60" stopIfTrue="1" operator="between">
      <formula>0.61</formula>
      <formula>0.8</formula>
    </cfRule>
    <cfRule type="cellIs" dxfId="715" priority="61" stopIfTrue="1" operator="between">
      <formula>0</formula>
      <formula>0.6</formula>
    </cfRule>
  </conditionalFormatting>
  <conditionalFormatting sqref="AC52:AD52">
    <cfRule type="expression" dxfId="714" priority="62" stopIfTrue="1">
      <formula>#REF!="DLN"</formula>
    </cfRule>
  </conditionalFormatting>
  <conditionalFormatting sqref="G3:G50">
    <cfRule type="expression" dxfId="713" priority="57" stopIfTrue="1">
      <formula>#REF!="DLN"</formula>
    </cfRule>
  </conditionalFormatting>
  <conditionalFormatting sqref="G3:G50">
    <cfRule type="expression" dxfId="712" priority="58" stopIfTrue="1">
      <formula>#REF!="DLN"</formula>
    </cfRule>
  </conditionalFormatting>
  <conditionalFormatting sqref="P3:P50">
    <cfRule type="expression" dxfId="711" priority="56" stopIfTrue="1">
      <formula>#REF!="DLN"</formula>
    </cfRule>
  </conditionalFormatting>
  <conditionalFormatting sqref="P3:P50">
    <cfRule type="expression" dxfId="710" priority="55" stopIfTrue="1">
      <formula>#REF!="DLN"</formula>
    </cfRule>
  </conditionalFormatting>
  <conditionalFormatting sqref="O3:O50">
    <cfRule type="expression" dxfId="709" priority="54" stopIfTrue="1">
      <formula>#REF!="DLN"</formula>
    </cfRule>
  </conditionalFormatting>
  <conditionalFormatting sqref="O3:O50">
    <cfRule type="expression" dxfId="708" priority="53" stopIfTrue="1">
      <formula>#REF!="DLN"</formula>
    </cfRule>
  </conditionalFormatting>
  <conditionalFormatting sqref="H3:H50">
    <cfRule type="expression" dxfId="707" priority="52" stopIfTrue="1">
      <formula>#REF!="DLN"</formula>
    </cfRule>
  </conditionalFormatting>
  <conditionalFormatting sqref="H3:H50">
    <cfRule type="expression" dxfId="706" priority="51" stopIfTrue="1">
      <formula>#REF!="DLN"</formula>
    </cfRule>
  </conditionalFormatting>
  <conditionalFormatting sqref="A8:A50">
    <cfRule type="expression" dxfId="705" priority="50" stopIfTrue="1">
      <formula>#REF!="DLN"</formula>
    </cfRule>
  </conditionalFormatting>
  <conditionalFormatting sqref="A8:A50">
    <cfRule type="expression" dxfId="704" priority="49" stopIfTrue="1">
      <formula>#REF!="DLN"</formula>
    </cfRule>
  </conditionalFormatting>
  <conditionalFormatting sqref="AE2">
    <cfRule type="expression" dxfId="703" priority="46" stopIfTrue="1">
      <formula>#REF!="DLN"</formula>
    </cfRule>
  </conditionalFormatting>
  <conditionalFormatting sqref="AE2">
    <cfRule type="expression" dxfId="702" priority="45" stopIfTrue="1">
      <formula>#REF!="DLN"</formula>
    </cfRule>
  </conditionalFormatting>
  <conditionalFormatting sqref="AE3:AE50">
    <cfRule type="expression" dxfId="701" priority="44" stopIfTrue="1">
      <formula>#REF!="DLN"</formula>
    </cfRule>
  </conditionalFormatting>
  <conditionalFormatting sqref="AE3:AE50">
    <cfRule type="expression" dxfId="700" priority="43" stopIfTrue="1">
      <formula>#REF!="DLN"</formula>
    </cfRule>
  </conditionalFormatting>
  <conditionalFormatting sqref="AG52:AH52">
    <cfRule type="cellIs" dxfId="699" priority="39" stopIfTrue="1" operator="greaterThanOrEqual">
      <formula>0.801</formula>
    </cfRule>
    <cfRule type="cellIs" dxfId="698" priority="40" stopIfTrue="1" operator="between">
      <formula>0.61</formula>
      <formula>0.8</formula>
    </cfRule>
    <cfRule type="cellIs" dxfId="697" priority="41" stopIfTrue="1" operator="between">
      <formula>0</formula>
      <formula>0.6</formula>
    </cfRule>
  </conditionalFormatting>
  <conditionalFormatting sqref="AG52:AH52">
    <cfRule type="expression" dxfId="696" priority="42" stopIfTrue="1">
      <formula>#REF!="DLN"</formula>
    </cfRule>
  </conditionalFormatting>
  <conditionalFormatting sqref="AK52:AL52">
    <cfRule type="cellIs" dxfId="695" priority="35" stopIfTrue="1" operator="greaterThanOrEqual">
      <formula>0.801</formula>
    </cfRule>
    <cfRule type="cellIs" dxfId="694" priority="36" stopIfTrue="1" operator="between">
      <formula>0.61</formula>
      <formula>0.8</formula>
    </cfRule>
    <cfRule type="cellIs" dxfId="693" priority="37" stopIfTrue="1" operator="between">
      <formula>0</formula>
      <formula>0.6</formula>
    </cfRule>
  </conditionalFormatting>
  <conditionalFormatting sqref="AK52:AL52">
    <cfRule type="expression" dxfId="692" priority="38" stopIfTrue="1">
      <formula>#REF!="DLN"</formula>
    </cfRule>
  </conditionalFormatting>
  <conditionalFormatting sqref="AN3:AN50">
    <cfRule type="expression" dxfId="691" priority="34" stopIfTrue="1">
      <formula>#REF!="DLN"</formula>
    </cfRule>
  </conditionalFormatting>
  <conditionalFormatting sqref="AN3:AN50">
    <cfRule type="expression" dxfId="690" priority="33" stopIfTrue="1">
      <formula>#REF!="DLN"</formula>
    </cfRule>
  </conditionalFormatting>
  <conditionalFormatting sqref="AM2">
    <cfRule type="expression" dxfId="689" priority="32" stopIfTrue="1">
      <formula>#REF!="DLN"</formula>
    </cfRule>
  </conditionalFormatting>
  <conditionalFormatting sqref="AM2">
    <cfRule type="expression" dxfId="688" priority="31" stopIfTrue="1">
      <formula>#REF!="DLN"</formula>
    </cfRule>
  </conditionalFormatting>
  <conditionalFormatting sqref="AM3:AM50">
    <cfRule type="expression" dxfId="687" priority="30" stopIfTrue="1">
      <formula>#REF!="DLN"</formula>
    </cfRule>
  </conditionalFormatting>
  <conditionalFormatting sqref="AM3:AM50">
    <cfRule type="expression" dxfId="686" priority="29" stopIfTrue="1">
      <formula>#REF!="DLN"</formula>
    </cfRule>
  </conditionalFormatting>
  <conditionalFormatting sqref="AO52:AP52">
    <cfRule type="cellIs" dxfId="685" priority="25" stopIfTrue="1" operator="greaterThanOrEqual">
      <formula>0.801</formula>
    </cfRule>
    <cfRule type="cellIs" dxfId="684" priority="26" stopIfTrue="1" operator="between">
      <formula>0.61</formula>
      <formula>0.8</formula>
    </cfRule>
    <cfRule type="cellIs" dxfId="683" priority="27" stopIfTrue="1" operator="between">
      <formula>0</formula>
      <formula>0.6</formula>
    </cfRule>
  </conditionalFormatting>
  <conditionalFormatting sqref="AO52:AP52">
    <cfRule type="expression" dxfId="682" priority="28" stopIfTrue="1">
      <formula>#REF!="DLN"</formula>
    </cfRule>
  </conditionalFormatting>
  <conditionalFormatting sqref="AS52:AT52">
    <cfRule type="cellIs" dxfId="681" priority="21" stopIfTrue="1" operator="greaterThanOrEqual">
      <formula>0.801</formula>
    </cfRule>
    <cfRule type="cellIs" dxfId="680" priority="22" stopIfTrue="1" operator="between">
      <formula>0.61</formula>
      <formula>0.8</formula>
    </cfRule>
    <cfRule type="cellIs" dxfId="679" priority="23" stopIfTrue="1" operator="between">
      <formula>0</formula>
      <formula>0.6</formula>
    </cfRule>
  </conditionalFormatting>
  <conditionalFormatting sqref="AS52:AT52">
    <cfRule type="expression" dxfId="678" priority="24" stopIfTrue="1">
      <formula>#REF!="DLN"</formula>
    </cfRule>
  </conditionalFormatting>
  <conditionalFormatting sqref="AV3:AV50">
    <cfRule type="expression" dxfId="677" priority="20" stopIfTrue="1">
      <formula>#REF!="DLN"</formula>
    </cfRule>
  </conditionalFormatting>
  <conditionalFormatting sqref="AV3:AV50">
    <cfRule type="expression" dxfId="676" priority="19" stopIfTrue="1">
      <formula>#REF!="DLN"</formula>
    </cfRule>
  </conditionalFormatting>
  <conditionalFormatting sqref="AU2">
    <cfRule type="expression" dxfId="675" priority="18" stopIfTrue="1">
      <formula>#REF!="DLN"</formula>
    </cfRule>
  </conditionalFormatting>
  <conditionalFormatting sqref="AU2">
    <cfRule type="expression" dxfId="674" priority="17" stopIfTrue="1">
      <formula>#REF!="DLN"</formula>
    </cfRule>
  </conditionalFormatting>
  <conditionalFormatting sqref="AU3:AU50">
    <cfRule type="expression" dxfId="673" priority="16" stopIfTrue="1">
      <formula>#REF!="DLN"</formula>
    </cfRule>
  </conditionalFormatting>
  <conditionalFormatting sqref="AU3:AU50">
    <cfRule type="expression" dxfId="672" priority="15" stopIfTrue="1">
      <formula>#REF!="DLN"</formula>
    </cfRule>
  </conditionalFormatting>
  <conditionalFormatting sqref="AW52:AX52">
    <cfRule type="cellIs" dxfId="671" priority="11" stopIfTrue="1" operator="greaterThanOrEqual">
      <formula>0.801</formula>
    </cfRule>
    <cfRule type="cellIs" dxfId="670" priority="12" stopIfTrue="1" operator="between">
      <formula>0.61</formula>
      <formula>0.8</formula>
    </cfRule>
    <cfRule type="cellIs" dxfId="669" priority="13" stopIfTrue="1" operator="between">
      <formula>0</formula>
      <formula>0.6</formula>
    </cfRule>
  </conditionalFormatting>
  <conditionalFormatting sqref="AW52:AX52">
    <cfRule type="expression" dxfId="668" priority="14" stopIfTrue="1">
      <formula>#REF!="DLN"</formula>
    </cfRule>
  </conditionalFormatting>
  <conditionalFormatting sqref="A6">
    <cfRule type="expression" dxfId="667" priority="10" stopIfTrue="1">
      <formula>#REF!="DLN"</formula>
    </cfRule>
  </conditionalFormatting>
  <conditionalFormatting sqref="A6">
    <cfRule type="expression" dxfId="666" priority="9" stopIfTrue="1">
      <formula>#REF!="DLN"</formula>
    </cfRule>
  </conditionalFormatting>
  <conditionalFormatting sqref="A7">
    <cfRule type="expression" dxfId="665" priority="8" stopIfTrue="1">
      <formula>#REF!="DLN"</formula>
    </cfRule>
  </conditionalFormatting>
  <conditionalFormatting sqref="A7">
    <cfRule type="expression" dxfId="664" priority="7" stopIfTrue="1">
      <formula>#REF!="DLN"</formula>
    </cfRule>
  </conditionalFormatting>
  <conditionalFormatting sqref="A3">
    <cfRule type="expression" dxfId="663" priority="6" stopIfTrue="1">
      <formula>#REF!="DLN"</formula>
    </cfRule>
  </conditionalFormatting>
  <conditionalFormatting sqref="A3">
    <cfRule type="expression" dxfId="662" priority="5" stopIfTrue="1">
      <formula>#REF!="DLN"</formula>
    </cfRule>
  </conditionalFormatting>
  <conditionalFormatting sqref="A4">
    <cfRule type="expression" dxfId="661" priority="4" stopIfTrue="1">
      <formula>#REF!="DLN"</formula>
    </cfRule>
  </conditionalFormatting>
  <conditionalFormatting sqref="A4">
    <cfRule type="expression" dxfId="660" priority="3" stopIfTrue="1">
      <formula>#REF!="DLN"</formula>
    </cfRule>
  </conditionalFormatting>
  <conditionalFormatting sqref="A5">
    <cfRule type="expression" dxfId="659" priority="2" stopIfTrue="1">
      <formula>#REF!="DLN"</formula>
    </cfRule>
  </conditionalFormatting>
  <conditionalFormatting sqref="A5">
    <cfRule type="expression" dxfId="658" priority="1" stopIfTrue="1">
      <formula>#REF!="DLN"</formula>
    </cfRule>
  </conditionalFormatting>
  <dataValidations count="1">
    <dataValidation type="list" allowBlank="1" showInputMessage="1" showErrorMessage="1" sqref="A3:A50" xr:uid="{BA7D9DD0-4343-4F79-9A17-BF47D6C70983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7E1F16-5248-414D-A96D-31F8F2D88205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5012-01E2-46D3-8717-23FAB6206F2F}">
  <sheetPr codeName="Sheet6"/>
  <dimension ref="A1:AX62"/>
  <sheetViews>
    <sheetView workbookViewId="0">
      <selection activeCell="J3" sqref="J3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300</v>
      </c>
      <c r="B3" s="24" t="s">
        <v>433</v>
      </c>
      <c r="C3" s="20" t="str">
        <f>IFERROR(VLOOKUP(A3,'Parts List and Volumes'!C2:D194,2,FALSE),"")</f>
        <v>NFAA0215ACF20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25">
        <v>30.7</v>
      </c>
      <c r="G3" s="40">
        <f>IFERROR(VLOOKUP($A3,'Parts List and Volumes'!$C$2:$W194,5,FALSE),"")</f>
        <v>210671</v>
      </c>
      <c r="H3" s="41">
        <f>IFERROR(VLOOKUP($A3,'Parts List and Volumes'!$C$2:$W194,6,FALSE),"")</f>
        <v>210671</v>
      </c>
      <c r="I3" s="42">
        <f t="shared" ref="I3:J50" si="0">IFERROR((($F3*G3)/FourHeadAssumption),"")</f>
        <v>0.47603483630689514</v>
      </c>
      <c r="J3" s="43">
        <f t="shared" si="0"/>
        <v>0.47603483630689514</v>
      </c>
      <c r="K3" s="44">
        <f>IFERROR(VLOOKUP($A3,'Parts List and Volumes'!$C$2:$W194,7,FALSE),"")</f>
        <v>205524</v>
      </c>
      <c r="L3" s="45">
        <f>IFERROR(VLOOKUP($A3,'Parts List and Volumes'!$C$2:$W194,8,FALSE),"")</f>
        <v>205524</v>
      </c>
      <c r="M3" s="46">
        <f t="shared" ref="M3:N50" si="1">IFERROR((($F3*K3)/FourHeadAssumption),"")</f>
        <v>0.46440461049284576</v>
      </c>
      <c r="N3" s="47">
        <f t="shared" si="1"/>
        <v>0.46440461049284576</v>
      </c>
      <c r="O3" s="41">
        <f>IFERROR(VLOOKUP($A3,'Parts List and Volumes'!$C$2:$W194,9,FALSE),"")</f>
        <v>0</v>
      </c>
      <c r="P3" s="41">
        <f>IFERROR(VLOOKUP($A3,'Parts List and Volumes'!$C$2:$W194,10,FALSE),"")</f>
        <v>208293</v>
      </c>
      <c r="Q3" s="48">
        <f t="shared" ref="Q3:R50" si="2">IFERROR((($F3*O3)/FourHeadAssumption),"")</f>
        <v>0</v>
      </c>
      <c r="R3" s="43">
        <f t="shared" si="2"/>
        <v>0.47066147765412469</v>
      </c>
      <c r="S3" s="44">
        <f>IFERROR(VLOOKUP($A3,'Parts List and Volumes'!$C$2:$W194,11,FALSE),"")</f>
        <v>0</v>
      </c>
      <c r="T3" s="45">
        <f>IFERROR(VLOOKUP($A3,'Parts List and Volumes'!$C$2:$W194,12,FALSE),"")</f>
        <v>208293</v>
      </c>
      <c r="U3" s="46">
        <f t="shared" ref="U3:V50" si="3">IFERROR((($F3*S3)/FourHeadAssumption),"")</f>
        <v>0</v>
      </c>
      <c r="V3" s="47">
        <f t="shared" si="3"/>
        <v>0.47066147765412469</v>
      </c>
      <c r="W3" s="40">
        <f>IFERROR(VLOOKUP($A3,'Parts List and Volumes'!$C$2:$W194,13,FALSE),"")</f>
        <v>0</v>
      </c>
      <c r="X3" s="41">
        <f>IFERROR(VLOOKUP($A3,'Parts List and Volumes'!$C$2:$W194,14,FALSE),"")</f>
        <v>0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 t="s">
        <v>302</v>
      </c>
      <c r="B4" s="24" t="s">
        <v>433</v>
      </c>
      <c r="C4" s="20" t="str">
        <f>IFERROR(VLOOKUP(A4,'Parts List and Volumes'!C3:D195,2,FALSE),"")</f>
        <v>NFAA0216ACF20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26">
        <v>40.700000000000003</v>
      </c>
      <c r="G4" s="40">
        <f>IFERROR(VLOOKUP($A4,'Parts List and Volumes'!$C$2:$W195,5,FALSE),"")</f>
        <v>210632</v>
      </c>
      <c r="H4" s="41">
        <f>IFERROR(VLOOKUP($A4,'Parts List and Volumes'!$C$2:$W195,6,FALSE),"")</f>
        <v>205421</v>
      </c>
      <c r="I4" s="42">
        <f t="shared" si="0"/>
        <v>0.63097821350762529</v>
      </c>
      <c r="J4" s="43">
        <f t="shared" si="0"/>
        <v>0.61536791938997826</v>
      </c>
      <c r="K4" s="44">
        <f>IFERROR(VLOOKUP($A4,'Parts List and Volumes'!$C$2:$W195,7,FALSE),"")</f>
        <v>205421</v>
      </c>
      <c r="L4" s="45">
        <f>IFERROR(VLOOKUP($A4,'Parts List and Volumes'!$C$2:$W195,8,FALSE),"")</f>
        <v>205421</v>
      </c>
      <c r="M4" s="46">
        <f t="shared" si="1"/>
        <v>0.61536791938997826</v>
      </c>
      <c r="N4" s="47">
        <f t="shared" si="1"/>
        <v>0.61536791938997826</v>
      </c>
      <c r="O4" s="41">
        <f>IFERROR(VLOOKUP($A4,'Parts List and Volumes'!$C$2:$W195,9,FALSE),"")</f>
        <v>0</v>
      </c>
      <c r="P4" s="41">
        <f>IFERROR(VLOOKUP($A4,'Parts List and Volumes'!$C$2:$W195,10,FALSE),"")</f>
        <v>208293</v>
      </c>
      <c r="Q4" s="48">
        <f t="shared" si="2"/>
        <v>0</v>
      </c>
      <c r="R4" s="43">
        <f t="shared" si="2"/>
        <v>0.62397140522875827</v>
      </c>
      <c r="S4" s="44">
        <f>IFERROR(VLOOKUP($A4,'Parts List and Volumes'!$C$2:$W195,11,FALSE),"")</f>
        <v>0</v>
      </c>
      <c r="T4" s="45">
        <f>IFERROR(VLOOKUP($A4,'Parts List and Volumes'!$C$2:$W195,12,FALSE),"")</f>
        <v>208293</v>
      </c>
      <c r="U4" s="46">
        <f t="shared" si="3"/>
        <v>0</v>
      </c>
      <c r="V4" s="47">
        <f t="shared" si="3"/>
        <v>0.62397140522875827</v>
      </c>
      <c r="W4" s="40">
        <f>IFERROR(VLOOKUP($A4,'Parts List and Volumes'!$C$2:$W195,13,FALSE),"")</f>
        <v>0</v>
      </c>
      <c r="X4" s="41">
        <f>IFERROR(VLOOKUP($A4,'Parts List and Volumes'!$C$2:$W195,14,FALSE),"")</f>
        <v>0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 t="s">
        <v>304</v>
      </c>
      <c r="B5" s="24" t="s">
        <v>441</v>
      </c>
      <c r="C5" s="20" t="str">
        <f>IFERROR(VLOOKUP(A5,'Parts List and Volumes'!C4:D196,2,FALSE),"")</f>
        <v>NFAA0217ADF20</v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>
        <v>28</v>
      </c>
      <c r="G5" s="40">
        <f>IFERROR(VLOOKUP($A5,'Parts List and Volumes'!$C$2:$W196,5,FALSE),"")</f>
        <v>55776</v>
      </c>
      <c r="H5" s="41">
        <f>IFERROR(VLOOKUP($A5,'Parts List and Volumes'!$C$2:$W196,6,FALSE),"")</f>
        <v>54818</v>
      </c>
      <c r="I5" s="42">
        <f t="shared" si="0"/>
        <v>0.11494788906553613</v>
      </c>
      <c r="J5" s="43">
        <f t="shared" si="0"/>
        <v>0.11297356179709121</v>
      </c>
      <c r="K5" s="44">
        <f>IFERROR(VLOOKUP($A5,'Parts List and Volumes'!$C$2:$W196,7,FALSE),"")</f>
        <v>54818</v>
      </c>
      <c r="L5" s="45">
        <f>IFERROR(VLOOKUP($A5,'Parts List and Volumes'!$C$2:$W196,8,FALSE),"")</f>
        <v>54818</v>
      </c>
      <c r="M5" s="46">
        <f t="shared" si="1"/>
        <v>0.11297356179709121</v>
      </c>
      <c r="N5" s="47">
        <f t="shared" si="1"/>
        <v>0.11297356179709121</v>
      </c>
      <c r="O5" s="41">
        <f>IFERROR(VLOOKUP($A5,'Parts List and Volumes'!$C$2:$W196,9,FALSE),"")</f>
        <v>0</v>
      </c>
      <c r="P5" s="41">
        <f>IFERROR(VLOOKUP($A5,'Parts List and Volumes'!$C$2:$W196,10,FALSE),"")</f>
        <v>43979</v>
      </c>
      <c r="Q5" s="48">
        <f t="shared" si="2"/>
        <v>0</v>
      </c>
      <c r="R5" s="43">
        <f t="shared" si="2"/>
        <v>9.0635635635635634E-2</v>
      </c>
      <c r="S5" s="44">
        <f>IFERROR(VLOOKUP($A5,'Parts List and Volumes'!$C$2:$W196,11,FALSE),"")</f>
        <v>0</v>
      </c>
      <c r="T5" s="45">
        <f>IFERROR(VLOOKUP($A5,'Parts List and Volumes'!$C$2:$W196,12,FALSE),"")</f>
        <v>43979</v>
      </c>
      <c r="U5" s="46">
        <f t="shared" si="3"/>
        <v>0</v>
      </c>
      <c r="V5" s="47">
        <f t="shared" si="3"/>
        <v>9.0635635635635634E-2</v>
      </c>
      <c r="W5" s="40">
        <f>IFERROR(VLOOKUP($A5,'Parts List and Volumes'!$C$2:$W196,13,FALSE),"")</f>
        <v>0</v>
      </c>
      <c r="X5" s="41">
        <f>IFERROR(VLOOKUP($A5,'Parts List and Volumes'!$C$2:$W196,14,FALSE),"")</f>
        <v>0</v>
      </c>
      <c r="Y5" s="48">
        <f t="shared" si="4"/>
        <v>0</v>
      </c>
      <c r="Z5" s="43">
        <f t="shared" si="4"/>
        <v>0</v>
      </c>
      <c r="AA5" s="49">
        <f>IFERROR(VLOOKUP($A5,'Parts List and Volumes'!$C$2:$W196,15,FALSE),"")</f>
        <v>0</v>
      </c>
      <c r="AB5" s="50">
        <f>IFERROR(VLOOKUP($A5,'Parts List and Volumes'!$C$2:$W196,16,FALSE),"")</f>
        <v>0</v>
      </c>
      <c r="AC5" s="51">
        <f t="shared" si="5"/>
        <v>0</v>
      </c>
      <c r="AD5" s="52">
        <f t="shared" si="5"/>
        <v>0</v>
      </c>
      <c r="AE5" s="40">
        <f>IFERROR(VLOOKUP($A5,'Parts List and Volumes'!$C$2:$W196,17,FALSE),"")</f>
        <v>0</v>
      </c>
      <c r="AF5" s="41">
        <f>IFERROR(VLOOKUP($A5,'Parts List and Volumes'!$C$2:$W196,18,FALSE),"")</f>
        <v>0</v>
      </c>
      <c r="AG5" s="48">
        <f t="shared" si="6"/>
        <v>0</v>
      </c>
      <c r="AH5" s="43">
        <f t="shared" si="6"/>
        <v>0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/>
      <c r="B6" s="24"/>
      <c r="C6" s="20" t="str">
        <f>IFERROR(VLOOKUP(A6,'Parts List and Volumes'!C5:D197,2,FALSE),"")</f>
        <v/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/>
      <c r="G6" s="40" t="str">
        <f>IFERROR(VLOOKUP($A6,'Parts List and Volumes'!$C$2:$W197,5,FALSE),"")</f>
        <v/>
      </c>
      <c r="H6" s="41" t="str">
        <f>IFERROR(VLOOKUP($A6,'Parts List and Volumes'!$C$2:$W197,6,FALSE),"")</f>
        <v/>
      </c>
      <c r="I6" s="42" t="str">
        <f t="shared" si="0"/>
        <v/>
      </c>
      <c r="J6" s="43" t="str">
        <f t="shared" si="0"/>
        <v/>
      </c>
      <c r="K6" s="58" t="str">
        <f>IFERROR(VLOOKUP($A6,'Parts List and Volumes'!$C$2:$W197,7,FALSE),"")</f>
        <v/>
      </c>
      <c r="L6" s="45" t="str">
        <f>IFERROR(VLOOKUP($A6,'Parts List and Volumes'!$C$2:$W197,8,FALSE),"")</f>
        <v/>
      </c>
      <c r="M6" s="46" t="str">
        <f t="shared" si="1"/>
        <v/>
      </c>
      <c r="N6" s="47" t="str">
        <f t="shared" si="1"/>
        <v/>
      </c>
      <c r="O6" s="41" t="str">
        <f>IFERROR(VLOOKUP($A6,'Parts List and Volumes'!$C$2:$W197,9,FALSE),"")</f>
        <v/>
      </c>
      <c r="P6" s="41" t="str">
        <f>IFERROR(VLOOKUP($A6,'Parts List and Volumes'!$C$2:$W197,10,FALSE),"")</f>
        <v/>
      </c>
      <c r="Q6" s="48" t="str">
        <f t="shared" si="2"/>
        <v/>
      </c>
      <c r="R6" s="43" t="str">
        <f t="shared" si="2"/>
        <v/>
      </c>
      <c r="S6" s="44" t="str">
        <f>IFERROR(VLOOKUP($A6,'Parts List and Volumes'!$C$2:$W197,11,FALSE),"")</f>
        <v/>
      </c>
      <c r="T6" s="45" t="str">
        <f>IFERROR(VLOOKUP($A6,'Parts List and Volumes'!$C$2:$W197,12,FALSE),"")</f>
        <v/>
      </c>
      <c r="U6" s="46" t="str">
        <f t="shared" si="3"/>
        <v/>
      </c>
      <c r="V6" s="47" t="str">
        <f t="shared" si="3"/>
        <v/>
      </c>
      <c r="W6" s="40" t="str">
        <f>IFERROR(VLOOKUP($A6,'Parts List and Volumes'!$C$2:$W197,13,FALSE),"")</f>
        <v/>
      </c>
      <c r="X6" s="41" t="str">
        <f>IFERROR(VLOOKUP($A6,'Parts List and Volumes'!$C$2:$W197,14,FALSE),"")</f>
        <v/>
      </c>
      <c r="Y6" s="48" t="str">
        <f t="shared" si="4"/>
        <v/>
      </c>
      <c r="Z6" s="43" t="str">
        <f t="shared" si="4"/>
        <v/>
      </c>
      <c r="AA6" s="49" t="str">
        <f>IFERROR(VLOOKUP($A6,'Parts List and Volumes'!$C$2:$W197,15,FALSE),"")</f>
        <v/>
      </c>
      <c r="AB6" s="50" t="str">
        <f>IFERROR(VLOOKUP($A6,'Parts List and Volumes'!$C$2:$W197,16,FALSE),"")</f>
        <v/>
      </c>
      <c r="AC6" s="51" t="str">
        <f t="shared" si="5"/>
        <v/>
      </c>
      <c r="AD6" s="52" t="str">
        <f t="shared" si="5"/>
        <v/>
      </c>
      <c r="AE6" s="40" t="str">
        <f>IFERROR(VLOOKUP($A6,'Parts List and Volumes'!$C$2:$W197,17,FALSE),"")</f>
        <v/>
      </c>
      <c r="AF6" s="41" t="str">
        <f>IFERROR(VLOOKUP($A6,'Parts List and Volumes'!$C$2:$W197,18,FALSE),"")</f>
        <v/>
      </c>
      <c r="AG6" s="48" t="str">
        <f t="shared" si="6"/>
        <v/>
      </c>
      <c r="AH6" s="43" t="str">
        <f t="shared" si="6"/>
        <v/>
      </c>
      <c r="AI6" s="49" t="str">
        <f>IFERROR(VLOOKUP($A6,'Parts List and Volumes'!$C$2:$W197,19,FALSE),"")</f>
        <v/>
      </c>
      <c r="AJ6" s="50" t="str">
        <f>IFERROR(VLOOKUP($A6,'Parts List and Volumes'!$C$2:$W197,20,FALSE),"")</f>
        <v/>
      </c>
      <c r="AK6" s="51" t="str">
        <f t="shared" si="7"/>
        <v/>
      </c>
      <c r="AL6" s="52" t="str">
        <f t="shared" si="7"/>
        <v/>
      </c>
      <c r="AM6" s="40" t="str">
        <f>IFERROR(VLOOKUP($A6,'Parts List and Volumes'!$C$2:$W197,21,FALSE),"")</f>
        <v/>
      </c>
      <c r="AN6" s="41" t="str">
        <f>IFERROR(VLOOKUP($A6,'Parts List and Volumes'!$C$2:$W197,22,FALSE),"")</f>
        <v/>
      </c>
      <c r="AO6" s="48" t="str">
        <f t="shared" si="8"/>
        <v/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1.2219609388800565</v>
      </c>
      <c r="J52" s="53">
        <f>SUM(J3:J50)</f>
        <v>1.2043763174939648</v>
      </c>
      <c r="M52" s="53">
        <f>SUM(M3:M50)</f>
        <v>1.1927460916799153</v>
      </c>
      <c r="N52" s="53">
        <f>SUM(N3:N50)</f>
        <v>1.1927460916799153</v>
      </c>
      <c r="Q52" s="53">
        <f>SUM(Q3:Q50)</f>
        <v>0</v>
      </c>
      <c r="R52" s="53">
        <f>SUM(R3:R50)</f>
        <v>1.1852685185185188</v>
      </c>
      <c r="U52" s="53">
        <f>SUM(U3:U50)</f>
        <v>0</v>
      </c>
      <c r="V52" s="53">
        <f>SUM(V3:V50)</f>
        <v>1.1852685185185188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2256" priority="114" stopIfTrue="1">
      <formula>#REF!="DLN"</formula>
    </cfRule>
  </conditionalFormatting>
  <conditionalFormatting sqref="F3:F7 D3:E50">
    <cfRule type="expression" dxfId="2255" priority="113" stopIfTrue="1">
      <formula>#REF!="DLN"</formula>
    </cfRule>
  </conditionalFormatting>
  <conditionalFormatting sqref="L3:L50">
    <cfRule type="expression" dxfId="2254" priority="112" stopIfTrue="1">
      <formula>#REF!="DLN"</formula>
    </cfRule>
  </conditionalFormatting>
  <conditionalFormatting sqref="L3:L50">
    <cfRule type="expression" dxfId="2253" priority="111" stopIfTrue="1">
      <formula>#REF!="DLN"</formula>
    </cfRule>
  </conditionalFormatting>
  <conditionalFormatting sqref="T3:T50">
    <cfRule type="expression" dxfId="2252" priority="110" stopIfTrue="1">
      <formula>#REF!="DLN"</formula>
    </cfRule>
  </conditionalFormatting>
  <conditionalFormatting sqref="T3:T50">
    <cfRule type="expression" dxfId="2251" priority="109" stopIfTrue="1">
      <formula>#REF!="DLN"</formula>
    </cfRule>
  </conditionalFormatting>
  <conditionalFormatting sqref="X3:X50">
    <cfRule type="expression" dxfId="2250" priority="108" stopIfTrue="1">
      <formula>#REF!="DLN"</formula>
    </cfRule>
  </conditionalFormatting>
  <conditionalFormatting sqref="X3:X50">
    <cfRule type="expression" dxfId="2249" priority="107" stopIfTrue="1">
      <formula>#REF!="DLN"</formula>
    </cfRule>
  </conditionalFormatting>
  <conditionalFormatting sqref="G2">
    <cfRule type="expression" dxfId="2248" priority="106" stopIfTrue="1">
      <formula>#REF!="DLN"</formula>
    </cfRule>
  </conditionalFormatting>
  <conditionalFormatting sqref="G2">
    <cfRule type="expression" dxfId="2247" priority="105" stopIfTrue="1">
      <formula>#REF!="DLN"</formula>
    </cfRule>
  </conditionalFormatting>
  <conditionalFormatting sqref="K2">
    <cfRule type="expression" dxfId="2246" priority="104" stopIfTrue="1">
      <formula>#REF!="DLN"</formula>
    </cfRule>
  </conditionalFormatting>
  <conditionalFormatting sqref="K2">
    <cfRule type="expression" dxfId="2245" priority="103" stopIfTrue="1">
      <formula>#REF!="DLN"</formula>
    </cfRule>
  </conditionalFormatting>
  <conditionalFormatting sqref="O2">
    <cfRule type="expression" dxfId="2244" priority="102" stopIfTrue="1">
      <formula>#REF!="DLN"</formula>
    </cfRule>
  </conditionalFormatting>
  <conditionalFormatting sqref="O2">
    <cfRule type="expression" dxfId="2243" priority="101" stopIfTrue="1">
      <formula>#REF!="DLN"</formula>
    </cfRule>
  </conditionalFormatting>
  <conditionalFormatting sqref="S2">
    <cfRule type="expression" dxfId="2242" priority="100" stopIfTrue="1">
      <formula>#REF!="DLN"</formula>
    </cfRule>
  </conditionalFormatting>
  <conditionalFormatting sqref="S2">
    <cfRule type="expression" dxfId="2241" priority="99" stopIfTrue="1">
      <formula>#REF!="DLN"</formula>
    </cfRule>
  </conditionalFormatting>
  <conditionalFormatting sqref="W2">
    <cfRule type="expression" dxfId="2240" priority="98" stopIfTrue="1">
      <formula>#REF!="DLN"</formula>
    </cfRule>
  </conditionalFormatting>
  <conditionalFormatting sqref="W2">
    <cfRule type="expression" dxfId="2239" priority="97" stopIfTrue="1">
      <formula>#REF!="DLN"</formula>
    </cfRule>
  </conditionalFormatting>
  <conditionalFormatting sqref="AF3:AF50">
    <cfRule type="expression" dxfId="2238" priority="49" stopIfTrue="1">
      <formula>#REF!="DLN"</formula>
    </cfRule>
  </conditionalFormatting>
  <conditionalFormatting sqref="W3:W50">
    <cfRule type="expression" dxfId="2237" priority="96" stopIfTrue="1">
      <formula>#REF!="DLN"</formula>
    </cfRule>
  </conditionalFormatting>
  <conditionalFormatting sqref="W3:W50">
    <cfRule type="expression" dxfId="2236" priority="95" stopIfTrue="1">
      <formula>#REF!="DLN"</formula>
    </cfRule>
  </conditionalFormatting>
  <conditionalFormatting sqref="S3:S50">
    <cfRule type="expression" dxfId="2235" priority="94" stopIfTrue="1">
      <formula>#REF!="DLN"</formula>
    </cfRule>
  </conditionalFormatting>
  <conditionalFormatting sqref="S3:S50">
    <cfRule type="expression" dxfId="2234" priority="93" stopIfTrue="1">
      <formula>#REF!="DLN"</formula>
    </cfRule>
  </conditionalFormatting>
  <conditionalFormatting sqref="K3:K50">
    <cfRule type="expression" dxfId="2233" priority="92" stopIfTrue="1">
      <formula>#REF!="DLN"</formula>
    </cfRule>
  </conditionalFormatting>
  <conditionalFormatting sqref="K3:K50">
    <cfRule type="expression" dxfId="2232" priority="91" stopIfTrue="1">
      <formula>#REF!="DLN"</formula>
    </cfRule>
  </conditionalFormatting>
  <conditionalFormatting sqref="AF3:AF50">
    <cfRule type="expression" dxfId="2231" priority="50" stopIfTrue="1">
      <formula>#REF!="DLN"</formula>
    </cfRule>
  </conditionalFormatting>
  <conditionalFormatting sqref="J52">
    <cfRule type="cellIs" dxfId="2230" priority="87" stopIfTrue="1" operator="greaterThanOrEqual">
      <formula>0.801</formula>
    </cfRule>
    <cfRule type="cellIs" dxfId="2229" priority="88" stopIfTrue="1" operator="between">
      <formula>0.61</formula>
      <formula>0.8</formula>
    </cfRule>
    <cfRule type="cellIs" dxfId="2228" priority="89" stopIfTrue="1" operator="between">
      <formula>0</formula>
      <formula>0.6</formula>
    </cfRule>
  </conditionalFormatting>
  <conditionalFormatting sqref="J52">
    <cfRule type="expression" dxfId="2227" priority="90" stopIfTrue="1">
      <formula>#REF!="DLN"</formula>
    </cfRule>
  </conditionalFormatting>
  <conditionalFormatting sqref="I52">
    <cfRule type="cellIs" dxfId="2226" priority="83" stopIfTrue="1" operator="greaterThanOrEqual">
      <formula>0.801</formula>
    </cfRule>
    <cfRule type="cellIs" dxfId="2225" priority="84" stopIfTrue="1" operator="between">
      <formula>0.61</formula>
      <formula>0.8</formula>
    </cfRule>
    <cfRule type="cellIs" dxfId="2224" priority="85" stopIfTrue="1" operator="between">
      <formula>0</formula>
      <formula>0.6</formula>
    </cfRule>
  </conditionalFormatting>
  <conditionalFormatting sqref="I52">
    <cfRule type="expression" dxfId="2223" priority="86" stopIfTrue="1">
      <formula>#REF!="DLN"</formula>
    </cfRule>
  </conditionalFormatting>
  <conditionalFormatting sqref="M52:N52">
    <cfRule type="cellIs" dxfId="2222" priority="79" stopIfTrue="1" operator="greaterThanOrEqual">
      <formula>0.801</formula>
    </cfRule>
    <cfRule type="cellIs" dxfId="2221" priority="80" stopIfTrue="1" operator="between">
      <formula>0.61</formula>
      <formula>0.8</formula>
    </cfRule>
    <cfRule type="cellIs" dxfId="2220" priority="81" stopIfTrue="1" operator="between">
      <formula>0</formula>
      <formula>0.6</formula>
    </cfRule>
  </conditionalFormatting>
  <conditionalFormatting sqref="M52:N52">
    <cfRule type="expression" dxfId="2219" priority="82" stopIfTrue="1">
      <formula>#REF!="DLN"</formula>
    </cfRule>
  </conditionalFormatting>
  <conditionalFormatting sqref="Q52:R52">
    <cfRule type="cellIs" dxfId="2218" priority="75" stopIfTrue="1" operator="greaterThanOrEqual">
      <formula>0.801</formula>
    </cfRule>
    <cfRule type="cellIs" dxfId="2217" priority="76" stopIfTrue="1" operator="between">
      <formula>0.61</formula>
      <formula>0.8</formula>
    </cfRule>
    <cfRule type="cellIs" dxfId="2216" priority="77" stopIfTrue="1" operator="between">
      <formula>0</formula>
      <formula>0.6</formula>
    </cfRule>
  </conditionalFormatting>
  <conditionalFormatting sqref="Q52:R52">
    <cfRule type="expression" dxfId="2215" priority="78" stopIfTrue="1">
      <formula>#REF!="DLN"</formula>
    </cfRule>
  </conditionalFormatting>
  <conditionalFormatting sqref="U52:V52">
    <cfRule type="cellIs" dxfId="2214" priority="71" stopIfTrue="1" operator="greaterThanOrEqual">
      <formula>0.801</formula>
    </cfRule>
    <cfRule type="cellIs" dxfId="2213" priority="72" stopIfTrue="1" operator="between">
      <formula>0.61</formula>
      <formula>0.8</formula>
    </cfRule>
    <cfRule type="cellIs" dxfId="2212" priority="73" stopIfTrue="1" operator="between">
      <formula>0</formula>
      <formula>0.6</formula>
    </cfRule>
  </conditionalFormatting>
  <conditionalFormatting sqref="U52:V52">
    <cfRule type="expression" dxfId="2211" priority="74" stopIfTrue="1">
      <formula>#REF!="DLN"</formula>
    </cfRule>
  </conditionalFormatting>
  <conditionalFormatting sqref="Y52:Z52">
    <cfRule type="cellIs" dxfId="2210" priority="67" stopIfTrue="1" operator="greaterThanOrEqual">
      <formula>0.801</formula>
    </cfRule>
    <cfRule type="cellIs" dxfId="2209" priority="68" stopIfTrue="1" operator="between">
      <formula>0.61</formula>
      <formula>0.8</formula>
    </cfRule>
    <cfRule type="cellIs" dxfId="2208" priority="69" stopIfTrue="1" operator="between">
      <formula>0</formula>
      <formula>0.6</formula>
    </cfRule>
  </conditionalFormatting>
  <conditionalFormatting sqref="Y52:Z52">
    <cfRule type="expression" dxfId="2207" priority="70" stopIfTrue="1">
      <formula>#REF!="DLN"</formula>
    </cfRule>
  </conditionalFormatting>
  <conditionalFormatting sqref="AC52:AD52">
    <cfRule type="cellIs" dxfId="2206" priority="63" stopIfTrue="1" operator="greaterThanOrEqual">
      <formula>0.801</formula>
    </cfRule>
    <cfRule type="cellIs" dxfId="2205" priority="64" stopIfTrue="1" operator="between">
      <formula>0.61</formula>
      <formula>0.8</formula>
    </cfRule>
    <cfRule type="cellIs" dxfId="2204" priority="65" stopIfTrue="1" operator="between">
      <formula>0</formula>
      <formula>0.6</formula>
    </cfRule>
  </conditionalFormatting>
  <conditionalFormatting sqref="AC52:AD52">
    <cfRule type="expression" dxfId="2203" priority="66" stopIfTrue="1">
      <formula>#REF!="DLN"</formula>
    </cfRule>
  </conditionalFormatting>
  <conditionalFormatting sqref="G3:G50">
    <cfRule type="expression" dxfId="2202" priority="61" stopIfTrue="1">
      <formula>#REF!="DLN"</formula>
    </cfRule>
  </conditionalFormatting>
  <conditionalFormatting sqref="G3:G50">
    <cfRule type="expression" dxfId="2201" priority="62" stopIfTrue="1">
      <formula>#REF!="DLN"</formula>
    </cfRule>
  </conditionalFormatting>
  <conditionalFormatting sqref="P3:P50">
    <cfRule type="expression" dxfId="2200" priority="60" stopIfTrue="1">
      <formula>#REF!="DLN"</formula>
    </cfRule>
  </conditionalFormatting>
  <conditionalFormatting sqref="P3:P50">
    <cfRule type="expression" dxfId="2199" priority="59" stopIfTrue="1">
      <formula>#REF!="DLN"</formula>
    </cfRule>
  </conditionalFormatting>
  <conditionalFormatting sqref="O3:O50">
    <cfRule type="expression" dxfId="2198" priority="58" stopIfTrue="1">
      <formula>#REF!="DLN"</formula>
    </cfRule>
  </conditionalFormatting>
  <conditionalFormatting sqref="O3:O50">
    <cfRule type="expression" dxfId="2197" priority="57" stopIfTrue="1">
      <formula>#REF!="DLN"</formula>
    </cfRule>
  </conditionalFormatting>
  <conditionalFormatting sqref="H3:H50">
    <cfRule type="expression" dxfId="2196" priority="56" stopIfTrue="1">
      <formula>#REF!="DLN"</formula>
    </cfRule>
  </conditionalFormatting>
  <conditionalFormatting sqref="H3:H50">
    <cfRule type="expression" dxfId="2195" priority="55" stopIfTrue="1">
      <formula>#REF!="DLN"</formula>
    </cfRule>
  </conditionalFormatting>
  <conditionalFormatting sqref="A8:A50">
    <cfRule type="expression" dxfId="2192" priority="52" stopIfTrue="1">
      <formula>#REF!="DLN"</formula>
    </cfRule>
  </conditionalFormatting>
  <conditionalFormatting sqref="A8:A50">
    <cfRule type="expression" dxfId="2191" priority="51" stopIfTrue="1">
      <formula>#REF!="DLN"</formula>
    </cfRule>
  </conditionalFormatting>
  <conditionalFormatting sqref="AE2">
    <cfRule type="expression" dxfId="2190" priority="48" stopIfTrue="1">
      <formula>#REF!="DLN"</formula>
    </cfRule>
  </conditionalFormatting>
  <conditionalFormatting sqref="AE2">
    <cfRule type="expression" dxfId="2189" priority="47" stopIfTrue="1">
      <formula>#REF!="DLN"</formula>
    </cfRule>
  </conditionalFormatting>
  <conditionalFormatting sqref="AE3:AE50">
    <cfRule type="expression" dxfId="2188" priority="46" stopIfTrue="1">
      <formula>#REF!="DLN"</formula>
    </cfRule>
  </conditionalFormatting>
  <conditionalFormatting sqref="AE3:AE50">
    <cfRule type="expression" dxfId="2187" priority="45" stopIfTrue="1">
      <formula>#REF!="DLN"</formula>
    </cfRule>
  </conditionalFormatting>
  <conditionalFormatting sqref="AG52:AH52">
    <cfRule type="cellIs" dxfId="2186" priority="41" stopIfTrue="1" operator="greaterThanOrEqual">
      <formula>0.801</formula>
    </cfRule>
    <cfRule type="cellIs" dxfId="2185" priority="42" stopIfTrue="1" operator="between">
      <formula>0.61</formula>
      <formula>0.8</formula>
    </cfRule>
    <cfRule type="cellIs" dxfId="2184" priority="43" stopIfTrue="1" operator="between">
      <formula>0</formula>
      <formula>0.6</formula>
    </cfRule>
  </conditionalFormatting>
  <conditionalFormatting sqref="AG52:AH52">
    <cfRule type="expression" dxfId="2183" priority="44" stopIfTrue="1">
      <formula>#REF!="DLN"</formula>
    </cfRule>
  </conditionalFormatting>
  <conditionalFormatting sqref="AK52:AL52">
    <cfRule type="cellIs" dxfId="2182" priority="37" stopIfTrue="1" operator="greaterThanOrEqual">
      <formula>0.801</formula>
    </cfRule>
    <cfRule type="cellIs" dxfId="2181" priority="38" stopIfTrue="1" operator="between">
      <formula>0.61</formula>
      <formula>0.8</formula>
    </cfRule>
    <cfRule type="cellIs" dxfId="2180" priority="39" stopIfTrue="1" operator="between">
      <formula>0</formula>
      <formula>0.6</formula>
    </cfRule>
  </conditionalFormatting>
  <conditionalFormatting sqref="AK52:AL52">
    <cfRule type="expression" dxfId="2179" priority="40" stopIfTrue="1">
      <formula>#REF!="DLN"</formula>
    </cfRule>
  </conditionalFormatting>
  <conditionalFormatting sqref="AN3:AN50">
    <cfRule type="expression" dxfId="2178" priority="36" stopIfTrue="1">
      <formula>#REF!="DLN"</formula>
    </cfRule>
  </conditionalFormatting>
  <conditionalFormatting sqref="AN3:AN50">
    <cfRule type="expression" dxfId="2177" priority="35" stopIfTrue="1">
      <formula>#REF!="DLN"</formula>
    </cfRule>
  </conditionalFormatting>
  <conditionalFormatting sqref="AM2">
    <cfRule type="expression" dxfId="2176" priority="34" stopIfTrue="1">
      <formula>#REF!="DLN"</formula>
    </cfRule>
  </conditionalFormatting>
  <conditionalFormatting sqref="AM2">
    <cfRule type="expression" dxfId="2175" priority="33" stopIfTrue="1">
      <formula>#REF!="DLN"</formula>
    </cfRule>
  </conditionalFormatting>
  <conditionalFormatting sqref="AM3:AM50">
    <cfRule type="expression" dxfId="2174" priority="32" stopIfTrue="1">
      <formula>#REF!="DLN"</formula>
    </cfRule>
  </conditionalFormatting>
  <conditionalFormatting sqref="AM3:AM50">
    <cfRule type="expression" dxfId="2173" priority="31" stopIfTrue="1">
      <formula>#REF!="DLN"</formula>
    </cfRule>
  </conditionalFormatting>
  <conditionalFormatting sqref="AO52:AP52">
    <cfRule type="cellIs" dxfId="2172" priority="27" stopIfTrue="1" operator="greaterThanOrEqual">
      <formula>0.801</formula>
    </cfRule>
    <cfRule type="cellIs" dxfId="2171" priority="28" stopIfTrue="1" operator="between">
      <formula>0.61</formula>
      <formula>0.8</formula>
    </cfRule>
    <cfRule type="cellIs" dxfId="2170" priority="29" stopIfTrue="1" operator="between">
      <formula>0</formula>
      <formula>0.6</formula>
    </cfRule>
  </conditionalFormatting>
  <conditionalFormatting sqref="AO52:AP52">
    <cfRule type="expression" dxfId="2169" priority="30" stopIfTrue="1">
      <formula>#REF!="DLN"</formula>
    </cfRule>
  </conditionalFormatting>
  <conditionalFormatting sqref="AS52:AT52">
    <cfRule type="cellIs" dxfId="2168" priority="23" stopIfTrue="1" operator="greaterThanOrEqual">
      <formula>0.801</formula>
    </cfRule>
    <cfRule type="cellIs" dxfId="2167" priority="24" stopIfTrue="1" operator="between">
      <formula>0.61</formula>
      <formula>0.8</formula>
    </cfRule>
    <cfRule type="cellIs" dxfId="2166" priority="25" stopIfTrue="1" operator="between">
      <formula>0</formula>
      <formula>0.6</formula>
    </cfRule>
  </conditionalFormatting>
  <conditionalFormatting sqref="AS52:AT52">
    <cfRule type="expression" dxfId="2165" priority="26" stopIfTrue="1">
      <formula>#REF!="DLN"</formula>
    </cfRule>
  </conditionalFormatting>
  <conditionalFormatting sqref="AV3:AV50">
    <cfRule type="expression" dxfId="2164" priority="22" stopIfTrue="1">
      <formula>#REF!="DLN"</formula>
    </cfRule>
  </conditionalFormatting>
  <conditionalFormatting sqref="AV3:AV50">
    <cfRule type="expression" dxfId="2163" priority="21" stopIfTrue="1">
      <formula>#REF!="DLN"</formula>
    </cfRule>
  </conditionalFormatting>
  <conditionalFormatting sqref="AU2">
    <cfRule type="expression" dxfId="2162" priority="20" stopIfTrue="1">
      <formula>#REF!="DLN"</formula>
    </cfRule>
  </conditionalFormatting>
  <conditionalFormatting sqref="AU2">
    <cfRule type="expression" dxfId="2161" priority="19" stopIfTrue="1">
      <formula>#REF!="DLN"</formula>
    </cfRule>
  </conditionalFormatting>
  <conditionalFormatting sqref="AU3:AU50">
    <cfRule type="expression" dxfId="2160" priority="18" stopIfTrue="1">
      <formula>#REF!="DLN"</formula>
    </cfRule>
  </conditionalFormatting>
  <conditionalFormatting sqref="AU3:AU50">
    <cfRule type="expression" dxfId="2159" priority="17" stopIfTrue="1">
      <formula>#REF!="DLN"</formula>
    </cfRule>
  </conditionalFormatting>
  <conditionalFormatting sqref="AW52:AX52">
    <cfRule type="cellIs" dxfId="2158" priority="13" stopIfTrue="1" operator="greaterThanOrEqual">
      <formula>0.801</formula>
    </cfRule>
    <cfRule type="cellIs" dxfId="2157" priority="14" stopIfTrue="1" operator="between">
      <formula>0.61</formula>
      <formula>0.8</formula>
    </cfRule>
    <cfRule type="cellIs" dxfId="2156" priority="15" stopIfTrue="1" operator="between">
      <formula>0</formula>
      <formula>0.6</formula>
    </cfRule>
  </conditionalFormatting>
  <conditionalFormatting sqref="AW52:AX52">
    <cfRule type="expression" dxfId="2155" priority="16" stopIfTrue="1">
      <formula>#REF!="DLN"</formula>
    </cfRule>
  </conditionalFormatting>
  <conditionalFormatting sqref="A6">
    <cfRule type="expression" dxfId="2152" priority="10" stopIfTrue="1">
      <formula>#REF!="DLN"</formula>
    </cfRule>
  </conditionalFormatting>
  <conditionalFormatting sqref="A6">
    <cfRule type="expression" dxfId="2151" priority="9" stopIfTrue="1">
      <formula>#REF!="DLN"</formula>
    </cfRule>
  </conditionalFormatting>
  <conditionalFormatting sqref="A7">
    <cfRule type="expression" dxfId="2150" priority="8" stopIfTrue="1">
      <formula>#REF!="DLN"</formula>
    </cfRule>
  </conditionalFormatting>
  <conditionalFormatting sqref="A7">
    <cfRule type="expression" dxfId="2149" priority="7" stopIfTrue="1">
      <formula>#REF!="DLN"</formula>
    </cfRule>
  </conditionalFormatting>
  <conditionalFormatting sqref="A3">
    <cfRule type="expression" dxfId="2148" priority="6" stopIfTrue="1">
      <formula>#REF!="DLN"</formula>
    </cfRule>
  </conditionalFormatting>
  <conditionalFormatting sqref="A3">
    <cfRule type="expression" dxfId="2147" priority="5" stopIfTrue="1">
      <formula>#REF!="DLN"</formula>
    </cfRule>
  </conditionalFormatting>
  <conditionalFormatting sqref="A4">
    <cfRule type="expression" dxfId="2146" priority="4" stopIfTrue="1">
      <formula>#REF!="DLN"</formula>
    </cfRule>
  </conditionalFormatting>
  <conditionalFormatting sqref="A4">
    <cfRule type="expression" dxfId="2145" priority="3" stopIfTrue="1">
      <formula>#REF!="DLN"</formula>
    </cfRule>
  </conditionalFormatting>
  <conditionalFormatting sqref="A5">
    <cfRule type="expression" dxfId="2144" priority="2" stopIfTrue="1">
      <formula>#REF!="DLN"</formula>
    </cfRule>
  </conditionalFormatting>
  <conditionalFormatting sqref="A5">
    <cfRule type="expression" dxfId="2143" priority="1" stopIfTrue="1">
      <formula>#REF!="DLN"</formula>
    </cfRule>
  </conditionalFormatting>
  <dataValidations count="1">
    <dataValidation type="list" allowBlank="1" showInputMessage="1" showErrorMessage="1" sqref="A3:A50" xr:uid="{F1E6B570-BF03-49C2-9749-9A22AF4E3FAF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2B3ADF-1A9C-45E9-A9B3-5FDC00B4E75C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F388-FC23-4138-89E4-C27B7294C082}">
  <sheetPr codeName="Sheet5"/>
  <dimension ref="A1:AX62"/>
  <sheetViews>
    <sheetView workbookViewId="0">
      <selection activeCell="E18" sqref="E18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88" t="s">
        <v>229</v>
      </c>
      <c r="B3" s="24" t="s">
        <v>444</v>
      </c>
      <c r="C3" s="20" t="str">
        <f>IFERROR(VLOOKUP(A3,'Parts List and Volumes'!C2:D194,2,FALSE),"")</f>
        <v>NFLT0011BAF20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>
        <v>49.68</v>
      </c>
      <c r="G3" s="40">
        <f>IFERROR(VLOOKUP($A3,'Parts List and Volumes'!$C$2:$W194,5,FALSE),"")</f>
        <v>58442</v>
      </c>
      <c r="H3" s="41">
        <f>IFERROR(VLOOKUP($A3,'Parts List and Volumes'!$C$2:$W194,6,FALSE),"")</f>
        <v>84094.554875274611</v>
      </c>
      <c r="I3" s="42">
        <f t="shared" ref="I3:J50" si="0">IFERROR((($F3*G3)/FourHeadAssumption),"")</f>
        <v>0.21369888712241653</v>
      </c>
      <c r="J3" s="43">
        <f t="shared" si="0"/>
        <v>0.3074999621830391</v>
      </c>
      <c r="K3" s="44">
        <f>IFERROR(VLOOKUP($A3,'Parts List and Volumes'!$C$2:$W194,7,FALSE),"")</f>
        <v>0</v>
      </c>
      <c r="L3" s="45">
        <f>IFERROR(VLOOKUP($A3,'Parts List and Volumes'!$C$2:$W194,8,FALSE),"")</f>
        <v>76647.036254208433</v>
      </c>
      <c r="M3" s="46">
        <f t="shared" ref="M3:N50" si="1">IFERROR((($F3*K3)/FourHeadAssumption),"")</f>
        <v>0</v>
      </c>
      <c r="N3" s="47">
        <f t="shared" si="1"/>
        <v>0.28026738216960156</v>
      </c>
      <c r="O3" s="41">
        <f>IFERROR(VLOOKUP($A3,'Parts List and Volumes'!$C$2:$W194,9,FALSE),"")</f>
        <v>0</v>
      </c>
      <c r="P3" s="41">
        <f>IFERROR(VLOOKUP($A3,'Parts List and Volumes'!$C$2:$W194,10,FALSE),"")</f>
        <v>67720.300536858675</v>
      </c>
      <c r="Q3" s="48">
        <f t="shared" ref="Q3:R50" si="2">IFERROR((($F3*O3)/FourHeadAssumption),"")</f>
        <v>0</v>
      </c>
      <c r="R3" s="43">
        <f t="shared" si="2"/>
        <v>0.24762590021426858</v>
      </c>
      <c r="S3" s="44">
        <f>IFERROR(VLOOKUP($A3,'Parts List and Volumes'!$C$2:$W194,11,FALSE),"")</f>
        <v>0</v>
      </c>
      <c r="T3" s="45">
        <f>IFERROR(VLOOKUP($A3,'Parts List and Volumes'!$C$2:$W194,12,FALSE),"")</f>
        <v>55845.417254871383</v>
      </c>
      <c r="U3" s="46">
        <f t="shared" ref="U3:V50" si="3">IFERROR((($F3*S3)/FourHeadAssumption),"")</f>
        <v>0</v>
      </c>
      <c r="V3" s="47">
        <f t="shared" si="3"/>
        <v>0.20420422843593672</v>
      </c>
      <c r="W3" s="40">
        <f>IFERROR(VLOOKUP($A3,'Parts List and Volumes'!$C$2:$W194,13,FALSE),"")</f>
        <v>0</v>
      </c>
      <c r="X3" s="41">
        <f>IFERROR(VLOOKUP($A3,'Parts List and Volumes'!$C$2:$W194,14,FALSE),"")</f>
        <v>11571.770645660286</v>
      </c>
      <c r="Y3" s="48">
        <f t="shared" ref="Y3:Z50" si="4">IFERROR((($F3*W3)/FourHeadAssumption),"")</f>
        <v>0</v>
      </c>
      <c r="Z3" s="43">
        <f t="shared" si="4"/>
        <v>4.2313310786993096E-2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88" t="s">
        <v>235</v>
      </c>
      <c r="B4" s="24" t="s">
        <v>444</v>
      </c>
      <c r="C4" s="20" t="str">
        <f>IFERROR(VLOOKUP(A4,'Parts List and Volumes'!C3:D195,2,FALSE),"")</f>
        <v>NBAA0048CAF20</v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>
        <v>29.4</v>
      </c>
      <c r="G4" s="40">
        <f>IFERROR(VLOOKUP($A4,'Parts List and Volumes'!$C$2:$W195,5,FALSE),"")</f>
        <v>48417</v>
      </c>
      <c r="H4" s="41">
        <f>IFERROR(VLOOKUP($A4,'Parts List and Volumes'!$C$2:$W195,6,FALSE),"")</f>
        <v>57742.079683864351</v>
      </c>
      <c r="I4" s="42">
        <f t="shared" si="0"/>
        <v>0.10477093269740329</v>
      </c>
      <c r="J4" s="43">
        <f t="shared" si="0"/>
        <v>0.12494973964446887</v>
      </c>
      <c r="K4" s="44">
        <f>IFERROR(VLOOKUP($A4,'Parts List and Volumes'!$C$2:$W195,7,FALSE),"")</f>
        <v>0</v>
      </c>
      <c r="L4" s="45">
        <f>IFERROR(VLOOKUP($A4,'Parts List and Volumes'!$C$2:$W195,8,FALSE),"")</f>
        <v>52628.369119577801</v>
      </c>
      <c r="M4" s="46">
        <f t="shared" si="1"/>
        <v>0</v>
      </c>
      <c r="N4" s="47">
        <f t="shared" si="1"/>
        <v>0.11388403492577778</v>
      </c>
      <c r="O4" s="41">
        <f>IFERROR(VLOOKUP($A4,'Parts List and Volumes'!$C$2:$W195,9,FALSE),"")</f>
        <v>0</v>
      </c>
      <c r="P4" s="41">
        <f>IFERROR(VLOOKUP($A4,'Parts List and Volumes'!$C$2:$W195,10,FALSE),"")</f>
        <v>46498.979578572456</v>
      </c>
      <c r="Q4" s="48">
        <f t="shared" si="2"/>
        <v>0</v>
      </c>
      <c r="R4" s="43">
        <f t="shared" si="2"/>
        <v>0.1006204733858881</v>
      </c>
      <c r="S4" s="44">
        <f>IFERROR(VLOOKUP($A4,'Parts List and Volumes'!$C$2:$W195,11,FALSE),"")</f>
        <v>0</v>
      </c>
      <c r="T4" s="45">
        <f>IFERROR(VLOOKUP($A4,'Parts List and Volumes'!$C$2:$W195,12,FALSE),"")</f>
        <v>38345.295220268046</v>
      </c>
      <c r="U4" s="46">
        <f t="shared" si="3"/>
        <v>0</v>
      </c>
      <c r="V4" s="47">
        <f t="shared" si="3"/>
        <v>8.2976482326140882E-2</v>
      </c>
      <c r="W4" s="40">
        <f>IFERROR(VLOOKUP($A4,'Parts List and Volumes'!$C$2:$W195,13,FALSE),"")</f>
        <v>0</v>
      </c>
      <c r="X4" s="41">
        <f>IFERROR(VLOOKUP($A4,'Parts List and Volumes'!$C$2:$W195,14,FALSE),"")</f>
        <v>7945.5572800894342</v>
      </c>
      <c r="Y4" s="48">
        <f t="shared" si="4"/>
        <v>0</v>
      </c>
      <c r="Z4" s="43">
        <f t="shared" si="4"/>
        <v>1.7193618915579502E-2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88" t="s">
        <v>231</v>
      </c>
      <c r="B5" s="24" t="s">
        <v>444</v>
      </c>
      <c r="C5" s="20" t="str">
        <f>IFERROR(VLOOKUP(A5,'Parts List and Volumes'!C4:D196,2,FALSE),"")</f>
        <v>NFLT0012BAF20</v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>
        <v>27.1</v>
      </c>
      <c r="G5" s="40">
        <f>IFERROR(VLOOKUP($A5,'Parts List and Volumes'!$C$2:$W196,5,FALSE),"")</f>
        <v>58564</v>
      </c>
      <c r="H5" s="41">
        <f>IFERROR(VLOOKUP($A5,'Parts List and Volumes'!$C$2:$W196,6,FALSE),"")</f>
        <v>84094.554875274611</v>
      </c>
      <c r="I5" s="42">
        <f t="shared" si="0"/>
        <v>0.11681419654949068</v>
      </c>
      <c r="J5" s="43">
        <f t="shared" si="0"/>
        <v>0.1677385059412311</v>
      </c>
      <c r="K5" s="44">
        <f>IFERROR(VLOOKUP($A5,'Parts List and Volumes'!$C$2:$W196,7,FALSE),"")</f>
        <v>0</v>
      </c>
      <c r="L5" s="45">
        <f>IFERROR(VLOOKUP($A5,'Parts List and Volumes'!$C$2:$W196,8,FALSE),"")</f>
        <v>76647.036254208433</v>
      </c>
      <c r="M5" s="46">
        <f t="shared" si="1"/>
        <v>0</v>
      </c>
      <c r="N5" s="47">
        <f t="shared" si="1"/>
        <v>0.15288337473422309</v>
      </c>
      <c r="O5" s="41">
        <f>IFERROR(VLOOKUP($A5,'Parts List and Volumes'!$C$2:$W196,9,FALSE),"")</f>
        <v>0</v>
      </c>
      <c r="P5" s="41">
        <f>IFERROR(VLOOKUP($A5,'Parts List and Volumes'!$C$2:$W196,10,FALSE),"")</f>
        <v>67720.300536858675</v>
      </c>
      <c r="Q5" s="48">
        <f t="shared" si="2"/>
        <v>0</v>
      </c>
      <c r="R5" s="43">
        <f t="shared" si="2"/>
        <v>0.13507773542283977</v>
      </c>
      <c r="S5" s="44">
        <f>IFERROR(VLOOKUP($A5,'Parts List and Volumes'!$C$2:$W196,11,FALSE),"")</f>
        <v>0</v>
      </c>
      <c r="T5" s="45">
        <f>IFERROR(VLOOKUP($A5,'Parts List and Volumes'!$C$2:$W196,12,FALSE),"")</f>
        <v>55845.417254871383</v>
      </c>
      <c r="U5" s="46">
        <f t="shared" si="3"/>
        <v>0</v>
      </c>
      <c r="V5" s="47">
        <f t="shared" si="3"/>
        <v>0.11139159803973199</v>
      </c>
      <c r="W5" s="40">
        <f>IFERROR(VLOOKUP($A5,'Parts List and Volumes'!$C$2:$W196,13,FALSE),"")</f>
        <v>0</v>
      </c>
      <c r="X5" s="41">
        <f>IFERROR(VLOOKUP($A5,'Parts List and Volumes'!$C$2:$W196,14,FALSE),"")</f>
        <v>11571.770645660286</v>
      </c>
      <c r="Y5" s="48">
        <f t="shared" si="4"/>
        <v>0</v>
      </c>
      <c r="Z5" s="43">
        <f t="shared" si="4"/>
        <v>2.3081536278734157E-2</v>
      </c>
      <c r="AA5" s="49">
        <f>IFERROR(VLOOKUP($A5,'Parts List and Volumes'!$C$2:$W196,15,FALSE),"")</f>
        <v>0</v>
      </c>
      <c r="AB5" s="50">
        <f>IFERROR(VLOOKUP($A5,'Parts List and Volumes'!$C$2:$W196,16,FALSE),"")</f>
        <v>0</v>
      </c>
      <c r="AC5" s="51">
        <f t="shared" si="5"/>
        <v>0</v>
      </c>
      <c r="AD5" s="52">
        <f t="shared" si="5"/>
        <v>0</v>
      </c>
      <c r="AE5" s="40">
        <f>IFERROR(VLOOKUP($A5,'Parts List and Volumes'!$C$2:$W196,17,FALSE),"")</f>
        <v>0</v>
      </c>
      <c r="AF5" s="41">
        <f>IFERROR(VLOOKUP($A5,'Parts List and Volumes'!$C$2:$W196,18,FALSE),"")</f>
        <v>0</v>
      </c>
      <c r="AG5" s="48">
        <f t="shared" si="6"/>
        <v>0</v>
      </c>
      <c r="AH5" s="43">
        <f t="shared" si="6"/>
        <v>0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88" t="s">
        <v>237</v>
      </c>
      <c r="B6" s="24" t="s">
        <v>444</v>
      </c>
      <c r="C6" s="20" t="str">
        <f>IFERROR(VLOOKUP(A6,'Parts List and Volumes'!C5:D197,2,FALSE),"")</f>
        <v>NFLT0014DAF20</v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>
        <v>20</v>
      </c>
      <c r="G6" s="40">
        <f>IFERROR(VLOOKUP($A6,'Parts List and Volumes'!$C$2:$W197,5,FALSE),"")</f>
        <v>0</v>
      </c>
      <c r="H6" s="41">
        <f>IFERROR(VLOOKUP($A6,'Parts List and Volumes'!$C$2:$W197,6,FALSE),"")</f>
        <v>8353.9833040855865</v>
      </c>
      <c r="I6" s="42">
        <f t="shared" si="0"/>
        <v>0</v>
      </c>
      <c r="J6" s="43">
        <f t="shared" si="0"/>
        <v>1.229756713196371E-2</v>
      </c>
      <c r="K6" s="58">
        <f>IFERROR(VLOOKUP($A6,'Parts List and Volumes'!$C$2:$W197,7,FALSE),"")</f>
        <v>0</v>
      </c>
      <c r="L6" s="45">
        <f>IFERROR(VLOOKUP($A6,'Parts List and Volumes'!$C$2:$W197,8,FALSE),"")</f>
        <v>7614.1441277021677</v>
      </c>
      <c r="M6" s="46">
        <f t="shared" si="1"/>
        <v>0</v>
      </c>
      <c r="N6" s="47">
        <f t="shared" si="1"/>
        <v>1.1208479255287887E-2</v>
      </c>
      <c r="O6" s="41">
        <f>IFERROR(VLOOKUP($A6,'Parts List and Volumes'!$C$2:$W197,9,FALSE),"")</f>
        <v>0</v>
      </c>
      <c r="P6" s="41">
        <f>IFERROR(VLOOKUP($A6,'Parts List and Volumes'!$C$2:$W197,10,FALSE),"")</f>
        <v>6727.3589933575122</v>
      </c>
      <c r="Q6" s="48">
        <f t="shared" si="2"/>
        <v>0</v>
      </c>
      <c r="R6" s="43">
        <f t="shared" si="2"/>
        <v>9.9030780682999343E-3</v>
      </c>
      <c r="S6" s="44">
        <f>IFERROR(VLOOKUP($A6,'Parts List and Volumes'!$C$2:$W197,11,FALSE),"")</f>
        <v>0</v>
      </c>
      <c r="T6" s="45">
        <f>IFERROR(VLOOKUP($A6,'Parts List and Volumes'!$C$2:$W197,12,FALSE),"")</f>
        <v>5547.7038204058299</v>
      </c>
      <c r="U6" s="46">
        <f t="shared" si="3"/>
        <v>0</v>
      </c>
      <c r="V6" s="47">
        <f t="shared" si="3"/>
        <v>8.1665545257107539E-3</v>
      </c>
      <c r="W6" s="40">
        <f>IFERROR(VLOOKUP($A6,'Parts List and Volumes'!$C$2:$W197,13,FALSE),"")</f>
        <v>0</v>
      </c>
      <c r="X6" s="41">
        <f>IFERROR(VLOOKUP($A6,'Parts List and Volumes'!$C$2:$W197,14,FALSE),"")</f>
        <v>1149.5438547231863</v>
      </c>
      <c r="Y6" s="48">
        <f t="shared" si="4"/>
        <v>0</v>
      </c>
      <c r="Z6" s="43">
        <f t="shared" si="4"/>
        <v>1.6921978665771452E-3</v>
      </c>
      <c r="AA6" s="49">
        <f>IFERROR(VLOOKUP($A6,'Parts List and Volumes'!$C$2:$W197,15,FALSE),"")</f>
        <v>0</v>
      </c>
      <c r="AB6" s="50">
        <f>IFERROR(VLOOKUP($A6,'Parts List and Volumes'!$C$2:$W197,16,FALSE),"")</f>
        <v>0</v>
      </c>
      <c r="AC6" s="51">
        <f t="shared" si="5"/>
        <v>0</v>
      </c>
      <c r="AD6" s="52">
        <f t="shared" si="5"/>
        <v>0</v>
      </c>
      <c r="AE6" s="40">
        <f>IFERROR(VLOOKUP($A6,'Parts List and Volumes'!$C$2:$W197,17,FALSE),"")</f>
        <v>0</v>
      </c>
      <c r="AF6" s="41">
        <f>IFERROR(VLOOKUP($A6,'Parts List and Volumes'!$C$2:$W197,18,FALSE),"")</f>
        <v>0</v>
      </c>
      <c r="AG6" s="48">
        <f t="shared" si="6"/>
        <v>0</v>
      </c>
      <c r="AH6" s="43">
        <f t="shared" si="6"/>
        <v>0</v>
      </c>
      <c r="AI6" s="49">
        <f>IFERROR(VLOOKUP($A6,'Parts List and Volumes'!$C$2:$W197,19,FALSE),"")</f>
        <v>0</v>
      </c>
      <c r="AJ6" s="50">
        <f>IFERROR(VLOOKUP($A6,'Parts List and Volumes'!$C$2:$W197,20,FALSE),"")</f>
        <v>0</v>
      </c>
      <c r="AK6" s="51">
        <f t="shared" si="7"/>
        <v>0</v>
      </c>
      <c r="AL6" s="52">
        <f t="shared" si="7"/>
        <v>0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8">
        <f t="shared" si="8"/>
        <v>0</v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88" t="s">
        <v>225</v>
      </c>
      <c r="B7" s="24" t="s">
        <v>444</v>
      </c>
      <c r="C7" s="20" t="str">
        <f>IFERROR(VLOOKUP(A7,'Parts List and Volumes'!C6:D198,2,FALSE),"")</f>
        <v>NFLT0009BAF20</v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>
        <v>18.2</v>
      </c>
      <c r="G7" s="40">
        <f>IFERROR(VLOOKUP($A7,'Parts List and Volumes'!$C$2:$W198,5,FALSE),"")</f>
        <v>64111</v>
      </c>
      <c r="H7" s="41">
        <f>IFERROR(VLOOKUP($A7,'Parts List and Volumes'!$C$2:$W198,6,FALSE),"")</f>
        <v>60509.312742918803</v>
      </c>
      <c r="I7" s="42">
        <f t="shared" si="0"/>
        <v>8.5881484425602075E-2</v>
      </c>
      <c r="J7" s="43">
        <f t="shared" si="0"/>
        <v>8.1056754690066693E-2</v>
      </c>
      <c r="K7" s="58">
        <f>IFERROR(VLOOKUP($A7,'Parts List and Volumes'!$C$2:$W198,7,FALSE),"")</f>
        <v>0</v>
      </c>
      <c r="L7" s="45">
        <f>IFERROR(VLOOKUP($A7,'Parts List and Volumes'!$C$2:$W198,8,FALSE),"")</f>
        <v>55150.532568992196</v>
      </c>
      <c r="M7" s="46">
        <f t="shared" si="1"/>
        <v>0</v>
      </c>
      <c r="N7" s="47">
        <f t="shared" si="1"/>
        <v>7.3878267440650791E-2</v>
      </c>
      <c r="O7" s="41">
        <f>IFERROR(VLOOKUP($A7,'Parts List and Volumes'!$C$2:$W198,9,FALSE),"")</f>
        <v>0</v>
      </c>
      <c r="P7" s="41">
        <f>IFERROR(VLOOKUP($A7,'Parts List and Volumes'!$C$2:$W198,10,FALSE),"")</f>
        <v>48727.397990354752</v>
      </c>
      <c r="Q7" s="48">
        <f t="shared" si="2"/>
        <v>0</v>
      </c>
      <c r="R7" s="43">
        <f t="shared" si="2"/>
        <v>6.5273997778989026E-2</v>
      </c>
      <c r="S7" s="44">
        <f>IFERROR(VLOOKUP($A7,'Parts List and Volumes'!$C$2:$W198,11,FALSE),"")</f>
        <v>0</v>
      </c>
      <c r="T7" s="45">
        <f>IFERROR(VLOOKUP($A7,'Parts List and Volumes'!$C$2:$W198,12,FALSE),"")</f>
        <v>40182.956232370118</v>
      </c>
      <c r="U7" s="46">
        <f t="shared" si="3"/>
        <v>0</v>
      </c>
      <c r="V7" s="47">
        <f t="shared" si="3"/>
        <v>5.3828078330472831E-2</v>
      </c>
      <c r="W7" s="40">
        <f>IFERROR(VLOOKUP($A7,'Parts List and Volumes'!$C$2:$W198,13,FALSE),"")</f>
        <v>0</v>
      </c>
      <c r="X7" s="41">
        <f>IFERROR(VLOOKUP($A7,'Parts List and Volumes'!$C$2:$W198,14,FALSE),"")</f>
        <v>8326.340391789834</v>
      </c>
      <c r="Y7" s="48">
        <f t="shared" si="4"/>
        <v>0</v>
      </c>
      <c r="Z7" s="43">
        <f t="shared" si="4"/>
        <v>1.1153756339469982E-2</v>
      </c>
      <c r="AA7" s="49">
        <f>IFERROR(VLOOKUP($A7,'Parts List and Volumes'!$C$2:$W198,15,FALSE),"")</f>
        <v>0</v>
      </c>
      <c r="AB7" s="50">
        <f>IFERROR(VLOOKUP($A7,'Parts List and Volumes'!$C$2:$W198,16,FALSE),"")</f>
        <v>0</v>
      </c>
      <c r="AC7" s="51">
        <f t="shared" si="5"/>
        <v>0</v>
      </c>
      <c r="AD7" s="52">
        <f t="shared" si="5"/>
        <v>0</v>
      </c>
      <c r="AE7" s="40">
        <f>IFERROR(VLOOKUP($A7,'Parts List and Volumes'!$C$2:$W198,17,FALSE),"")</f>
        <v>0</v>
      </c>
      <c r="AF7" s="41">
        <f>IFERROR(VLOOKUP($A7,'Parts List and Volumes'!$C$2:$W198,18,FALSE),"")</f>
        <v>0</v>
      </c>
      <c r="AG7" s="48">
        <f t="shared" si="6"/>
        <v>0</v>
      </c>
      <c r="AH7" s="43">
        <f t="shared" si="6"/>
        <v>0</v>
      </c>
      <c r="AI7" s="49">
        <f>IFERROR(VLOOKUP($A7,'Parts List and Volumes'!$C$2:$W198,19,FALSE),"")</f>
        <v>0</v>
      </c>
      <c r="AJ7" s="50">
        <f>IFERROR(VLOOKUP($A7,'Parts List and Volumes'!$C$2:$W198,20,FALSE),"")</f>
        <v>0</v>
      </c>
      <c r="AK7" s="51">
        <f t="shared" si="7"/>
        <v>0</v>
      </c>
      <c r="AL7" s="52">
        <f t="shared" si="7"/>
        <v>0</v>
      </c>
      <c r="AM7" s="40">
        <f>IFERROR(VLOOKUP($A7,'Parts List and Volumes'!$C$2:$W198,21,FALSE),"")</f>
        <v>0</v>
      </c>
      <c r="AN7" s="41" t="str">
        <f>IFERROR(VLOOKUP($A7,'Parts List and Volumes'!$C$2:$W198,22,FALSE),"")</f>
        <v/>
      </c>
      <c r="AO7" s="48">
        <f t="shared" si="8"/>
        <v>0</v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88" t="s">
        <v>227</v>
      </c>
      <c r="B8" s="24" t="s">
        <v>444</v>
      </c>
      <c r="C8" s="20" t="str">
        <f>IFERROR(VLOOKUP(A8,'Parts List and Volumes'!C7:D199,2,FALSE),"")</f>
        <v>NFLT0010BAF20</v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>
        <v>18.2</v>
      </c>
      <c r="G8" s="40">
        <f>IFERROR(VLOOKUP($A8,'Parts List and Volumes'!$C$2:$W199,5,FALSE),"")</f>
        <v>11972</v>
      </c>
      <c r="H8" s="41">
        <f>IFERROR(VLOOKUP($A8,'Parts List and Volumes'!$C$2:$W199,6,FALSE),"")</f>
        <v>16914.55267064436</v>
      </c>
      <c r="I8" s="42">
        <f t="shared" si="0"/>
        <v>1.6037390331507979E-2</v>
      </c>
      <c r="J8" s="43">
        <f t="shared" si="0"/>
        <v>2.265830967774593E-2</v>
      </c>
      <c r="K8" s="58">
        <f>IFERROR(VLOOKUP($A8,'Parts List and Volumes'!$C$2:$W199,7,FALSE),"")</f>
        <v>0</v>
      </c>
      <c r="L8" s="45">
        <f>IFERROR(VLOOKUP($A8,'Parts List and Volumes'!$C$2:$W199,8,FALSE),"")</f>
        <v>15416.578798632505</v>
      </c>
      <c r="M8" s="46">
        <f t="shared" si="1"/>
        <v>0</v>
      </c>
      <c r="N8" s="47">
        <f t="shared" si="1"/>
        <v>2.0651661524400251E-2</v>
      </c>
      <c r="O8" s="41">
        <f>IFERROR(VLOOKUP($A8,'Parts List and Volumes'!$C$2:$W199,9,FALSE),"")</f>
        <v>0</v>
      </c>
      <c r="P8" s="41">
        <f>IFERROR(VLOOKUP($A8,'Parts List and Volumes'!$C$2:$W199,10,FALSE),"")</f>
        <v>13621.079176903379</v>
      </c>
      <c r="Q8" s="48">
        <f t="shared" si="2"/>
        <v>0</v>
      </c>
      <c r="R8" s="43">
        <f t="shared" si="2"/>
        <v>1.8246455353856907E-2</v>
      </c>
      <c r="S8" s="44">
        <f>IFERROR(VLOOKUP($A8,'Parts List and Volumes'!$C$2:$W199,11,FALSE),"")</f>
        <v>0</v>
      </c>
      <c r="T8" s="45">
        <f>IFERROR(VLOOKUP($A8,'Parts List and Volumes'!$C$2:$W199,12,FALSE),"")</f>
        <v>11232.597080424808</v>
      </c>
      <c r="U8" s="46">
        <f t="shared" si="3"/>
        <v>0</v>
      </c>
      <c r="V8" s="47">
        <f t="shared" si="3"/>
        <v>1.5046904762389705E-2</v>
      </c>
      <c r="W8" s="40">
        <f>IFERROR(VLOOKUP($A8,'Parts List and Volumes'!$C$2:$W199,13,FALSE),"")</f>
        <v>0</v>
      </c>
      <c r="X8" s="41">
        <f>IFERROR(VLOOKUP($A8,'Parts List and Volumes'!$C$2:$W199,14,FALSE),"")</f>
        <v>2327.5148357576468</v>
      </c>
      <c r="Y8" s="48">
        <f t="shared" si="4"/>
        <v>0</v>
      </c>
      <c r="Z8" s="43">
        <f t="shared" si="4"/>
        <v>3.117880381174496E-3</v>
      </c>
      <c r="AA8" s="49">
        <f>IFERROR(VLOOKUP($A8,'Parts List and Volumes'!$C$2:$W199,15,FALSE),"")</f>
        <v>0</v>
      </c>
      <c r="AB8" s="50">
        <f>IFERROR(VLOOKUP($A8,'Parts List and Volumes'!$C$2:$W199,16,FALSE),"")</f>
        <v>0</v>
      </c>
      <c r="AC8" s="51">
        <f t="shared" si="5"/>
        <v>0</v>
      </c>
      <c r="AD8" s="52">
        <f t="shared" si="5"/>
        <v>0</v>
      </c>
      <c r="AE8" s="40">
        <f>IFERROR(VLOOKUP($A8,'Parts List and Volumes'!$C$2:$W199,17,FALSE),"")</f>
        <v>0</v>
      </c>
      <c r="AF8" s="41">
        <f>IFERROR(VLOOKUP($A8,'Parts List and Volumes'!$C$2:$W199,18,FALSE),"")</f>
        <v>0</v>
      </c>
      <c r="AG8" s="48">
        <f t="shared" si="6"/>
        <v>0</v>
      </c>
      <c r="AH8" s="43">
        <f t="shared" si="6"/>
        <v>0</v>
      </c>
      <c r="AI8" s="49">
        <f>IFERROR(VLOOKUP($A8,'Parts List and Volumes'!$C$2:$W199,19,FALSE),"")</f>
        <v>0</v>
      </c>
      <c r="AJ8" s="50">
        <f>IFERROR(VLOOKUP($A8,'Parts List and Volumes'!$C$2:$W199,20,FALSE),"")</f>
        <v>0</v>
      </c>
      <c r="AK8" s="51">
        <f t="shared" si="7"/>
        <v>0</v>
      </c>
      <c r="AL8" s="52">
        <f t="shared" si="7"/>
        <v>0</v>
      </c>
      <c r="AM8" s="40">
        <f>IFERROR(VLOOKUP($A8,'Parts List and Volumes'!$C$2:$W199,21,FALSE),"")</f>
        <v>0</v>
      </c>
      <c r="AN8" s="41" t="str">
        <f>IFERROR(VLOOKUP($A8,'Parts List and Volumes'!$C$2:$W199,22,FALSE),"")</f>
        <v/>
      </c>
      <c r="AO8" s="48">
        <f t="shared" si="8"/>
        <v>0</v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88" t="s">
        <v>211</v>
      </c>
      <c r="B9" s="24" t="s">
        <v>444</v>
      </c>
      <c r="C9" s="20" t="str">
        <f>IFERROR(VLOOKUP(A9,'Parts List and Volumes'!C8:D200,2,FALSE),"")</f>
        <v>NFLT0003BAF20</v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>
        <v>23</v>
      </c>
      <c r="G9" s="40">
        <f>IFERROR(VLOOKUP($A9,'Parts List and Volumes'!$C$2:$W200,5,FALSE),"")</f>
        <v>1699</v>
      </c>
      <c r="H9" s="41">
        <f>IFERROR(VLOOKUP($A9,'Parts List and Volumes'!$C$2:$W200,6,FALSE),"")</f>
        <v>775.3353455783905</v>
      </c>
      <c r="I9" s="42">
        <f t="shared" si="0"/>
        <v>2.8761850085379497E-3</v>
      </c>
      <c r="J9" s="43">
        <f t="shared" si="0"/>
        <v>1.3125414346922646E-3</v>
      </c>
      <c r="K9" s="58">
        <f>IFERROR(VLOOKUP($A9,'Parts List and Volumes'!$C$2:$W200,7,FALSE),"")</f>
        <v>0</v>
      </c>
      <c r="L9" s="45">
        <f>IFERROR(VLOOKUP($A9,'Parts List and Volumes'!$C$2:$W200,8,FALSE),"")</f>
        <v>706.67068075758175</v>
      </c>
      <c r="M9" s="46">
        <f t="shared" si="1"/>
        <v>0</v>
      </c>
      <c r="N9" s="47">
        <f t="shared" si="1"/>
        <v>1.1963011288806734E-3</v>
      </c>
      <c r="O9" s="41">
        <f>IFERROR(VLOOKUP($A9,'Parts List and Volumes'!$C$2:$W200,9,FALSE),"")</f>
        <v>0</v>
      </c>
      <c r="P9" s="41">
        <f>IFERROR(VLOOKUP($A9,'Parts List and Volumes'!$C$2:$W200,10,FALSE),"")</f>
        <v>624.36792366987743</v>
      </c>
      <c r="Q9" s="48">
        <f t="shared" si="2"/>
        <v>0</v>
      </c>
      <c r="R9" s="43">
        <f t="shared" si="2"/>
        <v>1.0569733148153434E-3</v>
      </c>
      <c r="S9" s="44">
        <f>IFERROR(VLOOKUP($A9,'Parts List and Volumes'!$C$2:$W200,11,FALSE),"")</f>
        <v>0</v>
      </c>
      <c r="T9" s="45">
        <f>IFERROR(VLOOKUP($A9,'Parts List and Volumes'!$C$2:$W200,12,FALSE),"")</f>
        <v>514.88382274564867</v>
      </c>
      <c r="U9" s="46">
        <f t="shared" si="3"/>
        <v>0</v>
      </c>
      <c r="V9" s="47">
        <f t="shared" si="3"/>
        <v>8.7163103715111583E-4</v>
      </c>
      <c r="W9" s="40">
        <f>IFERROR(VLOOKUP($A9,'Parts List and Volumes'!$C$2:$W200,13,FALSE),"")</f>
        <v>0</v>
      </c>
      <c r="X9" s="41">
        <f>IFERROR(VLOOKUP($A9,'Parts List and Volumes'!$C$2:$W200,14,FALSE),"")</f>
        <v>106.68946171144823</v>
      </c>
      <c r="Y9" s="48">
        <f t="shared" si="4"/>
        <v>0</v>
      </c>
      <c r="Z9" s="43">
        <f t="shared" si="4"/>
        <v>1.8061131862475043E-4</v>
      </c>
      <c r="AA9" s="49">
        <f>IFERROR(VLOOKUP($A9,'Parts List and Volumes'!$C$2:$W200,15,FALSE),"")</f>
        <v>0</v>
      </c>
      <c r="AB9" s="50">
        <f>IFERROR(VLOOKUP($A9,'Parts List and Volumes'!$C$2:$W200,16,FALSE),"")</f>
        <v>0</v>
      </c>
      <c r="AC9" s="51">
        <f t="shared" si="5"/>
        <v>0</v>
      </c>
      <c r="AD9" s="52">
        <f t="shared" si="5"/>
        <v>0</v>
      </c>
      <c r="AE9" s="40">
        <f>IFERROR(VLOOKUP($A9,'Parts List and Volumes'!$C$2:$W200,17,FALSE),"")</f>
        <v>0</v>
      </c>
      <c r="AF9" s="41">
        <f>IFERROR(VLOOKUP($A9,'Parts List and Volumes'!$C$2:$W200,18,FALSE),"")</f>
        <v>0</v>
      </c>
      <c r="AG9" s="48">
        <f t="shared" si="6"/>
        <v>0</v>
      </c>
      <c r="AH9" s="43">
        <f t="shared" si="6"/>
        <v>0</v>
      </c>
      <c r="AI9" s="49">
        <f>IFERROR(VLOOKUP($A9,'Parts List and Volumes'!$C$2:$W200,19,FALSE),"")</f>
        <v>0</v>
      </c>
      <c r="AJ9" s="50">
        <f>IFERROR(VLOOKUP($A9,'Parts List and Volumes'!$C$2:$W200,20,FALSE),"")</f>
        <v>0</v>
      </c>
      <c r="AK9" s="51">
        <f t="shared" si="7"/>
        <v>0</v>
      </c>
      <c r="AL9" s="52">
        <f t="shared" si="7"/>
        <v>0</v>
      </c>
      <c r="AM9" s="40">
        <f>IFERROR(VLOOKUP($A9,'Parts List and Volumes'!$C$2:$W200,21,FALSE),"")</f>
        <v>0</v>
      </c>
      <c r="AN9" s="41" t="str">
        <f>IFERROR(VLOOKUP($A9,'Parts List and Volumes'!$C$2:$W200,22,FALSE),"")</f>
        <v/>
      </c>
      <c r="AO9" s="48">
        <f t="shared" si="8"/>
        <v>0</v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88" t="s">
        <v>207</v>
      </c>
      <c r="B10" s="24" t="s">
        <v>444</v>
      </c>
      <c r="C10" s="20" t="str">
        <f>IFERROR(VLOOKUP(A10,'Parts List and Volumes'!C9:D201,2,FALSE),"")</f>
        <v>NFLT0001CBF20</v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>
        <v>20</v>
      </c>
      <c r="G10" s="40">
        <f>IFERROR(VLOOKUP($A10,'Parts List and Volumes'!$C$2:$W201,5,FALSE),"")</f>
        <v>0</v>
      </c>
      <c r="H10" s="41">
        <f>IFERROR(VLOOKUP($A10,'Parts List and Volumes'!$C$2:$W201,6,FALSE),"")</f>
        <v>75799.231811150545</v>
      </c>
      <c r="I10" s="42">
        <f t="shared" si="0"/>
        <v>0</v>
      </c>
      <c r="J10" s="43">
        <f t="shared" si="0"/>
        <v>0.11158103958539502</v>
      </c>
      <c r="K10" s="58">
        <f>IFERROR(VLOOKUP($A10,'Parts List and Volumes'!$C$2:$W201,7,FALSE),"")</f>
        <v>0</v>
      </c>
      <c r="L10" s="45">
        <f>IFERROR(VLOOKUP($A10,'Parts List and Volumes'!$C$2:$W201,8,FALSE),"")</f>
        <v>69086.357342484625</v>
      </c>
      <c r="M10" s="46">
        <f t="shared" si="1"/>
        <v>0</v>
      </c>
      <c r="N10" s="47">
        <f t="shared" si="1"/>
        <v>0.10169928361079407</v>
      </c>
      <c r="O10" s="41">
        <f>IFERROR(VLOOKUP($A10,'Parts List and Volumes'!$C$2:$W201,9,FALSE),"")</f>
        <v>0</v>
      </c>
      <c r="P10" s="41">
        <f>IFERROR(VLOOKUP($A10,'Parts List and Volumes'!$C$2:$W201,10,FALSE),"")</f>
        <v>61040.179906147234</v>
      </c>
      <c r="Q10" s="48">
        <f t="shared" si="2"/>
        <v>0</v>
      </c>
      <c r="R10" s="43">
        <f t="shared" si="2"/>
        <v>8.9854825275492003E-2</v>
      </c>
      <c r="S10" s="44">
        <f>IFERROR(VLOOKUP($A10,'Parts List and Volumes'!$C$2:$W201,11,FALSE),"")</f>
        <v>0</v>
      </c>
      <c r="T10" s="45">
        <f>IFERROR(VLOOKUP($A10,'Parts List and Volumes'!$C$2:$W201,12,FALSE),"")</f>
        <v>50336.668460528541</v>
      </c>
      <c r="U10" s="46">
        <f t="shared" si="3"/>
        <v>0</v>
      </c>
      <c r="V10" s="47">
        <f t="shared" si="3"/>
        <v>7.4098611053006747E-2</v>
      </c>
      <c r="W10" s="40">
        <f>IFERROR(VLOOKUP($A10,'Parts List and Volumes'!$C$2:$W201,13,FALSE),"")</f>
        <v>0</v>
      </c>
      <c r="X10" s="41">
        <f>IFERROR(VLOOKUP($A10,'Parts List and Volumes'!$C$2:$W201,14,FALSE),"")</f>
        <v>10430.298691000793</v>
      </c>
      <c r="Y10" s="48">
        <f t="shared" si="4"/>
        <v>0</v>
      </c>
      <c r="Z10" s="43">
        <f t="shared" si="4"/>
        <v>1.5354028574163564E-2</v>
      </c>
      <c r="AA10" s="49">
        <f>IFERROR(VLOOKUP($A10,'Parts List and Volumes'!$C$2:$W201,15,FALSE),"")</f>
        <v>0</v>
      </c>
      <c r="AB10" s="50">
        <f>IFERROR(VLOOKUP($A10,'Parts List and Volumes'!$C$2:$W201,16,FALSE),"")</f>
        <v>0</v>
      </c>
      <c r="AC10" s="51">
        <f t="shared" si="5"/>
        <v>0</v>
      </c>
      <c r="AD10" s="52">
        <f t="shared" si="5"/>
        <v>0</v>
      </c>
      <c r="AE10" s="40">
        <f>IFERROR(VLOOKUP($A10,'Parts List and Volumes'!$C$2:$W201,17,FALSE),"")</f>
        <v>0</v>
      </c>
      <c r="AF10" s="41">
        <f>IFERROR(VLOOKUP($A10,'Parts List and Volumes'!$C$2:$W201,18,FALSE),"")</f>
        <v>0</v>
      </c>
      <c r="AG10" s="48">
        <f t="shared" si="6"/>
        <v>0</v>
      </c>
      <c r="AH10" s="43">
        <f t="shared" si="6"/>
        <v>0</v>
      </c>
      <c r="AI10" s="49">
        <f>IFERROR(VLOOKUP($A10,'Parts List and Volumes'!$C$2:$W201,19,FALSE),"")</f>
        <v>0</v>
      </c>
      <c r="AJ10" s="50">
        <f>IFERROR(VLOOKUP($A10,'Parts List and Volumes'!$C$2:$W201,20,FALSE),"")</f>
        <v>0</v>
      </c>
      <c r="AK10" s="51">
        <f t="shared" si="7"/>
        <v>0</v>
      </c>
      <c r="AL10" s="52">
        <f t="shared" si="7"/>
        <v>0</v>
      </c>
      <c r="AM10" s="40">
        <f>IFERROR(VLOOKUP($A10,'Parts List and Volumes'!$C$2:$W201,21,FALSE),"")</f>
        <v>0</v>
      </c>
      <c r="AN10" s="41" t="str">
        <f>IFERROR(VLOOKUP($A10,'Parts List and Volumes'!$C$2:$W201,22,FALSE),"")</f>
        <v/>
      </c>
      <c r="AO10" s="48">
        <f t="shared" si="8"/>
        <v>0</v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88" t="s">
        <v>209</v>
      </c>
      <c r="B11" s="24" t="s">
        <v>444</v>
      </c>
      <c r="C11" s="20" t="str">
        <f>IFERROR(VLOOKUP(A11,'Parts List and Volumes'!C10:D202,2,FALSE),"")</f>
        <v>NFLT0002CAF20</v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>
        <v>19</v>
      </c>
      <c r="G11" s="40">
        <f>IFERROR(VLOOKUP($A11,'Parts List and Volumes'!$C$2:$W202,5,FALSE),"")</f>
        <v>36904</v>
      </c>
      <c r="H11" s="41">
        <f>IFERROR(VLOOKUP($A11,'Parts List and Volumes'!$C$2:$W202,6,FALSE),"")</f>
        <v>35477.968173250658</v>
      </c>
      <c r="I11" s="42">
        <f t="shared" si="0"/>
        <v>5.160866749102043E-2</v>
      </c>
      <c r="J11" s="43">
        <f t="shared" si="0"/>
        <v>4.9614422900235718E-2</v>
      </c>
      <c r="K11" s="58">
        <f>IFERROR(VLOOKUP($A11,'Parts List and Volumes'!$C$2:$W202,7,FALSE),"")</f>
        <v>0</v>
      </c>
      <c r="L11" s="45">
        <f>IFERROR(VLOOKUP($A11,'Parts List and Volumes'!$C$2:$W202,8,FALSE),"")</f>
        <v>32335.995081178749</v>
      </c>
      <c r="M11" s="46">
        <f t="shared" si="1"/>
        <v>0</v>
      </c>
      <c r="N11" s="47">
        <f t="shared" si="1"/>
        <v>4.5220507753517949E-2</v>
      </c>
      <c r="O11" s="41">
        <f>IFERROR(VLOOKUP($A11,'Parts List and Volumes'!$C$2:$W202,9,FALSE),"")</f>
        <v>0</v>
      </c>
      <c r="P11" s="41">
        <f>IFERROR(VLOOKUP($A11,'Parts List and Volumes'!$C$2:$W202,10,FALSE),"")</f>
        <v>28569.967112532337</v>
      </c>
      <c r="Q11" s="48">
        <f t="shared" si="2"/>
        <v>0</v>
      </c>
      <c r="R11" s="43">
        <f t="shared" si="2"/>
        <v>3.9953878521029447E-2</v>
      </c>
      <c r="S11" s="44">
        <f>IFERROR(VLOOKUP($A11,'Parts List and Volumes'!$C$2:$W202,11,FALSE),"")</f>
        <v>0</v>
      </c>
      <c r="T11" s="45">
        <f>IFERROR(VLOOKUP($A11,'Parts List and Volumes'!$C$2:$W202,12,FALSE),"")</f>
        <v>23560.169132576793</v>
      </c>
      <c r="U11" s="46">
        <f t="shared" si="3"/>
        <v>0</v>
      </c>
      <c r="V11" s="47">
        <f t="shared" si="3"/>
        <v>3.294789006057227E-2</v>
      </c>
      <c r="W11" s="40">
        <f>IFERROR(VLOOKUP($A11,'Parts List and Volumes'!$C$2:$W202,13,FALSE),"")</f>
        <v>0</v>
      </c>
      <c r="X11" s="41">
        <f>IFERROR(VLOOKUP($A11,'Parts List and Volumes'!$C$2:$W202,14,FALSE),"")</f>
        <v>4881.9202537404617</v>
      </c>
      <c r="Y11" s="48">
        <f t="shared" si="4"/>
        <v>0</v>
      </c>
      <c r="Z11" s="43">
        <f t="shared" si="4"/>
        <v>6.8271569231782353E-3</v>
      </c>
      <c r="AA11" s="49">
        <f>IFERROR(VLOOKUP($A11,'Parts List and Volumes'!$C$2:$W202,15,FALSE),"")</f>
        <v>0</v>
      </c>
      <c r="AB11" s="50">
        <f>IFERROR(VLOOKUP($A11,'Parts List and Volumes'!$C$2:$W202,16,FALSE),"")</f>
        <v>0</v>
      </c>
      <c r="AC11" s="51">
        <f t="shared" si="5"/>
        <v>0</v>
      </c>
      <c r="AD11" s="52">
        <f t="shared" si="5"/>
        <v>0</v>
      </c>
      <c r="AE11" s="40">
        <f>IFERROR(VLOOKUP($A11,'Parts List and Volumes'!$C$2:$W202,17,FALSE),"")</f>
        <v>0</v>
      </c>
      <c r="AF11" s="41">
        <f>IFERROR(VLOOKUP($A11,'Parts List and Volumes'!$C$2:$W202,18,FALSE),"")</f>
        <v>0</v>
      </c>
      <c r="AG11" s="48">
        <f t="shared" si="6"/>
        <v>0</v>
      </c>
      <c r="AH11" s="43">
        <f t="shared" si="6"/>
        <v>0</v>
      </c>
      <c r="AI11" s="49">
        <f>IFERROR(VLOOKUP($A11,'Parts List and Volumes'!$C$2:$W202,19,FALSE),"")</f>
        <v>0</v>
      </c>
      <c r="AJ11" s="50">
        <f>IFERROR(VLOOKUP($A11,'Parts List and Volumes'!$C$2:$W202,20,FALSE),"")</f>
        <v>0</v>
      </c>
      <c r="AK11" s="51">
        <f t="shared" si="7"/>
        <v>0</v>
      </c>
      <c r="AL11" s="52">
        <f t="shared" si="7"/>
        <v>0</v>
      </c>
      <c r="AM11" s="40">
        <f>IFERROR(VLOOKUP($A11,'Parts List and Volumes'!$C$2:$W202,21,FALSE),"")</f>
        <v>0</v>
      </c>
      <c r="AN11" s="41" t="str">
        <f>IFERROR(VLOOKUP($A11,'Parts List and Volumes'!$C$2:$W202,22,FALSE),"")</f>
        <v/>
      </c>
      <c r="AO11" s="48">
        <f t="shared" si="8"/>
        <v>0</v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88" t="s">
        <v>223</v>
      </c>
      <c r="B12" s="24" t="s">
        <v>444</v>
      </c>
      <c r="C12" s="20" t="str">
        <f>IFERROR(VLOOKUP(A12,'Parts List and Volumes'!C11:D203,2,FALSE),"")</f>
        <v>NFLT0022AAF20</v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>
        <v>30</v>
      </c>
      <c r="G12" s="40">
        <f>IFERROR(VLOOKUP($A12,'Parts List and Volumes'!$C$2:$W203,5,FALSE),"")</f>
        <v>7059</v>
      </c>
      <c r="H12" s="41">
        <f>IFERROR(VLOOKUP($A12,'Parts List and Volumes'!$C$2:$W203,6,FALSE),"")</f>
        <v>10165.564540810357</v>
      </c>
      <c r="I12" s="42">
        <f t="shared" si="0"/>
        <v>1.5586910439851616E-2</v>
      </c>
      <c r="J12" s="43">
        <f t="shared" si="0"/>
        <v>2.2446485914172313E-2</v>
      </c>
      <c r="K12" s="58">
        <f>IFERROR(VLOOKUP($A12,'Parts List and Volumes'!$C$2:$W203,7,FALSE),"")</f>
        <v>0</v>
      </c>
      <c r="L12" s="45">
        <f>IFERROR(VLOOKUP($A12,'Parts List and Volumes'!$C$2:$W203,8,FALSE),"")</f>
        <v>9265.2894715906878</v>
      </c>
      <c r="M12" s="46">
        <f t="shared" si="1"/>
        <v>0</v>
      </c>
      <c r="N12" s="47">
        <f t="shared" si="1"/>
        <v>2.0458597137410987E-2</v>
      </c>
      <c r="O12" s="41">
        <f>IFERROR(VLOOKUP($A12,'Parts List and Volumes'!$C$2:$W203,9,FALSE),"")</f>
        <v>0</v>
      </c>
      <c r="P12" s="41">
        <f>IFERROR(VLOOKUP($A12,'Parts List and Volumes'!$C$2:$W203,10,FALSE),"")</f>
        <v>8186.2028623795977</v>
      </c>
      <c r="Q12" s="48">
        <f t="shared" si="2"/>
        <v>0</v>
      </c>
      <c r="R12" s="43">
        <f t="shared" si="2"/>
        <v>1.8075876308027729E-2</v>
      </c>
      <c r="S12" s="44">
        <f>IFERROR(VLOOKUP($A12,'Parts List and Volumes'!$C$2:$W203,11,FALSE),"")</f>
        <v>0</v>
      </c>
      <c r="T12" s="45">
        <f>IFERROR(VLOOKUP($A12,'Parts List and Volumes'!$C$2:$W203,12,FALSE),"")</f>
        <v>6750.7366470381785</v>
      </c>
      <c r="U12" s="46">
        <f t="shared" si="3"/>
        <v>0</v>
      </c>
      <c r="V12" s="47">
        <f t="shared" si="3"/>
        <v>1.4906237076130936E-2</v>
      </c>
      <c r="W12" s="40">
        <f>IFERROR(VLOOKUP($A12,'Parts List and Volumes'!$C$2:$W203,13,FALSE),"")</f>
        <v>0</v>
      </c>
      <c r="X12" s="41">
        <f>IFERROR(VLOOKUP($A12,'Parts List and Volumes'!$C$2:$W203,14,FALSE),"")</f>
        <v>1398.8251858206918</v>
      </c>
      <c r="Y12" s="48">
        <f t="shared" si="4"/>
        <v>0</v>
      </c>
      <c r="Z12" s="43">
        <f t="shared" si="4"/>
        <v>3.0887325247763021E-3</v>
      </c>
      <c r="AA12" s="49">
        <f>IFERROR(VLOOKUP($A12,'Parts List and Volumes'!$C$2:$W203,15,FALSE),"")</f>
        <v>0</v>
      </c>
      <c r="AB12" s="50">
        <f>IFERROR(VLOOKUP($A12,'Parts List and Volumes'!$C$2:$W203,16,FALSE),"")</f>
        <v>0</v>
      </c>
      <c r="AC12" s="51">
        <f t="shared" si="5"/>
        <v>0</v>
      </c>
      <c r="AD12" s="52">
        <f t="shared" si="5"/>
        <v>0</v>
      </c>
      <c r="AE12" s="40">
        <f>IFERROR(VLOOKUP($A12,'Parts List and Volumes'!$C$2:$W203,17,FALSE),"")</f>
        <v>0</v>
      </c>
      <c r="AF12" s="41">
        <f>IFERROR(VLOOKUP($A12,'Parts List and Volumes'!$C$2:$W203,18,FALSE),"")</f>
        <v>0</v>
      </c>
      <c r="AG12" s="48">
        <f t="shared" si="6"/>
        <v>0</v>
      </c>
      <c r="AH12" s="43">
        <f t="shared" si="6"/>
        <v>0</v>
      </c>
      <c r="AI12" s="49">
        <f>IFERROR(VLOOKUP($A12,'Parts List and Volumes'!$C$2:$W203,19,FALSE),"")</f>
        <v>0</v>
      </c>
      <c r="AJ12" s="50">
        <f>IFERROR(VLOOKUP($A12,'Parts List and Volumes'!$C$2:$W203,20,FALSE),"")</f>
        <v>0</v>
      </c>
      <c r="AK12" s="51">
        <f t="shared" si="7"/>
        <v>0</v>
      </c>
      <c r="AL12" s="52">
        <f t="shared" si="7"/>
        <v>0</v>
      </c>
      <c r="AM12" s="40">
        <f>IFERROR(VLOOKUP($A12,'Parts List and Volumes'!$C$2:$W203,21,FALSE),"")</f>
        <v>0</v>
      </c>
      <c r="AN12" s="41" t="str">
        <f>IFERROR(VLOOKUP($A12,'Parts List and Volumes'!$C$2:$W203,22,FALSE),"")</f>
        <v/>
      </c>
      <c r="AO12" s="48">
        <f t="shared" si="8"/>
        <v>0</v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0.60727465406583048</v>
      </c>
      <c r="J52" s="53">
        <f>SUM(J3:J50)</f>
        <v>0.90115532910301077</v>
      </c>
      <c r="M52" s="53">
        <f>SUM(M3:M50)</f>
        <v>0</v>
      </c>
      <c r="N52" s="53">
        <f>SUM(N3:N50)</f>
        <v>0.82134788968054506</v>
      </c>
      <c r="Q52" s="53">
        <f>SUM(Q3:Q50)</f>
        <v>0</v>
      </c>
      <c r="R52" s="53">
        <f>SUM(R3:R50)</f>
        <v>0.72568919364350704</v>
      </c>
      <c r="U52" s="53">
        <f>SUM(U3:U50)</f>
        <v>0</v>
      </c>
      <c r="V52" s="53">
        <f>SUM(V3:V50)</f>
        <v>0.59843821564724387</v>
      </c>
      <c r="Y52" s="53">
        <f>SUM(Y3:Y50)</f>
        <v>0</v>
      </c>
      <c r="Z52" s="53">
        <f>SUM(Z3:Z50)</f>
        <v>0.12400282990927124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50">
    <cfRule type="expression" dxfId="2142" priority="112" stopIfTrue="1">
      <formula>#REF!="DLN"</formula>
    </cfRule>
  </conditionalFormatting>
  <conditionalFormatting sqref="F3:F7 D3:E50">
    <cfRule type="expression" dxfId="2141" priority="111" stopIfTrue="1">
      <formula>#REF!="DLN"</formula>
    </cfRule>
  </conditionalFormatting>
  <conditionalFormatting sqref="L3:L50">
    <cfRule type="expression" dxfId="2140" priority="110" stopIfTrue="1">
      <formula>#REF!="DLN"</formula>
    </cfRule>
  </conditionalFormatting>
  <conditionalFormatting sqref="L3:L50">
    <cfRule type="expression" dxfId="2139" priority="109" stopIfTrue="1">
      <formula>#REF!="DLN"</formula>
    </cfRule>
  </conditionalFormatting>
  <conditionalFormatting sqref="T3:T50">
    <cfRule type="expression" dxfId="2138" priority="108" stopIfTrue="1">
      <formula>#REF!="DLN"</formula>
    </cfRule>
  </conditionalFormatting>
  <conditionalFormatting sqref="T3:T50">
    <cfRule type="expression" dxfId="2137" priority="107" stopIfTrue="1">
      <formula>#REF!="DLN"</formula>
    </cfRule>
  </conditionalFormatting>
  <conditionalFormatting sqref="X3:X50">
    <cfRule type="expression" dxfId="2136" priority="106" stopIfTrue="1">
      <formula>#REF!="DLN"</formula>
    </cfRule>
  </conditionalFormatting>
  <conditionalFormatting sqref="X3:X50">
    <cfRule type="expression" dxfId="2135" priority="105" stopIfTrue="1">
      <formula>#REF!="DLN"</formula>
    </cfRule>
  </conditionalFormatting>
  <conditionalFormatting sqref="G2">
    <cfRule type="expression" dxfId="2134" priority="104" stopIfTrue="1">
      <formula>#REF!="DLN"</formula>
    </cfRule>
  </conditionalFormatting>
  <conditionalFormatting sqref="G2">
    <cfRule type="expression" dxfId="2133" priority="103" stopIfTrue="1">
      <formula>#REF!="DLN"</formula>
    </cfRule>
  </conditionalFormatting>
  <conditionalFormatting sqref="K2">
    <cfRule type="expression" dxfId="2132" priority="102" stopIfTrue="1">
      <formula>#REF!="DLN"</formula>
    </cfRule>
  </conditionalFormatting>
  <conditionalFormatting sqref="K2">
    <cfRule type="expression" dxfId="2131" priority="101" stopIfTrue="1">
      <formula>#REF!="DLN"</formula>
    </cfRule>
  </conditionalFormatting>
  <conditionalFormatting sqref="O2">
    <cfRule type="expression" dxfId="2130" priority="100" stopIfTrue="1">
      <formula>#REF!="DLN"</formula>
    </cfRule>
  </conditionalFormatting>
  <conditionalFormatting sqref="O2">
    <cfRule type="expression" dxfId="2129" priority="99" stopIfTrue="1">
      <formula>#REF!="DLN"</formula>
    </cfRule>
  </conditionalFormatting>
  <conditionalFormatting sqref="S2">
    <cfRule type="expression" dxfId="2128" priority="98" stopIfTrue="1">
      <formula>#REF!="DLN"</formula>
    </cfRule>
  </conditionalFormatting>
  <conditionalFormatting sqref="S2">
    <cfRule type="expression" dxfId="2127" priority="97" stopIfTrue="1">
      <formula>#REF!="DLN"</formula>
    </cfRule>
  </conditionalFormatting>
  <conditionalFormatting sqref="W2">
    <cfRule type="expression" dxfId="2126" priority="96" stopIfTrue="1">
      <formula>#REF!="DLN"</formula>
    </cfRule>
  </conditionalFormatting>
  <conditionalFormatting sqref="W2">
    <cfRule type="expression" dxfId="2125" priority="95" stopIfTrue="1">
      <formula>#REF!="DLN"</formula>
    </cfRule>
  </conditionalFormatting>
  <conditionalFormatting sqref="AF3:AF50">
    <cfRule type="expression" dxfId="2124" priority="47" stopIfTrue="1">
      <formula>#REF!="DLN"</formula>
    </cfRule>
  </conditionalFormatting>
  <conditionalFormatting sqref="W3:W50">
    <cfRule type="expression" dxfId="2123" priority="94" stopIfTrue="1">
      <formula>#REF!="DLN"</formula>
    </cfRule>
  </conditionalFormatting>
  <conditionalFormatting sqref="W3:W50">
    <cfRule type="expression" dxfId="2122" priority="93" stopIfTrue="1">
      <formula>#REF!="DLN"</formula>
    </cfRule>
  </conditionalFormatting>
  <conditionalFormatting sqref="S3:S50">
    <cfRule type="expression" dxfId="2121" priority="92" stopIfTrue="1">
      <formula>#REF!="DLN"</formula>
    </cfRule>
  </conditionalFormatting>
  <conditionalFormatting sqref="S3:S50">
    <cfRule type="expression" dxfId="2120" priority="91" stopIfTrue="1">
      <formula>#REF!="DLN"</formula>
    </cfRule>
  </conditionalFormatting>
  <conditionalFormatting sqref="K3:K50">
    <cfRule type="expression" dxfId="2119" priority="90" stopIfTrue="1">
      <formula>#REF!="DLN"</formula>
    </cfRule>
  </conditionalFormatting>
  <conditionalFormatting sqref="K3:K50">
    <cfRule type="expression" dxfId="2118" priority="89" stopIfTrue="1">
      <formula>#REF!="DLN"</formula>
    </cfRule>
  </conditionalFormatting>
  <conditionalFormatting sqref="AF3:AF50">
    <cfRule type="expression" dxfId="2117" priority="48" stopIfTrue="1">
      <formula>#REF!="DLN"</formula>
    </cfRule>
  </conditionalFormatting>
  <conditionalFormatting sqref="J52">
    <cfRule type="cellIs" dxfId="2116" priority="85" stopIfTrue="1" operator="greaterThanOrEqual">
      <formula>0.801</formula>
    </cfRule>
    <cfRule type="cellIs" dxfId="2115" priority="86" stopIfTrue="1" operator="between">
      <formula>0.61</formula>
      <formula>0.8</formula>
    </cfRule>
    <cfRule type="cellIs" dxfId="2114" priority="87" stopIfTrue="1" operator="between">
      <formula>0</formula>
      <formula>0.6</formula>
    </cfRule>
  </conditionalFormatting>
  <conditionalFormatting sqref="J52">
    <cfRule type="expression" dxfId="2113" priority="88" stopIfTrue="1">
      <formula>#REF!="DLN"</formula>
    </cfRule>
  </conditionalFormatting>
  <conditionalFormatting sqref="I52">
    <cfRule type="cellIs" dxfId="2112" priority="81" stopIfTrue="1" operator="greaterThanOrEqual">
      <formula>0.801</formula>
    </cfRule>
    <cfRule type="cellIs" dxfId="2111" priority="82" stopIfTrue="1" operator="between">
      <formula>0.61</formula>
      <formula>0.8</formula>
    </cfRule>
    <cfRule type="cellIs" dxfId="2110" priority="83" stopIfTrue="1" operator="between">
      <formula>0</formula>
      <formula>0.6</formula>
    </cfRule>
  </conditionalFormatting>
  <conditionalFormatting sqref="I52">
    <cfRule type="expression" dxfId="2109" priority="84" stopIfTrue="1">
      <formula>#REF!="DLN"</formula>
    </cfRule>
  </conditionalFormatting>
  <conditionalFormatting sqref="M52:N52">
    <cfRule type="cellIs" dxfId="2108" priority="77" stopIfTrue="1" operator="greaterThanOrEqual">
      <formula>0.801</formula>
    </cfRule>
    <cfRule type="cellIs" dxfId="2107" priority="78" stopIfTrue="1" operator="between">
      <formula>0.61</formula>
      <formula>0.8</formula>
    </cfRule>
    <cfRule type="cellIs" dxfId="2106" priority="79" stopIfTrue="1" operator="between">
      <formula>0</formula>
      <formula>0.6</formula>
    </cfRule>
  </conditionalFormatting>
  <conditionalFormatting sqref="M52:N52">
    <cfRule type="expression" dxfId="2105" priority="80" stopIfTrue="1">
      <formula>#REF!="DLN"</formula>
    </cfRule>
  </conditionalFormatting>
  <conditionalFormatting sqref="Q52:R52">
    <cfRule type="cellIs" dxfId="2104" priority="73" stopIfTrue="1" operator="greaterThanOrEqual">
      <formula>0.801</formula>
    </cfRule>
    <cfRule type="cellIs" dxfId="2103" priority="74" stopIfTrue="1" operator="between">
      <formula>0.61</formula>
      <formula>0.8</formula>
    </cfRule>
    <cfRule type="cellIs" dxfId="2102" priority="75" stopIfTrue="1" operator="between">
      <formula>0</formula>
      <formula>0.6</formula>
    </cfRule>
  </conditionalFormatting>
  <conditionalFormatting sqref="Q52:R52">
    <cfRule type="expression" dxfId="2101" priority="76" stopIfTrue="1">
      <formula>#REF!="DLN"</formula>
    </cfRule>
  </conditionalFormatting>
  <conditionalFormatting sqref="U52:V52">
    <cfRule type="cellIs" dxfId="2100" priority="69" stopIfTrue="1" operator="greaterThanOrEqual">
      <formula>0.801</formula>
    </cfRule>
    <cfRule type="cellIs" dxfId="2099" priority="70" stopIfTrue="1" operator="between">
      <formula>0.61</formula>
      <formula>0.8</formula>
    </cfRule>
    <cfRule type="cellIs" dxfId="2098" priority="71" stopIfTrue="1" operator="between">
      <formula>0</formula>
      <formula>0.6</formula>
    </cfRule>
  </conditionalFormatting>
  <conditionalFormatting sqref="U52:V52">
    <cfRule type="expression" dxfId="2097" priority="72" stopIfTrue="1">
      <formula>#REF!="DLN"</formula>
    </cfRule>
  </conditionalFormatting>
  <conditionalFormatting sqref="Y52:Z52">
    <cfRule type="cellIs" dxfId="2096" priority="65" stopIfTrue="1" operator="greaterThanOrEqual">
      <formula>0.801</formula>
    </cfRule>
    <cfRule type="cellIs" dxfId="2095" priority="66" stopIfTrue="1" operator="between">
      <formula>0.61</formula>
      <formula>0.8</formula>
    </cfRule>
    <cfRule type="cellIs" dxfId="2094" priority="67" stopIfTrue="1" operator="between">
      <formula>0</formula>
      <formula>0.6</formula>
    </cfRule>
  </conditionalFormatting>
  <conditionalFormatting sqref="Y52:Z52">
    <cfRule type="expression" dxfId="2093" priority="68" stopIfTrue="1">
      <formula>#REF!="DLN"</formula>
    </cfRule>
  </conditionalFormatting>
  <conditionalFormatting sqref="AC52:AD52">
    <cfRule type="cellIs" dxfId="2092" priority="61" stopIfTrue="1" operator="greaterThanOrEqual">
      <formula>0.801</formula>
    </cfRule>
    <cfRule type="cellIs" dxfId="2091" priority="62" stopIfTrue="1" operator="between">
      <formula>0.61</formula>
      <formula>0.8</formula>
    </cfRule>
    <cfRule type="cellIs" dxfId="2090" priority="63" stopIfTrue="1" operator="between">
      <formula>0</formula>
      <formula>0.6</formula>
    </cfRule>
  </conditionalFormatting>
  <conditionalFormatting sqref="AC52:AD52">
    <cfRule type="expression" dxfId="2089" priority="64" stopIfTrue="1">
      <formula>#REF!="DLN"</formula>
    </cfRule>
  </conditionalFormatting>
  <conditionalFormatting sqref="G3:G50">
    <cfRule type="expression" dxfId="2088" priority="59" stopIfTrue="1">
      <formula>#REF!="DLN"</formula>
    </cfRule>
  </conditionalFormatting>
  <conditionalFormatting sqref="G3:G50">
    <cfRule type="expression" dxfId="2087" priority="60" stopIfTrue="1">
      <formula>#REF!="DLN"</formula>
    </cfRule>
  </conditionalFormatting>
  <conditionalFormatting sqref="P3:P50">
    <cfRule type="expression" dxfId="2086" priority="58" stopIfTrue="1">
      <formula>#REF!="DLN"</formula>
    </cfRule>
  </conditionalFormatting>
  <conditionalFormatting sqref="P3:P50">
    <cfRule type="expression" dxfId="2085" priority="57" stopIfTrue="1">
      <formula>#REF!="DLN"</formula>
    </cfRule>
  </conditionalFormatting>
  <conditionalFormatting sqref="O3:O50">
    <cfRule type="expression" dxfId="2084" priority="56" stopIfTrue="1">
      <formula>#REF!="DLN"</formula>
    </cfRule>
  </conditionalFormatting>
  <conditionalFormatting sqref="O3:O50">
    <cfRule type="expression" dxfId="2083" priority="55" stopIfTrue="1">
      <formula>#REF!="DLN"</formula>
    </cfRule>
  </conditionalFormatting>
  <conditionalFormatting sqref="H3:H50">
    <cfRule type="expression" dxfId="2082" priority="54" stopIfTrue="1">
      <formula>#REF!="DLN"</formula>
    </cfRule>
  </conditionalFormatting>
  <conditionalFormatting sqref="H3:H50">
    <cfRule type="expression" dxfId="2081" priority="53" stopIfTrue="1">
      <formula>#REF!="DLN"</formula>
    </cfRule>
  </conditionalFormatting>
  <conditionalFormatting sqref="A13:A50">
    <cfRule type="expression" dxfId="2078" priority="50" stopIfTrue="1">
      <formula>#REF!="DLN"</formula>
    </cfRule>
  </conditionalFormatting>
  <conditionalFormatting sqref="A13:A50">
    <cfRule type="expression" dxfId="2077" priority="49" stopIfTrue="1">
      <formula>#REF!="DLN"</formula>
    </cfRule>
  </conditionalFormatting>
  <conditionalFormatting sqref="AE2">
    <cfRule type="expression" dxfId="2076" priority="46" stopIfTrue="1">
      <formula>#REF!="DLN"</formula>
    </cfRule>
  </conditionalFormatting>
  <conditionalFormatting sqref="AE2">
    <cfRule type="expression" dxfId="2075" priority="45" stopIfTrue="1">
      <formula>#REF!="DLN"</formula>
    </cfRule>
  </conditionalFormatting>
  <conditionalFormatting sqref="AE3:AE50">
    <cfRule type="expression" dxfId="2074" priority="44" stopIfTrue="1">
      <formula>#REF!="DLN"</formula>
    </cfRule>
  </conditionalFormatting>
  <conditionalFormatting sqref="AE3:AE50">
    <cfRule type="expression" dxfId="2073" priority="43" stopIfTrue="1">
      <formula>#REF!="DLN"</formula>
    </cfRule>
  </conditionalFormatting>
  <conditionalFormatting sqref="AG52:AH52">
    <cfRule type="cellIs" dxfId="2072" priority="39" stopIfTrue="1" operator="greaterThanOrEqual">
      <formula>0.801</formula>
    </cfRule>
    <cfRule type="cellIs" dxfId="2071" priority="40" stopIfTrue="1" operator="between">
      <formula>0.61</formula>
      <formula>0.8</formula>
    </cfRule>
    <cfRule type="cellIs" dxfId="2070" priority="41" stopIfTrue="1" operator="between">
      <formula>0</formula>
      <formula>0.6</formula>
    </cfRule>
  </conditionalFormatting>
  <conditionalFormatting sqref="AG52:AH52">
    <cfRule type="expression" dxfId="2069" priority="42" stopIfTrue="1">
      <formula>#REF!="DLN"</formula>
    </cfRule>
  </conditionalFormatting>
  <conditionalFormatting sqref="AK52:AL52">
    <cfRule type="cellIs" dxfId="2068" priority="35" stopIfTrue="1" operator="greaterThanOrEqual">
      <formula>0.801</formula>
    </cfRule>
    <cfRule type="cellIs" dxfId="2067" priority="36" stopIfTrue="1" operator="between">
      <formula>0.61</formula>
      <formula>0.8</formula>
    </cfRule>
    <cfRule type="cellIs" dxfId="2066" priority="37" stopIfTrue="1" operator="between">
      <formula>0</formula>
      <formula>0.6</formula>
    </cfRule>
  </conditionalFormatting>
  <conditionalFormatting sqref="AK52:AL52">
    <cfRule type="expression" dxfId="2065" priority="38" stopIfTrue="1">
      <formula>#REF!="DLN"</formula>
    </cfRule>
  </conditionalFormatting>
  <conditionalFormatting sqref="AN3:AN50">
    <cfRule type="expression" dxfId="2064" priority="34" stopIfTrue="1">
      <formula>#REF!="DLN"</formula>
    </cfRule>
  </conditionalFormatting>
  <conditionalFormatting sqref="AN3:AN50">
    <cfRule type="expression" dxfId="2063" priority="33" stopIfTrue="1">
      <formula>#REF!="DLN"</formula>
    </cfRule>
  </conditionalFormatting>
  <conditionalFormatting sqref="AM2">
    <cfRule type="expression" dxfId="2062" priority="32" stopIfTrue="1">
      <formula>#REF!="DLN"</formula>
    </cfRule>
  </conditionalFormatting>
  <conditionalFormatting sqref="AM2">
    <cfRule type="expression" dxfId="2061" priority="31" stopIfTrue="1">
      <formula>#REF!="DLN"</formula>
    </cfRule>
  </conditionalFormatting>
  <conditionalFormatting sqref="AM3:AM50">
    <cfRule type="expression" dxfId="2060" priority="30" stopIfTrue="1">
      <formula>#REF!="DLN"</formula>
    </cfRule>
  </conditionalFormatting>
  <conditionalFormatting sqref="AM3:AM50">
    <cfRule type="expression" dxfId="2059" priority="29" stopIfTrue="1">
      <formula>#REF!="DLN"</formula>
    </cfRule>
  </conditionalFormatting>
  <conditionalFormatting sqref="AO52:AP52">
    <cfRule type="cellIs" dxfId="2058" priority="25" stopIfTrue="1" operator="greaterThanOrEqual">
      <formula>0.801</formula>
    </cfRule>
    <cfRule type="cellIs" dxfId="2057" priority="26" stopIfTrue="1" operator="between">
      <formula>0.61</formula>
      <formula>0.8</formula>
    </cfRule>
    <cfRule type="cellIs" dxfId="2056" priority="27" stopIfTrue="1" operator="between">
      <formula>0</formula>
      <formula>0.6</formula>
    </cfRule>
  </conditionalFormatting>
  <conditionalFormatting sqref="AO52:AP52">
    <cfRule type="expression" dxfId="2055" priority="28" stopIfTrue="1">
      <formula>#REF!="DLN"</formula>
    </cfRule>
  </conditionalFormatting>
  <conditionalFormatting sqref="AS52:AT52">
    <cfRule type="cellIs" dxfId="2054" priority="21" stopIfTrue="1" operator="greaterThanOrEqual">
      <formula>0.801</formula>
    </cfRule>
    <cfRule type="cellIs" dxfId="2053" priority="22" stopIfTrue="1" operator="between">
      <formula>0.61</formula>
      <formula>0.8</formula>
    </cfRule>
    <cfRule type="cellIs" dxfId="2052" priority="23" stopIfTrue="1" operator="between">
      <formula>0</formula>
      <formula>0.6</formula>
    </cfRule>
  </conditionalFormatting>
  <conditionalFormatting sqref="AS52:AT52">
    <cfRule type="expression" dxfId="2051" priority="24" stopIfTrue="1">
      <formula>#REF!="DLN"</formula>
    </cfRule>
  </conditionalFormatting>
  <conditionalFormatting sqref="AV3:AV50">
    <cfRule type="expression" dxfId="2050" priority="20" stopIfTrue="1">
      <formula>#REF!="DLN"</formula>
    </cfRule>
  </conditionalFormatting>
  <conditionalFormatting sqref="AV3:AV50">
    <cfRule type="expression" dxfId="2049" priority="19" stopIfTrue="1">
      <formula>#REF!="DLN"</formula>
    </cfRule>
  </conditionalFormatting>
  <conditionalFormatting sqref="AU2">
    <cfRule type="expression" dxfId="2048" priority="18" stopIfTrue="1">
      <formula>#REF!="DLN"</formula>
    </cfRule>
  </conditionalFormatting>
  <conditionalFormatting sqref="AU2">
    <cfRule type="expression" dxfId="2047" priority="17" stopIfTrue="1">
      <formula>#REF!="DLN"</formula>
    </cfRule>
  </conditionalFormatting>
  <conditionalFormatting sqref="AU3:AU50">
    <cfRule type="expression" dxfId="2046" priority="16" stopIfTrue="1">
      <formula>#REF!="DLN"</formula>
    </cfRule>
  </conditionalFormatting>
  <conditionalFormatting sqref="AU3:AU50">
    <cfRule type="expression" dxfId="2045" priority="15" stopIfTrue="1">
      <formula>#REF!="DLN"</formula>
    </cfRule>
  </conditionalFormatting>
  <conditionalFormatting sqref="AW52:AX52">
    <cfRule type="cellIs" dxfId="2044" priority="11" stopIfTrue="1" operator="greaterThanOrEqual">
      <formula>0.801</formula>
    </cfRule>
    <cfRule type="cellIs" dxfId="2043" priority="12" stopIfTrue="1" operator="between">
      <formula>0.61</formula>
      <formula>0.8</formula>
    </cfRule>
    <cfRule type="cellIs" dxfId="2042" priority="13" stopIfTrue="1" operator="between">
      <formula>0</formula>
      <formula>0.6</formula>
    </cfRule>
  </conditionalFormatting>
  <conditionalFormatting sqref="AW52:AX52">
    <cfRule type="expression" dxfId="2041" priority="14" stopIfTrue="1">
      <formula>#REF!="DLN"</formula>
    </cfRule>
  </conditionalFormatting>
  <conditionalFormatting sqref="A10:A11">
    <cfRule type="cellIs" dxfId="2034" priority="3" operator="equal">
      <formula>#REF!</formula>
    </cfRule>
  </conditionalFormatting>
  <conditionalFormatting sqref="A3:A9">
    <cfRule type="cellIs" dxfId="2033" priority="4" operator="equal">
      <formula>#REF!</formula>
    </cfRule>
  </conditionalFormatting>
  <conditionalFormatting sqref="A12">
    <cfRule type="cellIs" dxfId="2031" priority="1" operator="equal">
      <formula>#REF!</formula>
    </cfRule>
  </conditionalFormatting>
  <dataValidations count="1">
    <dataValidation type="list" allowBlank="1" showInputMessage="1" showErrorMessage="1" sqref="A3:A50" xr:uid="{4F985821-D268-4730-9391-AE52A892924B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ED344D-F75B-4533-A72C-00DFE2ADC778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AF9B-B5C8-4589-86B4-B6FF95BE17CF}">
  <sheetPr codeName="Sheet10"/>
  <dimension ref="A1:AX62"/>
  <sheetViews>
    <sheetView workbookViewId="0">
      <selection activeCell="J3" sqref="J3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89" t="s">
        <v>320</v>
      </c>
      <c r="B3" s="24" t="s">
        <v>438</v>
      </c>
      <c r="C3" s="20" t="str">
        <f>IFERROR(VLOOKUP(A3,'Parts List and Volumes'!C2:D194,2,FALSE),"")</f>
        <v>NJ000662ACF20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92">
        <v>23.5</v>
      </c>
      <c r="G3" s="40">
        <f>IFERROR(VLOOKUP($A3,'Parts List and Volumes'!$C$2:$W194,5,FALSE),"")</f>
        <v>42000</v>
      </c>
      <c r="H3" s="41">
        <f>IFERROR(VLOOKUP($A3,'Parts List and Volumes'!$C$2:$W194,6,FALSE),"")</f>
        <v>50000</v>
      </c>
      <c r="I3" s="42">
        <f>IFERROR((($F3*G3)/SingleEndAssumption),"")</f>
        <v>6.7197712418300651E-2</v>
      </c>
      <c r="J3" s="43">
        <f>IFERROR((($F3*H3)/SingleEndAssumption),"")</f>
        <v>7.9997276688453162E-2</v>
      </c>
      <c r="K3" s="44">
        <f>IFERROR(VLOOKUP($A3,'Parts List and Volumes'!$C$2:$W194,7,FALSE),"")</f>
        <v>0</v>
      </c>
      <c r="L3" s="45">
        <f>IFERROR(VLOOKUP($A3,'Parts List and Volumes'!$C$2:$W194,8,FALSE),"")</f>
        <v>60000</v>
      </c>
      <c r="M3" s="46">
        <f t="shared" ref="M3:N50" si="0">IFERROR((($F3*K3)/FourHeadAssumption),"")</f>
        <v>0</v>
      </c>
      <c r="N3" s="47">
        <f t="shared" si="0"/>
        <v>0.10378025083907437</v>
      </c>
      <c r="O3" s="41">
        <f>IFERROR(VLOOKUP($A3,'Parts List and Volumes'!$C$2:$W194,9,FALSE),"")</f>
        <v>0</v>
      </c>
      <c r="P3" s="41">
        <f>IFERROR(VLOOKUP($A3,'Parts List and Volumes'!$C$2:$W194,10,FALSE),"")</f>
        <v>54000</v>
      </c>
      <c r="Q3" s="42">
        <f>IFERROR((($F3*O3)/SingleEndAssumption),"")</f>
        <v>0</v>
      </c>
      <c r="R3" s="43">
        <f>IFERROR((($F3*P3)/SingleEndAssumption),"")</f>
        <v>8.639705882352941E-2</v>
      </c>
      <c r="S3" s="44">
        <f>IFERROR(VLOOKUP($A3,'Parts List and Volumes'!$C$2:$W194,11,FALSE),"")</f>
        <v>0</v>
      </c>
      <c r="T3" s="45">
        <f>IFERROR(VLOOKUP($A3,'Parts List and Volumes'!$C$2:$W194,12,FALSE),"")</f>
        <v>54000</v>
      </c>
      <c r="U3" s="46">
        <f t="shared" ref="U3:V50" si="1">IFERROR((($F3*S3)/FourHeadAssumption),"")</f>
        <v>0</v>
      </c>
      <c r="V3" s="47">
        <f t="shared" si="1"/>
        <v>9.3402225755166934E-2</v>
      </c>
      <c r="W3" s="40">
        <f>IFERROR(VLOOKUP($A3,'Parts List and Volumes'!$C$2:$W194,13,FALSE),"")</f>
        <v>0</v>
      </c>
      <c r="X3" s="41">
        <f>IFERROR(VLOOKUP($A3,'Parts List and Volumes'!$C$2:$W194,14,FALSE),"")</f>
        <v>54000</v>
      </c>
      <c r="Y3" s="42">
        <f>IFERROR((($F3*W3)/SingleEndAssumption),"")</f>
        <v>0</v>
      </c>
      <c r="Z3" s="43">
        <f>IFERROR((($F3*X3)/SingleEndAssumption),"")</f>
        <v>8.639705882352941E-2</v>
      </c>
      <c r="AA3" s="49">
        <f>IFERROR(VLOOKUP($A3,'Parts List and Volumes'!$C$2:$W194,15,FALSE),"")</f>
        <v>0</v>
      </c>
      <c r="AB3" s="50">
        <f>IFERROR(VLOOKUP($A3,'Parts List and Volumes'!$C$2:$W194,16,FALSE),"")</f>
        <v>54000</v>
      </c>
      <c r="AC3" s="46">
        <f t="shared" ref="AC3:AD50" si="2">IFERROR((($F3*AA3)/FourHeadAssumption),"")</f>
        <v>0</v>
      </c>
      <c r="AD3" s="47">
        <f t="shared" si="2"/>
        <v>9.3402225755166934E-2</v>
      </c>
      <c r="AE3" s="40">
        <f>IFERROR(VLOOKUP($A3,'Parts List and Volumes'!$C$2:$W194,17,FALSE),"")</f>
        <v>0</v>
      </c>
      <c r="AF3" s="41">
        <f>IFERROR(VLOOKUP($A3,'Parts List and Volumes'!$C$2:$W194,18,FALSE),"")</f>
        <v>54000</v>
      </c>
      <c r="AG3" s="42">
        <f>IFERROR((($F3*AE3)/SingleEndAssumption),"")</f>
        <v>0</v>
      </c>
      <c r="AH3" s="43">
        <f>IFERROR((($F3*AF3)/SingleEndAssumption),"")</f>
        <v>8.639705882352941E-2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46">
        <f t="shared" ref="AK3:AL50" si="3">IFERROR((($F3*AI3)/FourHeadAssumption),"")</f>
        <v>0</v>
      </c>
      <c r="AL3" s="47">
        <f t="shared" si="3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2">
        <f>IFERROR((($F3*AM3)/SingleEndAssumption),"")</f>
        <v>0</v>
      </c>
      <c r="AP3" s="43" t="str">
        <f>IFERROR((($F3*AN3)/SingleEndAssumption),"")</f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46" t="str">
        <f t="shared" ref="AS3:AT50" si="4">IFERROR((($F3*AQ3)/FourHeadAssumption),"")</f>
        <v/>
      </c>
      <c r="AT3" s="47" t="str">
        <f t="shared" si="4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2" t="str">
        <f>IFERROR((($F3*AU3)/SingleEndAssumption),"")</f>
        <v/>
      </c>
      <c r="AX3" s="43" t="str">
        <f>IFERROR((($F3*AV3)/SingleEndAssumption),"")</f>
        <v/>
      </c>
    </row>
    <row r="4" spans="1:50" x14ac:dyDescent="0.25">
      <c r="A4" s="89" t="s">
        <v>320</v>
      </c>
      <c r="B4" s="24" t="s">
        <v>438</v>
      </c>
      <c r="C4" s="20" t="str">
        <f>IFERROR(VLOOKUP(A4,'Parts List and Volumes'!C3:D195,2,FALSE),"")</f>
        <v>NJ000662ACF20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92">
        <v>28.3</v>
      </c>
      <c r="G4" s="40">
        <f>IFERROR(VLOOKUP($A4,'Parts List and Volumes'!$C$2:$W195,5,FALSE),"")</f>
        <v>42000</v>
      </c>
      <c r="H4" s="41">
        <f>IFERROR(VLOOKUP($A4,'Parts List and Volumes'!$C$2:$W195,6,FALSE),"")</f>
        <v>50000</v>
      </c>
      <c r="I4" s="42">
        <f>IFERROR((($F4*G4)/SingleEndAssumption),"")</f>
        <v>8.0923202614379089E-2</v>
      </c>
      <c r="J4" s="43">
        <f>IFERROR((($F4*H4)/SingleEndAssumption),"")</f>
        <v>9.6337145969498911E-2</v>
      </c>
      <c r="K4" s="44">
        <f>IFERROR(VLOOKUP($A4,'Parts List and Volumes'!$C$2:$W195,7,FALSE),"")</f>
        <v>0</v>
      </c>
      <c r="L4" s="45">
        <f>IFERROR(VLOOKUP($A4,'Parts List and Volumes'!$C$2:$W195,8,FALSE),"")</f>
        <v>60000</v>
      </c>
      <c r="M4" s="46">
        <f t="shared" si="0"/>
        <v>0</v>
      </c>
      <c r="N4" s="47">
        <f t="shared" si="0"/>
        <v>0.12497791909556616</v>
      </c>
      <c r="O4" s="41">
        <f>IFERROR(VLOOKUP($A4,'Parts List and Volumes'!$C$2:$W195,9,FALSE),"")</f>
        <v>0</v>
      </c>
      <c r="P4" s="41">
        <f>IFERROR(VLOOKUP($A4,'Parts List and Volumes'!$C$2:$W195,10,FALSE),"")</f>
        <v>54000</v>
      </c>
      <c r="Q4" s="42">
        <f>IFERROR((($F4*O4)/SingleEndAssumption),"")</f>
        <v>0</v>
      </c>
      <c r="R4" s="43">
        <f>IFERROR((($F4*P4)/SingleEndAssumption),"")</f>
        <v>0.10404411764705883</v>
      </c>
      <c r="S4" s="44">
        <f>IFERROR(VLOOKUP($A4,'Parts List and Volumes'!$C$2:$W195,11,FALSE),"")</f>
        <v>0</v>
      </c>
      <c r="T4" s="45">
        <f>IFERROR(VLOOKUP($A4,'Parts List and Volumes'!$C$2:$W195,12,FALSE),"")</f>
        <v>54000</v>
      </c>
      <c r="U4" s="46">
        <f t="shared" si="1"/>
        <v>0</v>
      </c>
      <c r="V4" s="47">
        <f t="shared" si="1"/>
        <v>0.11248012718600954</v>
      </c>
      <c r="W4" s="40">
        <f>IFERROR(VLOOKUP($A4,'Parts List and Volumes'!$C$2:$W195,13,FALSE),"")</f>
        <v>0</v>
      </c>
      <c r="X4" s="41">
        <f>IFERROR(VLOOKUP($A4,'Parts List and Volumes'!$C$2:$W195,14,FALSE),"")</f>
        <v>54000</v>
      </c>
      <c r="Y4" s="42">
        <f>IFERROR((($F4*W4)/SingleEndAssumption),"")</f>
        <v>0</v>
      </c>
      <c r="Z4" s="43">
        <f>IFERROR((($F4*X4)/SingleEndAssumption),"")</f>
        <v>0.10404411764705883</v>
      </c>
      <c r="AA4" s="49">
        <f>IFERROR(VLOOKUP($A4,'Parts List and Volumes'!$C$2:$W195,15,FALSE),"")</f>
        <v>0</v>
      </c>
      <c r="AB4" s="50">
        <f>IFERROR(VLOOKUP($A4,'Parts List and Volumes'!$C$2:$W195,16,FALSE),"")</f>
        <v>54000</v>
      </c>
      <c r="AC4" s="46">
        <f t="shared" si="2"/>
        <v>0</v>
      </c>
      <c r="AD4" s="47">
        <f t="shared" si="2"/>
        <v>0.11248012718600954</v>
      </c>
      <c r="AE4" s="40">
        <f>IFERROR(VLOOKUP($A4,'Parts List and Volumes'!$C$2:$W195,17,FALSE),"")</f>
        <v>0</v>
      </c>
      <c r="AF4" s="41">
        <f>IFERROR(VLOOKUP($A4,'Parts List and Volumes'!$C$2:$W195,18,FALSE),"")</f>
        <v>54000</v>
      </c>
      <c r="AG4" s="42">
        <f>IFERROR((($F4*AE4)/SingleEndAssumption),"")</f>
        <v>0</v>
      </c>
      <c r="AH4" s="43">
        <f>IFERROR((($F4*AF4)/SingleEndAssumption),"")</f>
        <v>0.10404411764705883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46">
        <f t="shared" si="3"/>
        <v>0</v>
      </c>
      <c r="AL4" s="47">
        <f t="shared" si="3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2">
        <f>IFERROR((($F4*AM4)/SingleEndAssumption),"")</f>
        <v>0</v>
      </c>
      <c r="AP4" s="43" t="str">
        <f>IFERROR((($F4*AN4)/SingleEndAssumption),"")</f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46" t="str">
        <f t="shared" si="4"/>
        <v/>
      </c>
      <c r="AT4" s="47" t="str">
        <f t="shared" si="4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2" t="str">
        <f>IFERROR((($F4*AU4)/SingleEndAssumption),"")</f>
        <v/>
      </c>
      <c r="AX4" s="43" t="str">
        <f>IFERROR((($F4*AV4)/SingleEndAssumption),"")</f>
        <v/>
      </c>
    </row>
    <row r="5" spans="1:50" x14ac:dyDescent="0.25">
      <c r="A5" s="90" t="s">
        <v>311</v>
      </c>
      <c r="B5" s="24" t="s">
        <v>438</v>
      </c>
      <c r="C5" s="20" t="str">
        <f>IFERROR(VLOOKUP(A5,'Parts List and Volumes'!C4:D196,2,FALSE),"")</f>
        <v>NJ000693ABF20</v>
      </c>
      <c r="D5" s="39">
        <f>IFERROR(IF(VLOOKUP($A5,'Parts List and Volumes'!$C4:$F266,3,FALSE)=0,"",VLOOKUP(A5,'Parts List and Volumes'!C4:F266,3,FALSE)),"")</f>
        <v>4.76</v>
      </c>
      <c r="E5" s="39" t="str">
        <f>IFERROR(IF(VLOOKUP($A5,'Parts List and Volumes'!$C4:$F266,4,FALSE)=0,"",VLOOKUP(B5,'Parts List and Volumes'!D4:G266,3,FALSE)),"")</f>
        <v/>
      </c>
      <c r="F5" s="92">
        <v>15</v>
      </c>
      <c r="G5" s="40">
        <f>IFERROR(VLOOKUP($A5,'Parts List and Volumes'!$C$2:$W196,5,FALSE),"")</f>
        <v>38400</v>
      </c>
      <c r="H5" s="41">
        <f>IFERROR(VLOOKUP($A5,'Parts List and Volumes'!$C$2:$W196,6,FALSE),"")</f>
        <v>50000</v>
      </c>
      <c r="I5" s="42">
        <f>IFERROR((($F5*G5)/SingleEndAssumption),"")</f>
        <v>3.9215686274509803E-2</v>
      </c>
      <c r="J5" s="43">
        <f>IFERROR((($F5*H5)/SingleEndAssumption),"")</f>
        <v>5.1062091503267973E-2</v>
      </c>
      <c r="K5" s="44">
        <f>IFERROR(VLOOKUP($A5,'Parts List and Volumes'!$C$2:$W196,7,FALSE),"")</f>
        <v>0</v>
      </c>
      <c r="L5" s="45">
        <f>IFERROR(VLOOKUP($A5,'Parts List and Volumes'!$C$2:$W196,8,FALSE),"")</f>
        <v>60000</v>
      </c>
      <c r="M5" s="46">
        <f t="shared" si="0"/>
        <v>0</v>
      </c>
      <c r="N5" s="47">
        <f t="shared" si="0"/>
        <v>6.6242713301536832E-2</v>
      </c>
      <c r="O5" s="41">
        <f>IFERROR(VLOOKUP($A5,'Parts List and Volumes'!$C$2:$W196,9,FALSE),"")</f>
        <v>0</v>
      </c>
      <c r="P5" s="41">
        <f>IFERROR(VLOOKUP($A5,'Parts List and Volumes'!$C$2:$W196,10,FALSE),"")</f>
        <v>54000</v>
      </c>
      <c r="Q5" s="42">
        <f>IFERROR((($F5*O5)/SingleEndAssumption),"")</f>
        <v>0</v>
      </c>
      <c r="R5" s="43">
        <f>IFERROR((($F5*P5)/SingleEndAssumption),"")</f>
        <v>5.514705882352941E-2</v>
      </c>
      <c r="S5" s="44">
        <f>IFERROR(VLOOKUP($A5,'Parts List and Volumes'!$C$2:$W196,11,FALSE),"")</f>
        <v>0</v>
      </c>
      <c r="T5" s="45">
        <f>IFERROR(VLOOKUP($A5,'Parts List and Volumes'!$C$2:$W196,12,FALSE),"")</f>
        <v>54000</v>
      </c>
      <c r="U5" s="46">
        <f t="shared" si="1"/>
        <v>0</v>
      </c>
      <c r="V5" s="47">
        <f t="shared" si="1"/>
        <v>5.9618441971383149E-2</v>
      </c>
      <c r="W5" s="40">
        <f>IFERROR(VLOOKUP($A5,'Parts List and Volumes'!$C$2:$W196,13,FALSE),"")</f>
        <v>0</v>
      </c>
      <c r="X5" s="41">
        <f>IFERROR(VLOOKUP($A5,'Parts List and Volumes'!$C$2:$W196,14,FALSE),"")</f>
        <v>54000</v>
      </c>
      <c r="Y5" s="42">
        <f>IFERROR((($F5*W5)/SingleEndAssumption),"")</f>
        <v>0</v>
      </c>
      <c r="Z5" s="43">
        <f>IFERROR((($F5*X5)/SingleEndAssumption),"")</f>
        <v>5.514705882352941E-2</v>
      </c>
      <c r="AA5" s="49">
        <f>IFERROR(VLOOKUP($A5,'Parts List and Volumes'!$C$2:$W196,15,FALSE),"")</f>
        <v>0</v>
      </c>
      <c r="AB5" s="50">
        <f>IFERROR(VLOOKUP($A5,'Parts List and Volumes'!$C$2:$W196,16,FALSE),"")</f>
        <v>54000</v>
      </c>
      <c r="AC5" s="46">
        <f t="shared" si="2"/>
        <v>0</v>
      </c>
      <c r="AD5" s="47">
        <f t="shared" si="2"/>
        <v>5.9618441971383149E-2</v>
      </c>
      <c r="AE5" s="40">
        <f>IFERROR(VLOOKUP($A5,'Parts List and Volumes'!$C$2:$W196,17,FALSE),"")</f>
        <v>0</v>
      </c>
      <c r="AF5" s="41">
        <f>IFERROR(VLOOKUP($A5,'Parts List and Volumes'!$C$2:$W196,18,FALSE),"")</f>
        <v>54000</v>
      </c>
      <c r="AG5" s="42">
        <f>IFERROR((($F5*AE5)/SingleEndAssumption),"")</f>
        <v>0</v>
      </c>
      <c r="AH5" s="43">
        <f>IFERROR((($F5*AF5)/SingleEndAssumption),"")</f>
        <v>5.514705882352941E-2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46">
        <f t="shared" si="3"/>
        <v>0</v>
      </c>
      <c r="AL5" s="47">
        <f t="shared" si="3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2">
        <f>IFERROR((($F5*AM5)/SingleEndAssumption),"")</f>
        <v>0</v>
      </c>
      <c r="AP5" s="43" t="str">
        <f>IFERROR((($F5*AN5)/SingleEndAssumption),"")</f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46" t="str">
        <f t="shared" si="4"/>
        <v/>
      </c>
      <c r="AT5" s="47" t="str">
        <f t="shared" si="4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2" t="str">
        <f>IFERROR((($F5*AU5)/SingleEndAssumption),"")</f>
        <v/>
      </c>
      <c r="AX5" s="43" t="str">
        <f>IFERROR((($F5*AV5)/SingleEndAssumption),"")</f>
        <v/>
      </c>
    </row>
    <row r="6" spans="1:50" x14ac:dyDescent="0.25">
      <c r="A6" s="90" t="s">
        <v>313</v>
      </c>
      <c r="B6" s="24" t="s">
        <v>438</v>
      </c>
      <c r="C6" s="20" t="str">
        <f>IFERROR(VLOOKUP(A6,'Parts List and Volumes'!C5:D197,2,FALSE),"")</f>
        <v>NJ000694AAF20</v>
      </c>
      <c r="D6" s="39">
        <f>IFERROR(IF(VLOOKUP($A6,'Parts List and Volumes'!$C5:$F266,3,FALSE)=0,"",VLOOKUP(A6,'Parts List and Volumes'!C5:F266,3,FALSE)),"")</f>
        <v>4.76</v>
      </c>
      <c r="E6" s="39" t="str">
        <f>IFERROR(IF(VLOOKUP($A6,'Parts List and Volumes'!$C5:$F266,4,FALSE)=0,"",VLOOKUP(B6,'Parts List and Volumes'!D5:G266,3,FALSE)),"")</f>
        <v/>
      </c>
      <c r="F6" s="92">
        <v>37</v>
      </c>
      <c r="G6" s="40">
        <f>IFERROR(VLOOKUP($A6,'Parts List and Volumes'!$C$2:$W197,5,FALSE),"")</f>
        <v>42000</v>
      </c>
      <c r="H6" s="41">
        <f>IFERROR(VLOOKUP($A6,'Parts List and Volumes'!$C$2:$W197,6,FALSE),"")</f>
        <v>50000</v>
      </c>
      <c r="I6" s="42">
        <f>IFERROR((($F6*G6)/SingleEndAssumption),"")</f>
        <v>0.10580065359477124</v>
      </c>
      <c r="J6" s="43">
        <f>IFERROR((($F6*H6)/SingleEndAssumption),"")</f>
        <v>0.12595315904139434</v>
      </c>
      <c r="K6" s="58">
        <f>IFERROR(VLOOKUP($A6,'Parts List and Volumes'!$C$2:$W197,7,FALSE),"")</f>
        <v>0</v>
      </c>
      <c r="L6" s="45">
        <f>IFERROR(VLOOKUP($A6,'Parts List and Volumes'!$C$2:$W197,8,FALSE),"")</f>
        <v>60000</v>
      </c>
      <c r="M6" s="46">
        <f t="shared" si="0"/>
        <v>0</v>
      </c>
      <c r="N6" s="47">
        <f t="shared" si="0"/>
        <v>0.16339869281045752</v>
      </c>
      <c r="O6" s="41">
        <f>IFERROR(VLOOKUP($A6,'Parts List and Volumes'!$C$2:$W197,9,FALSE),"")</f>
        <v>0</v>
      </c>
      <c r="P6" s="41">
        <f>IFERROR(VLOOKUP($A6,'Parts List and Volumes'!$C$2:$W197,10,FALSE),"")</f>
        <v>54000</v>
      </c>
      <c r="Q6" s="42">
        <f>IFERROR((($F6*O6)/SingleEndAssumption),"")</f>
        <v>0</v>
      </c>
      <c r="R6" s="43">
        <f>IFERROR((($F6*P6)/SingleEndAssumption),"")</f>
        <v>0.13602941176470587</v>
      </c>
      <c r="S6" s="44">
        <f>IFERROR(VLOOKUP($A6,'Parts List and Volumes'!$C$2:$W197,11,FALSE),"")</f>
        <v>0</v>
      </c>
      <c r="T6" s="45">
        <f>IFERROR(VLOOKUP($A6,'Parts List and Volumes'!$C$2:$W197,12,FALSE),"")</f>
        <v>54000</v>
      </c>
      <c r="U6" s="46">
        <f t="shared" si="1"/>
        <v>0</v>
      </c>
      <c r="V6" s="47">
        <f t="shared" si="1"/>
        <v>0.14705882352941177</v>
      </c>
      <c r="W6" s="40">
        <f>IFERROR(VLOOKUP($A6,'Parts List and Volumes'!$C$2:$W197,13,FALSE),"")</f>
        <v>0</v>
      </c>
      <c r="X6" s="41">
        <f>IFERROR(VLOOKUP($A6,'Parts List and Volumes'!$C$2:$W197,14,FALSE),"")</f>
        <v>54000</v>
      </c>
      <c r="Y6" s="42">
        <f>IFERROR((($F6*W6)/SingleEndAssumption),"")</f>
        <v>0</v>
      </c>
      <c r="Z6" s="43">
        <f>IFERROR((($F6*X6)/SingleEndAssumption),"")</f>
        <v>0.13602941176470587</v>
      </c>
      <c r="AA6" s="49">
        <f>IFERROR(VLOOKUP($A6,'Parts List and Volumes'!$C$2:$W197,15,FALSE),"")</f>
        <v>0</v>
      </c>
      <c r="AB6" s="50">
        <f>IFERROR(VLOOKUP($A6,'Parts List and Volumes'!$C$2:$W197,16,FALSE),"")</f>
        <v>54000</v>
      </c>
      <c r="AC6" s="46">
        <f t="shared" si="2"/>
        <v>0</v>
      </c>
      <c r="AD6" s="47">
        <f t="shared" si="2"/>
        <v>0.14705882352941177</v>
      </c>
      <c r="AE6" s="40">
        <f>IFERROR(VLOOKUP($A6,'Parts List and Volumes'!$C$2:$W197,17,FALSE),"")</f>
        <v>0</v>
      </c>
      <c r="AF6" s="41">
        <f>IFERROR(VLOOKUP($A6,'Parts List and Volumes'!$C$2:$W197,18,FALSE),"")</f>
        <v>54000</v>
      </c>
      <c r="AG6" s="42">
        <f>IFERROR((($F6*AE6)/SingleEndAssumption),"")</f>
        <v>0</v>
      </c>
      <c r="AH6" s="43">
        <f>IFERROR((($F6*AF6)/SingleEndAssumption),"")</f>
        <v>0.13602941176470587</v>
      </c>
      <c r="AI6" s="49">
        <f>IFERROR(VLOOKUP($A6,'Parts List and Volumes'!$C$2:$W197,19,FALSE),"")</f>
        <v>0</v>
      </c>
      <c r="AJ6" s="50">
        <f>IFERROR(VLOOKUP($A6,'Parts List and Volumes'!$C$2:$W197,20,FALSE),"")</f>
        <v>0</v>
      </c>
      <c r="AK6" s="46">
        <f t="shared" si="3"/>
        <v>0</v>
      </c>
      <c r="AL6" s="47">
        <f t="shared" si="3"/>
        <v>0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2">
        <f>IFERROR((($F6*AM6)/SingleEndAssumption),"")</f>
        <v>0</v>
      </c>
      <c r="AP6" s="43" t="str">
        <f>IFERROR((($F6*AN6)/SingleEndAssumption),"")</f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46" t="str">
        <f t="shared" si="4"/>
        <v/>
      </c>
      <c r="AT6" s="47" t="str">
        <f t="shared" si="4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2" t="str">
        <f>IFERROR((($F6*AU6)/SingleEndAssumption),"")</f>
        <v/>
      </c>
      <c r="AX6" s="43" t="str">
        <f>IFERROR((($F6*AV6)/SingleEndAssumption),"")</f>
        <v/>
      </c>
    </row>
    <row r="7" spans="1:50" x14ac:dyDescent="0.25">
      <c r="A7" s="90" t="s">
        <v>318</v>
      </c>
      <c r="B7" s="24" t="s">
        <v>439</v>
      </c>
      <c r="C7" s="20" t="str">
        <f>IFERROR(VLOOKUP(A7,'Parts List and Volumes'!C6:D198,2,FALSE),"")</f>
        <v>NJ000689ABF20</v>
      </c>
      <c r="D7" s="39">
        <f>IFERROR(IF(VLOOKUP($A7,'Parts List and Volumes'!$C6:$F266,3,FALSE)=0,"",VLOOKUP(A7,'Parts List and Volumes'!C6:F266,3,FALSE)),"")</f>
        <v>4.76</v>
      </c>
      <c r="E7" s="39" t="str">
        <f>IFERROR(IF(VLOOKUP($A7,'Parts List and Volumes'!$C6:$F266,4,FALSE)=0,"",VLOOKUP(B7,'Parts List and Volumes'!D6:G266,3,FALSE)),"")</f>
        <v/>
      </c>
      <c r="F7" s="92">
        <v>59</v>
      </c>
      <c r="G7" s="40">
        <f>IFERROR(VLOOKUP($A7,'Parts List and Volumes'!$C$2:$W198,5,FALSE),"")</f>
        <v>16800</v>
      </c>
      <c r="H7" s="41">
        <f>IFERROR(VLOOKUP($A7,'Parts List and Volumes'!$C$2:$W198,6,FALSE),"")</f>
        <v>20000</v>
      </c>
      <c r="I7" s="42">
        <f>IFERROR((($F7*G7)/SingleEndAssumption),"")</f>
        <v>6.748366013071895E-2</v>
      </c>
      <c r="J7" s="43">
        <f>IFERROR((($F7*H7)/SingleEndAssumption),"")</f>
        <v>8.0337690631808276E-2</v>
      </c>
      <c r="K7" s="58">
        <f>IFERROR(VLOOKUP($A7,'Parts List and Volumes'!$C$2:$W198,7,FALSE),"")</f>
        <v>0</v>
      </c>
      <c r="L7" s="45">
        <f>IFERROR(VLOOKUP($A7,'Parts List and Volumes'!$C$2:$W198,8,FALSE),"")</f>
        <v>30000</v>
      </c>
      <c r="M7" s="46">
        <f t="shared" si="0"/>
        <v>0</v>
      </c>
      <c r="N7" s="47">
        <f t="shared" si="0"/>
        <v>0.13027733615968909</v>
      </c>
      <c r="O7" s="41">
        <f>IFERROR(VLOOKUP($A7,'Parts List and Volumes'!$C$2:$W198,9,FALSE),"")</f>
        <v>0</v>
      </c>
      <c r="P7" s="41">
        <f>IFERROR(VLOOKUP($A7,'Parts List and Volumes'!$C$2:$W198,10,FALSE),"")</f>
        <v>27500</v>
      </c>
      <c r="Q7" s="42">
        <f>IFERROR((($F7*O7)/SingleEndAssumption),"")</f>
        <v>0</v>
      </c>
      <c r="R7" s="43">
        <f>IFERROR((($F7*P7)/SingleEndAssumption),"")</f>
        <v>0.11046432461873638</v>
      </c>
      <c r="S7" s="44">
        <f>IFERROR(VLOOKUP($A7,'Parts List and Volumes'!$C$2:$W198,11,FALSE),"")</f>
        <v>0</v>
      </c>
      <c r="T7" s="45">
        <f>IFERROR(VLOOKUP($A7,'Parts List and Volumes'!$C$2:$W198,12,FALSE),"")</f>
        <v>27500</v>
      </c>
      <c r="U7" s="46">
        <f t="shared" si="1"/>
        <v>0</v>
      </c>
      <c r="V7" s="47">
        <f t="shared" si="1"/>
        <v>0.11942089147971501</v>
      </c>
      <c r="W7" s="40">
        <f>IFERROR(VLOOKUP($A7,'Parts List and Volumes'!$C$2:$W198,13,FALSE),"")</f>
        <v>0</v>
      </c>
      <c r="X7" s="41">
        <f>IFERROR(VLOOKUP($A7,'Parts List and Volumes'!$C$2:$W198,14,FALSE),"")</f>
        <v>27500</v>
      </c>
      <c r="Y7" s="42">
        <f>IFERROR((($F7*W7)/SingleEndAssumption),"")</f>
        <v>0</v>
      </c>
      <c r="Z7" s="43">
        <f>IFERROR((($F7*X7)/SingleEndAssumption),"")</f>
        <v>0.11046432461873638</v>
      </c>
      <c r="AA7" s="49">
        <f>IFERROR(VLOOKUP($A7,'Parts List and Volumes'!$C$2:$W198,15,FALSE),"")</f>
        <v>0</v>
      </c>
      <c r="AB7" s="50">
        <f>IFERROR(VLOOKUP($A7,'Parts List and Volumes'!$C$2:$W198,16,FALSE),"")</f>
        <v>27500</v>
      </c>
      <c r="AC7" s="46">
        <f t="shared" si="2"/>
        <v>0</v>
      </c>
      <c r="AD7" s="47">
        <f t="shared" si="2"/>
        <v>0.11942089147971501</v>
      </c>
      <c r="AE7" s="40">
        <f>IFERROR(VLOOKUP($A7,'Parts List and Volumes'!$C$2:$W198,17,FALSE),"")</f>
        <v>0</v>
      </c>
      <c r="AF7" s="41">
        <f>IFERROR(VLOOKUP($A7,'Parts List and Volumes'!$C$2:$W198,18,FALSE),"")</f>
        <v>27500</v>
      </c>
      <c r="AG7" s="42">
        <f>IFERROR((($F7*AE7)/SingleEndAssumption),"")</f>
        <v>0</v>
      </c>
      <c r="AH7" s="43">
        <f>IFERROR((($F7*AF7)/SingleEndAssumption),"")</f>
        <v>0.11046432461873638</v>
      </c>
      <c r="AI7" s="49">
        <f>IFERROR(VLOOKUP($A7,'Parts List and Volumes'!$C$2:$W198,19,FALSE),"")</f>
        <v>0</v>
      </c>
      <c r="AJ7" s="50">
        <f>IFERROR(VLOOKUP($A7,'Parts List and Volumes'!$C$2:$W198,20,FALSE),"")</f>
        <v>0</v>
      </c>
      <c r="AK7" s="46">
        <f t="shared" si="3"/>
        <v>0</v>
      </c>
      <c r="AL7" s="47">
        <f t="shared" si="3"/>
        <v>0</v>
      </c>
      <c r="AM7" s="40">
        <f>IFERROR(VLOOKUP($A7,'Parts List and Volumes'!$C$2:$W198,21,FALSE),"")</f>
        <v>0</v>
      </c>
      <c r="AN7" s="41" t="str">
        <f>IFERROR(VLOOKUP($A7,'Parts List and Volumes'!$C$2:$W198,22,FALSE),"")</f>
        <v/>
      </c>
      <c r="AO7" s="42">
        <f>IFERROR((($F7*AM7)/SingleEndAssumption),"")</f>
        <v>0</v>
      </c>
      <c r="AP7" s="43" t="str">
        <f>IFERROR((($F7*AN7)/SingleEndAssumption),"")</f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46" t="str">
        <f t="shared" si="4"/>
        <v/>
      </c>
      <c r="AT7" s="47" t="str">
        <f t="shared" si="4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2" t="str">
        <f>IFERROR((($F7*AU7)/SingleEndAssumption),"")</f>
        <v/>
      </c>
      <c r="AX7" s="43" t="str">
        <f>IFERROR((($F7*AV7)/SingleEndAssumption),"")</f>
        <v/>
      </c>
    </row>
    <row r="8" spans="1:50" x14ac:dyDescent="0.25">
      <c r="A8" s="90" t="s">
        <v>330</v>
      </c>
      <c r="B8" s="24" t="s">
        <v>440</v>
      </c>
      <c r="C8" s="20" t="str">
        <f>IFERROR(VLOOKUP(A8,'Parts List and Volumes'!C7:D199,2,FALSE),"")</f>
        <v>NJ000692ABF20</v>
      </c>
      <c r="D8" s="39">
        <f>IFERROR(IF(VLOOKUP($A8,'Parts List and Volumes'!$C7:$F266,3,FALSE)=0,"",VLOOKUP(A8,'Parts List and Volumes'!C7:F266,3,FALSE)),"")</f>
        <v>4.76</v>
      </c>
      <c r="E8" s="39" t="str">
        <f>IFERROR(IF(VLOOKUP($A8,'Parts List and Volumes'!$C7:$F266,4,FALSE)=0,"",VLOOKUP(B8,'Parts List and Volumes'!D7:G266,3,FALSE)),"")</f>
        <v/>
      </c>
      <c r="F8" s="92">
        <v>53.2</v>
      </c>
      <c r="G8" s="40">
        <f>IFERROR(VLOOKUP($A8,'Parts List and Volumes'!$C$2:$W199,5,FALSE),"")</f>
        <v>22000</v>
      </c>
      <c r="H8" s="41">
        <f>IFERROR(VLOOKUP($A8,'Parts List and Volumes'!$C$2:$W199,6,FALSE),"")</f>
        <v>30000</v>
      </c>
      <c r="I8" s="42">
        <f>IFERROR((($F8*G8)/SingleEndAssumption),"")</f>
        <v>7.9684095860566448E-2</v>
      </c>
      <c r="J8" s="43">
        <f>IFERROR((($F8*H8)/SingleEndAssumption),"")</f>
        <v>0.10866013071895425</v>
      </c>
      <c r="K8" s="58">
        <f>IFERROR(VLOOKUP($A8,'Parts List and Volumes'!$C$2:$W199,7,FALSE),"")</f>
        <v>0</v>
      </c>
      <c r="L8" s="45">
        <f>IFERROR(VLOOKUP($A8,'Parts List and Volumes'!$C$2:$W199,8,FALSE),"")</f>
        <v>30000</v>
      </c>
      <c r="M8" s="46">
        <f t="shared" si="0"/>
        <v>0</v>
      </c>
      <c r="N8" s="47">
        <f t="shared" si="0"/>
        <v>0.11747041158805864</v>
      </c>
      <c r="O8" s="41">
        <f>IFERROR(VLOOKUP($A8,'Parts List and Volumes'!$C$2:$W199,9,FALSE),"")</f>
        <v>0</v>
      </c>
      <c r="P8" s="41">
        <f>IFERROR(VLOOKUP($A8,'Parts List and Volumes'!$C$2:$W199,10,FALSE),"")</f>
        <v>26500</v>
      </c>
      <c r="Q8" s="42">
        <f>IFERROR((($F8*O8)/SingleEndAssumption),"")</f>
        <v>0</v>
      </c>
      <c r="R8" s="43">
        <f>IFERROR((($F8*P8)/SingleEndAssumption),"")</f>
        <v>9.5983115468409583E-2</v>
      </c>
      <c r="S8" s="44">
        <f>IFERROR(VLOOKUP($A8,'Parts List and Volumes'!$C$2:$W199,11,FALSE),"")</f>
        <v>0</v>
      </c>
      <c r="T8" s="45">
        <f>IFERROR(VLOOKUP($A8,'Parts List and Volumes'!$C$2:$W199,12,FALSE),"")</f>
        <v>26500</v>
      </c>
      <c r="U8" s="46">
        <f t="shared" si="1"/>
        <v>0</v>
      </c>
      <c r="V8" s="47">
        <f t="shared" si="1"/>
        <v>0.10376553023611847</v>
      </c>
      <c r="W8" s="40">
        <f>IFERROR(VLOOKUP($A8,'Parts List and Volumes'!$C$2:$W199,13,FALSE),"")</f>
        <v>0</v>
      </c>
      <c r="X8" s="41">
        <f>IFERROR(VLOOKUP($A8,'Parts List and Volumes'!$C$2:$W199,14,FALSE),"")</f>
        <v>26500</v>
      </c>
      <c r="Y8" s="42">
        <f>IFERROR((($F8*W8)/SingleEndAssumption),"")</f>
        <v>0</v>
      </c>
      <c r="Z8" s="43">
        <f>IFERROR((($F8*X8)/SingleEndAssumption),"")</f>
        <v>9.5983115468409583E-2</v>
      </c>
      <c r="AA8" s="49">
        <f>IFERROR(VLOOKUP($A8,'Parts List and Volumes'!$C$2:$W199,15,FALSE),"")</f>
        <v>0</v>
      </c>
      <c r="AB8" s="50">
        <f>IFERROR(VLOOKUP($A8,'Parts List and Volumes'!$C$2:$W199,16,FALSE),"")</f>
        <v>26500</v>
      </c>
      <c r="AC8" s="46">
        <f t="shared" si="2"/>
        <v>0</v>
      </c>
      <c r="AD8" s="47">
        <f t="shared" si="2"/>
        <v>0.10376553023611847</v>
      </c>
      <c r="AE8" s="40">
        <f>IFERROR(VLOOKUP($A8,'Parts List and Volumes'!$C$2:$W199,17,FALSE),"")</f>
        <v>0</v>
      </c>
      <c r="AF8" s="41">
        <f>IFERROR(VLOOKUP($A8,'Parts List and Volumes'!$C$2:$W199,18,FALSE),"")</f>
        <v>26500</v>
      </c>
      <c r="AG8" s="42">
        <f>IFERROR((($F8*AE8)/SingleEndAssumption),"")</f>
        <v>0</v>
      </c>
      <c r="AH8" s="43">
        <f>IFERROR((($F8*AF8)/SingleEndAssumption),"")</f>
        <v>9.5983115468409583E-2</v>
      </c>
      <c r="AI8" s="49">
        <f>IFERROR(VLOOKUP($A8,'Parts List and Volumes'!$C$2:$W199,19,FALSE),"")</f>
        <v>0</v>
      </c>
      <c r="AJ8" s="50">
        <f>IFERROR(VLOOKUP($A8,'Parts List and Volumes'!$C$2:$W199,20,FALSE),"")</f>
        <v>0</v>
      </c>
      <c r="AK8" s="46">
        <f t="shared" si="3"/>
        <v>0</v>
      </c>
      <c r="AL8" s="47">
        <f t="shared" si="3"/>
        <v>0</v>
      </c>
      <c r="AM8" s="40">
        <f>IFERROR(VLOOKUP($A8,'Parts List and Volumes'!$C$2:$W199,21,FALSE),"")</f>
        <v>0</v>
      </c>
      <c r="AN8" s="41" t="str">
        <f>IFERROR(VLOOKUP($A8,'Parts List and Volumes'!$C$2:$W199,22,FALSE),"")</f>
        <v/>
      </c>
      <c r="AO8" s="42">
        <f>IFERROR((($F8*AM8)/SingleEndAssumption),"")</f>
        <v>0</v>
      </c>
      <c r="AP8" s="43" t="str">
        <f>IFERROR((($F8*AN8)/SingleEndAssumption),"")</f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46" t="str">
        <f t="shared" si="4"/>
        <v/>
      </c>
      <c r="AT8" s="47" t="str">
        <f t="shared" si="4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2" t="str">
        <f>IFERROR((($F8*AU8)/SingleEndAssumption),"")</f>
        <v/>
      </c>
      <c r="AX8" s="43" t="str">
        <f>IFERROR((($F8*AV8)/SingleEndAssumption),"")</f>
        <v/>
      </c>
    </row>
    <row r="9" spans="1:50" x14ac:dyDescent="0.25">
      <c r="A9" s="91" t="s">
        <v>342</v>
      </c>
      <c r="B9" s="24" t="s">
        <v>438</v>
      </c>
      <c r="C9" s="20" t="str">
        <f>IFERROR(VLOOKUP(A9,'Parts List and Volumes'!C8:D200,2,FALSE),"")</f>
        <v>NJ000760ABF20</v>
      </c>
      <c r="D9" s="39">
        <f>IFERROR(IF(VLOOKUP($A9,'Parts List and Volumes'!$C8:$F266,3,FALSE)=0,"",VLOOKUP(A9,'Parts List and Volumes'!C8:F266,3,FALSE)),"")</f>
        <v>4.76</v>
      </c>
      <c r="E9" s="39" t="str">
        <f>IFERROR(IF(VLOOKUP($A9,'Parts List and Volumes'!$C8:$F266,4,FALSE)=0,"",VLOOKUP(B9,'Parts List and Volumes'!D8:G266,3,FALSE)),"")</f>
        <v/>
      </c>
      <c r="F9" s="92">
        <v>29.1</v>
      </c>
      <c r="G9" s="40">
        <f>IFERROR(VLOOKUP($A9,'Parts List and Volumes'!$C$2:$W200,5,FALSE),"")</f>
        <v>20400</v>
      </c>
      <c r="H9" s="41">
        <f>IFERROR(VLOOKUP($A9,'Parts List and Volumes'!$C$2:$W200,6,FALSE),"")</f>
        <v>15435.378492835003</v>
      </c>
      <c r="I9" s="42">
        <f>IFERROR((($F9*G9)/SingleEndAssumption),"")</f>
        <v>4.0416666666666663E-2</v>
      </c>
      <c r="J9" s="43">
        <f>IFERROR((($F9*H9)/SingleEndAssumption),"")</f>
        <v>3.0580713108762158E-2</v>
      </c>
      <c r="K9" s="58">
        <f>IFERROR(VLOOKUP($A9,'Parts List and Volumes'!$C$2:$W200,7,FALSE),"")</f>
        <v>0</v>
      </c>
      <c r="L9" s="45">
        <f>IFERROR(VLOOKUP($A9,'Parts List and Volumes'!$C$2:$W200,8,FALSE),"")</f>
        <v>37963.28570506566</v>
      </c>
      <c r="M9" s="46">
        <f>IFERROR((($F9*K9)/FourHeadAssumption),"")</f>
        <v>0</v>
      </c>
      <c r="N9" s="47">
        <f>IFERROR((($F9*L9)/FourHeadAssumption),"")</f>
        <v>8.1311577313888203E-2</v>
      </c>
      <c r="O9" s="41">
        <f>IFERROR(VLOOKUP($A9,'Parts List and Volumes'!$C$2:$W200,9,FALSE),"")</f>
        <v>0</v>
      </c>
      <c r="P9" s="41">
        <f>IFERROR(VLOOKUP($A9,'Parts List and Volumes'!$C$2:$W200,10,FALSE),"")</f>
        <v>39544.591507867808</v>
      </c>
      <c r="Q9" s="42">
        <f>IFERROR((($F9*O9)/SingleEndAssumption),"")</f>
        <v>0</v>
      </c>
      <c r="R9" s="43">
        <f>IFERROR((($F9*P9)/SingleEndAssumption),"")</f>
        <v>7.8346106541323082E-2</v>
      </c>
      <c r="S9" s="44">
        <f>IFERROR(VLOOKUP($A9,'Parts List and Volumes'!$C$2:$W200,11,FALSE),"")</f>
        <v>0</v>
      </c>
      <c r="T9" s="45">
        <f>IFERROR(VLOOKUP($A9,'Parts List and Volumes'!$C$2:$W200,12,FALSE),"")</f>
        <v>34999.999999999993</v>
      </c>
      <c r="U9" s="46">
        <f>IFERROR((($F9*S9)/FourHeadAssumption),"")</f>
        <v>0</v>
      </c>
      <c r="V9" s="47">
        <f>IFERROR((($F9*T9)/FourHeadAssumption),"")</f>
        <v>7.4964670552905843E-2</v>
      </c>
      <c r="W9" s="40">
        <f>IFERROR(VLOOKUP($A9,'Parts List and Volumes'!$C$2:$W200,13,FALSE),"")</f>
        <v>0</v>
      </c>
      <c r="X9" s="41">
        <f>IFERROR(VLOOKUP($A9,'Parts List and Volumes'!$C$2:$W200,14,FALSE),"")</f>
        <v>0</v>
      </c>
      <c r="Y9" s="42">
        <f>IFERROR((($F9*W9)/SingleEndAssumption),"")</f>
        <v>0</v>
      </c>
      <c r="Z9" s="43">
        <f>IFERROR((($F9*X9)/SingleEndAssumption),"")</f>
        <v>0</v>
      </c>
      <c r="AA9" s="49">
        <f>IFERROR(VLOOKUP($A9,'Parts List and Volumes'!$C$2:$W200,15,FALSE),"")</f>
        <v>0</v>
      </c>
      <c r="AB9" s="50">
        <f>IFERROR(VLOOKUP($A9,'Parts List and Volumes'!$C$2:$W200,16,FALSE),"")</f>
        <v>0</v>
      </c>
      <c r="AC9" s="46">
        <f>IFERROR((($F9*AA9)/FourHeadAssumption),"")</f>
        <v>0</v>
      </c>
      <c r="AD9" s="47">
        <f>IFERROR((($F9*AB9)/FourHeadAssumption),"")</f>
        <v>0</v>
      </c>
      <c r="AE9" s="40">
        <f>IFERROR(VLOOKUP($A9,'Parts List and Volumes'!$C$2:$W200,17,FALSE),"")</f>
        <v>0</v>
      </c>
      <c r="AF9" s="41">
        <f>IFERROR(VLOOKUP($A9,'Parts List and Volumes'!$C$2:$W200,18,FALSE),"")</f>
        <v>0</v>
      </c>
      <c r="AG9" s="42">
        <f>IFERROR((($F9*AE9)/SingleEndAssumption),"")</f>
        <v>0</v>
      </c>
      <c r="AH9" s="43">
        <f>IFERROR((($F9*AF9)/SingleEndAssumption),"")</f>
        <v>0</v>
      </c>
      <c r="AI9" s="49">
        <f>IFERROR(VLOOKUP($A9,'Parts List and Volumes'!$C$2:$W200,19,FALSE),"")</f>
        <v>0</v>
      </c>
      <c r="AJ9" s="50">
        <f>IFERROR(VLOOKUP($A9,'Parts List and Volumes'!$C$2:$W200,20,FALSE),"")</f>
        <v>0</v>
      </c>
      <c r="AK9" s="46">
        <f>IFERROR((($F9*AI9)/FourHeadAssumption),"")</f>
        <v>0</v>
      </c>
      <c r="AL9" s="47">
        <f>IFERROR((($F9*AJ9)/FourHeadAssumption),"")</f>
        <v>0</v>
      </c>
      <c r="AM9" s="40">
        <f>IFERROR(VLOOKUP($A9,'Parts List and Volumes'!$C$2:$W200,21,FALSE),"")</f>
        <v>0</v>
      </c>
      <c r="AN9" s="41" t="str">
        <f>IFERROR(VLOOKUP($A9,'Parts List and Volumes'!$C$2:$W200,22,FALSE),"")</f>
        <v/>
      </c>
      <c r="AO9" s="42">
        <f>IFERROR((($F9*AM9)/SingleEndAssumption),"")</f>
        <v>0</v>
      </c>
      <c r="AP9" s="43" t="str">
        <f>IFERROR((($F9*AN9)/SingleEndAssumption),"")</f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46" t="str">
        <f>IFERROR((($F9*AQ9)/FourHeadAssumption),"")</f>
        <v/>
      </c>
      <c r="AT9" s="47" t="str">
        <f>IFERROR((($F9*AR9)/FourHeadAssumption),"")</f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2" t="str">
        <f>IFERROR((($F9*AU9)/SingleEndAssumption),"")</f>
        <v/>
      </c>
      <c r="AX9" s="43" t="str">
        <f>IFERROR((($F9*AV9)/SingleEndAssumption),"")</f>
        <v/>
      </c>
    </row>
    <row r="10" spans="1:50" x14ac:dyDescent="0.25">
      <c r="A10" s="91" t="s">
        <v>343</v>
      </c>
      <c r="B10" s="24" t="s">
        <v>438</v>
      </c>
      <c r="C10" s="20" t="str">
        <f>IFERROR(VLOOKUP(A10,'Parts List and Volumes'!C9:D201,2,FALSE),"")</f>
        <v>NJ000761ABF20</v>
      </c>
      <c r="D10" s="39">
        <f>IFERROR(IF(VLOOKUP($A10,'Parts List and Volumes'!$C9:$F266,3,FALSE)=0,"",VLOOKUP(A10,'Parts List and Volumes'!C9:F266,3,FALSE)),"")</f>
        <v>4.76</v>
      </c>
      <c r="E10" s="39" t="str">
        <f>IFERROR(IF(VLOOKUP($A10,'Parts List and Volumes'!$C9:$F266,4,FALSE)=0,"",VLOOKUP(B10,'Parts List and Volumes'!D9:G266,3,FALSE)),"")</f>
        <v/>
      </c>
      <c r="F10" s="92">
        <v>22</v>
      </c>
      <c r="G10" s="40">
        <f>IFERROR(VLOOKUP($A10,'Parts List and Volumes'!$C$2:$W201,5,FALSE),"")</f>
        <v>18900</v>
      </c>
      <c r="H10" s="41">
        <f>IFERROR(VLOOKUP($A10,'Parts List and Volumes'!$C$2:$W201,6,FALSE),"")</f>
        <v>15435.378492835003</v>
      </c>
      <c r="I10" s="42">
        <f>IFERROR((($F10*G10)/SingleEndAssumption),"")</f>
        <v>2.8308823529411765E-2</v>
      </c>
      <c r="J10" s="43">
        <f>IFERROR((($F10*H10)/SingleEndAssumption),"")</f>
        <v>2.3119439463668987E-2</v>
      </c>
      <c r="K10" s="58">
        <f>IFERROR(VLOOKUP($A10,'Parts List and Volumes'!$C$2:$W201,7,FALSE),"")</f>
        <v>0</v>
      </c>
      <c r="L10" s="45">
        <f>IFERROR(VLOOKUP($A10,'Parts List and Volumes'!$C$2:$W201,8,FALSE),"")</f>
        <v>37963.28570506566</v>
      </c>
      <c r="M10" s="46">
        <f>IFERROR((($F10*K10)/FourHeadAssumption),"")</f>
        <v>0</v>
      </c>
      <c r="N10" s="47">
        <f>IFERROR((($F10*L10)/FourHeadAssumption),"")</f>
        <v>6.1472670134211017E-2</v>
      </c>
      <c r="O10" s="41">
        <f>IFERROR(VLOOKUP($A10,'Parts List and Volumes'!$C$2:$W201,9,FALSE),"")</f>
        <v>0</v>
      </c>
      <c r="P10" s="41">
        <f>IFERROR(VLOOKUP($A10,'Parts List and Volumes'!$C$2:$W201,10,FALSE),"")</f>
        <v>39544.591507867808</v>
      </c>
      <c r="Q10" s="42">
        <f>IFERROR((($F10*O10)/SingleEndAssumption),"")</f>
        <v>0</v>
      </c>
      <c r="R10" s="43">
        <f>IFERROR((($F10*P10)/SingleEndAssumption),"")</f>
        <v>5.9230733467666927E-2</v>
      </c>
      <c r="S10" s="44">
        <f>IFERROR(VLOOKUP($A10,'Parts List and Volumes'!$C$2:$W201,11,FALSE),"")</f>
        <v>0</v>
      </c>
      <c r="T10" s="45">
        <f>IFERROR(VLOOKUP($A10,'Parts List and Volumes'!$C$2:$W201,12,FALSE),"")</f>
        <v>34999.999999999993</v>
      </c>
      <c r="U10" s="46">
        <f>IFERROR((($F10*S10)/FourHeadAssumption),"")</f>
        <v>0</v>
      </c>
      <c r="V10" s="47">
        <f>IFERROR((($F10*T10)/FourHeadAssumption),"")</f>
        <v>5.6674321380203722E-2</v>
      </c>
      <c r="W10" s="40">
        <f>IFERROR(VLOOKUP($A10,'Parts List and Volumes'!$C$2:$W201,13,FALSE),"")</f>
        <v>0</v>
      </c>
      <c r="X10" s="41">
        <f>IFERROR(VLOOKUP($A10,'Parts List and Volumes'!$C$2:$W201,14,FALSE),"")</f>
        <v>0</v>
      </c>
      <c r="Y10" s="42">
        <f>IFERROR((($F10*W10)/SingleEndAssumption),"")</f>
        <v>0</v>
      </c>
      <c r="Z10" s="43">
        <f>IFERROR((($F10*X10)/SingleEndAssumption),"")</f>
        <v>0</v>
      </c>
      <c r="AA10" s="49">
        <f>IFERROR(VLOOKUP($A10,'Parts List and Volumes'!$C$2:$W201,15,FALSE),"")</f>
        <v>0</v>
      </c>
      <c r="AB10" s="50">
        <f>IFERROR(VLOOKUP($A10,'Parts List and Volumes'!$C$2:$W201,16,FALSE),"")</f>
        <v>0</v>
      </c>
      <c r="AC10" s="46">
        <f>IFERROR((($F10*AA10)/FourHeadAssumption),"")</f>
        <v>0</v>
      </c>
      <c r="AD10" s="47">
        <f>IFERROR((($F10*AB10)/FourHeadAssumption),"")</f>
        <v>0</v>
      </c>
      <c r="AE10" s="40">
        <f>IFERROR(VLOOKUP($A10,'Parts List and Volumes'!$C$2:$W201,17,FALSE),"")</f>
        <v>0</v>
      </c>
      <c r="AF10" s="41">
        <f>IFERROR(VLOOKUP($A10,'Parts List and Volumes'!$C$2:$W201,18,FALSE),"")</f>
        <v>0</v>
      </c>
      <c r="AG10" s="42">
        <f>IFERROR((($F10*AE10)/SingleEndAssumption),"")</f>
        <v>0</v>
      </c>
      <c r="AH10" s="43">
        <f>IFERROR((($F10*AF10)/SingleEndAssumption),"")</f>
        <v>0</v>
      </c>
      <c r="AI10" s="49">
        <f>IFERROR(VLOOKUP($A10,'Parts List and Volumes'!$C$2:$W201,19,FALSE),"")</f>
        <v>0</v>
      </c>
      <c r="AJ10" s="50">
        <f>IFERROR(VLOOKUP($A10,'Parts List and Volumes'!$C$2:$W201,20,FALSE),"")</f>
        <v>0</v>
      </c>
      <c r="AK10" s="46">
        <f>IFERROR((($F10*AI10)/FourHeadAssumption),"")</f>
        <v>0</v>
      </c>
      <c r="AL10" s="47">
        <f>IFERROR((($F10*AJ10)/FourHeadAssumption),"")</f>
        <v>0</v>
      </c>
      <c r="AM10" s="40">
        <f>IFERROR(VLOOKUP($A10,'Parts List and Volumes'!$C$2:$W201,21,FALSE),"")</f>
        <v>0</v>
      </c>
      <c r="AN10" s="41" t="str">
        <f>IFERROR(VLOOKUP($A10,'Parts List and Volumes'!$C$2:$W201,22,FALSE),"")</f>
        <v/>
      </c>
      <c r="AO10" s="42">
        <f>IFERROR((($F10*AM10)/SingleEndAssumption),"")</f>
        <v>0</v>
      </c>
      <c r="AP10" s="43" t="str">
        <f>IFERROR((($F10*AN10)/SingleEndAssumption),"")</f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46" t="str">
        <f>IFERROR((($F10*AQ10)/FourHeadAssumption),"")</f>
        <v/>
      </c>
      <c r="AT10" s="47" t="str">
        <f>IFERROR((($F10*AR10)/FourHeadAssumption),"")</f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2" t="str">
        <f>IFERROR((($F10*AU10)/SingleEndAssumption),"")</f>
        <v/>
      </c>
      <c r="AX10" s="43" t="str">
        <f>IFERROR((($F10*AV10)/SingleEndAssumption),"")</f>
        <v/>
      </c>
    </row>
    <row r="11" spans="1:50" x14ac:dyDescent="0.25">
      <c r="A11" s="91" t="s">
        <v>344</v>
      </c>
      <c r="B11" s="24" t="s">
        <v>378</v>
      </c>
      <c r="C11" s="20" t="str">
        <f>IFERROR(VLOOKUP(A11,'Parts List and Volumes'!C10:D202,2,FALSE),"")</f>
        <v>NJ000762ABF20</v>
      </c>
      <c r="D11" s="39">
        <f>IFERROR(IF(VLOOKUP($A11,'Parts List and Volumes'!$C10:$F266,3,FALSE)=0,"",VLOOKUP(A11,'Parts List and Volumes'!C10:F266,3,FALSE)),"")</f>
        <v>4.76</v>
      </c>
      <c r="E11" s="39" t="str">
        <f>IFERROR(IF(VLOOKUP($A11,'Parts List and Volumes'!$C10:$F266,4,FALSE)=0,"",VLOOKUP(B11,'Parts List and Volumes'!D10:G266,3,FALSE)),"")</f>
        <v/>
      </c>
      <c r="F11" s="92">
        <v>27</v>
      </c>
      <c r="G11" s="40">
        <f>IFERROR(VLOOKUP($A11,'Parts List and Volumes'!$C$2:$W202,5,FALSE),"")</f>
        <v>18900</v>
      </c>
      <c r="H11" s="41">
        <f>IFERROR(VLOOKUP($A11,'Parts List and Volumes'!$C$2:$W202,6,FALSE),"")</f>
        <v>15435.378492835003</v>
      </c>
      <c r="I11" s="42">
        <f>IFERROR((($F11*G11)/SingleEndAssumption),"")</f>
        <v>3.4742647058823531E-2</v>
      </c>
      <c r="J11" s="43">
        <f>IFERROR((($F11*H11)/SingleEndAssumption),"")</f>
        <v>2.8373857523593757E-2</v>
      </c>
      <c r="K11" s="58">
        <f>IFERROR(VLOOKUP($A11,'Parts List and Volumes'!$C$2:$W202,7,FALSE),"")</f>
        <v>0</v>
      </c>
      <c r="L11" s="45">
        <f>IFERROR(VLOOKUP($A11,'Parts List and Volumes'!$C$2:$W202,8,FALSE),"")</f>
        <v>37963.28570506566</v>
      </c>
      <c r="M11" s="46">
        <f>IFERROR((($F11*K11)/FourHeadAssumption),"")</f>
        <v>0</v>
      </c>
      <c r="N11" s="47">
        <f>IFERROR((($F11*L11)/FourHeadAssumption),"")</f>
        <v>7.5443731528349878E-2</v>
      </c>
      <c r="O11" s="41">
        <f>IFERROR(VLOOKUP($A11,'Parts List and Volumes'!$C$2:$W202,9,FALSE),"")</f>
        <v>0</v>
      </c>
      <c r="P11" s="41">
        <f>IFERROR(VLOOKUP($A11,'Parts List and Volumes'!$C$2:$W202,10,FALSE),"")</f>
        <v>39544.591507867808</v>
      </c>
      <c r="Q11" s="42">
        <f>IFERROR((($F11*O11)/SingleEndAssumption),"")</f>
        <v>0</v>
      </c>
      <c r="R11" s="43">
        <f>IFERROR((($F11*P11)/SingleEndAssumption),"")</f>
        <v>7.2692263801227591E-2</v>
      </c>
      <c r="S11" s="44">
        <f>IFERROR(VLOOKUP($A11,'Parts List and Volumes'!$C$2:$W202,11,FALSE),"")</f>
        <v>0</v>
      </c>
      <c r="T11" s="45">
        <f>IFERROR(VLOOKUP($A11,'Parts List and Volumes'!$C$2:$W202,12,FALSE),"")</f>
        <v>34999.999999999993</v>
      </c>
      <c r="U11" s="46">
        <f>IFERROR((($F11*S11)/FourHeadAssumption),"")</f>
        <v>0</v>
      </c>
      <c r="V11" s="47">
        <f>IFERROR((($F11*T11)/FourHeadAssumption),"")</f>
        <v>6.9554848966613653E-2</v>
      </c>
      <c r="W11" s="40">
        <f>IFERROR(VLOOKUP($A11,'Parts List and Volumes'!$C$2:$W202,13,FALSE),"")</f>
        <v>0</v>
      </c>
      <c r="X11" s="41">
        <f>IFERROR(VLOOKUP($A11,'Parts List and Volumes'!$C$2:$W202,14,FALSE),"")</f>
        <v>0</v>
      </c>
      <c r="Y11" s="42">
        <f>IFERROR((($F11*W11)/SingleEndAssumption),"")</f>
        <v>0</v>
      </c>
      <c r="Z11" s="43">
        <f>IFERROR((($F11*X11)/SingleEndAssumption),"")</f>
        <v>0</v>
      </c>
      <c r="AA11" s="49">
        <f>IFERROR(VLOOKUP($A11,'Parts List and Volumes'!$C$2:$W202,15,FALSE),"")</f>
        <v>0</v>
      </c>
      <c r="AB11" s="50">
        <f>IFERROR(VLOOKUP($A11,'Parts List and Volumes'!$C$2:$W202,16,FALSE),"")</f>
        <v>0</v>
      </c>
      <c r="AC11" s="46">
        <f>IFERROR((($F11*AA11)/FourHeadAssumption),"")</f>
        <v>0</v>
      </c>
      <c r="AD11" s="47">
        <f>IFERROR((($F11*AB11)/FourHeadAssumption),"")</f>
        <v>0</v>
      </c>
      <c r="AE11" s="40">
        <f>IFERROR(VLOOKUP($A11,'Parts List and Volumes'!$C$2:$W202,17,FALSE),"")</f>
        <v>0</v>
      </c>
      <c r="AF11" s="41">
        <f>IFERROR(VLOOKUP($A11,'Parts List and Volumes'!$C$2:$W202,18,FALSE),"")</f>
        <v>0</v>
      </c>
      <c r="AG11" s="42">
        <f>IFERROR((($F11*AE11)/SingleEndAssumption),"")</f>
        <v>0</v>
      </c>
      <c r="AH11" s="43">
        <f>IFERROR((($F11*AF11)/SingleEndAssumption),"")</f>
        <v>0</v>
      </c>
      <c r="AI11" s="49">
        <f>IFERROR(VLOOKUP($A11,'Parts List and Volumes'!$C$2:$W202,19,FALSE),"")</f>
        <v>0</v>
      </c>
      <c r="AJ11" s="50">
        <f>IFERROR(VLOOKUP($A11,'Parts List and Volumes'!$C$2:$W202,20,FALSE),"")</f>
        <v>0</v>
      </c>
      <c r="AK11" s="46">
        <f>IFERROR((($F11*AI11)/FourHeadAssumption),"")</f>
        <v>0</v>
      </c>
      <c r="AL11" s="47">
        <f>IFERROR((($F11*AJ11)/FourHeadAssumption),"")</f>
        <v>0</v>
      </c>
      <c r="AM11" s="40">
        <f>IFERROR(VLOOKUP($A11,'Parts List and Volumes'!$C$2:$W202,21,FALSE),"")</f>
        <v>0</v>
      </c>
      <c r="AN11" s="41" t="str">
        <f>IFERROR(VLOOKUP($A11,'Parts List and Volumes'!$C$2:$W202,22,FALSE),"")</f>
        <v/>
      </c>
      <c r="AO11" s="42">
        <f>IFERROR((($F11*AM11)/SingleEndAssumption),"")</f>
        <v>0</v>
      </c>
      <c r="AP11" s="43" t="str">
        <f>IFERROR((($F11*AN11)/SingleEndAssumption),"")</f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46" t="str">
        <f>IFERROR((($F11*AQ11)/FourHeadAssumption),"")</f>
        <v/>
      </c>
      <c r="AT11" s="47" t="str">
        <f>IFERROR((($F11*AR11)/FourHeadAssumption),"")</f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2" t="str">
        <f>IFERROR((($F11*AU11)/SingleEndAssumption),"")</f>
        <v/>
      </c>
      <c r="AX11" s="43" t="str">
        <f>IFERROR((($F11*AV11)/SingleEndAssumption),"")</f>
        <v/>
      </c>
    </row>
    <row r="12" spans="1:50" x14ac:dyDescent="0.25">
      <c r="A12" s="91" t="s">
        <v>345</v>
      </c>
      <c r="B12" s="24" t="s">
        <v>378</v>
      </c>
      <c r="C12" s="20" t="str">
        <f>IFERROR(VLOOKUP(A12,'Parts List and Volumes'!C11:D203,2,FALSE),"")</f>
        <v>NJ000763ABF20</v>
      </c>
      <c r="D12" s="39">
        <f>IFERROR(IF(VLOOKUP($A12,'Parts List and Volumes'!$C11:$F266,3,FALSE)=0,"",VLOOKUP(A12,'Parts List and Volumes'!C11:F266,3,FALSE)),"")</f>
        <v>4.76</v>
      </c>
      <c r="E12" s="39" t="str">
        <f>IFERROR(IF(VLOOKUP($A12,'Parts List and Volumes'!$C11:$F266,4,FALSE)=0,"",VLOOKUP(B12,'Parts List and Volumes'!D11:G266,3,FALSE)),"")</f>
        <v/>
      </c>
      <c r="F12" s="92">
        <v>25</v>
      </c>
      <c r="G12" s="40">
        <f>IFERROR(VLOOKUP($A12,'Parts List and Volumes'!$C$2:$W203,5,FALSE),"")</f>
        <v>18600</v>
      </c>
      <c r="H12" s="41">
        <f>IFERROR(VLOOKUP($A12,'Parts List and Volumes'!$C$2:$W203,6,FALSE),"")</f>
        <v>15435.378492835003</v>
      </c>
      <c r="I12" s="42">
        <f>IFERROR((($F12*G12)/SingleEndAssumption),"")</f>
        <v>3.1658496732026142E-2</v>
      </c>
      <c r="J12" s="43">
        <f>IFERROR((($F12*H12)/SingleEndAssumption),"")</f>
        <v>2.6272090299623848E-2</v>
      </c>
      <c r="K12" s="58">
        <f>IFERROR(VLOOKUP($A12,'Parts List and Volumes'!$C$2:$W203,7,FALSE),"")</f>
        <v>0</v>
      </c>
      <c r="L12" s="45">
        <f>IFERROR(VLOOKUP($A12,'Parts List and Volumes'!$C$2:$W203,8,FALSE),"")</f>
        <v>37963.28570506566</v>
      </c>
      <c r="M12" s="46">
        <f>IFERROR((($F12*K12)/FourHeadAssumption),"")</f>
        <v>0</v>
      </c>
      <c r="N12" s="47">
        <f>IFERROR((($F12*L12)/FourHeadAssumption),"")</f>
        <v>6.9855306970694336E-2</v>
      </c>
      <c r="O12" s="41">
        <f>IFERROR(VLOOKUP($A12,'Parts List and Volumes'!$C$2:$W203,9,FALSE),"")</f>
        <v>0</v>
      </c>
      <c r="P12" s="41">
        <f>IFERROR(VLOOKUP($A12,'Parts List and Volumes'!$C$2:$W203,10,FALSE),"")</f>
        <v>39544.591507867808</v>
      </c>
      <c r="Q12" s="42">
        <f>IFERROR((($F12*O12)/SingleEndAssumption),"")</f>
        <v>0</v>
      </c>
      <c r="R12" s="43">
        <f>IFERROR((($F12*P12)/SingleEndAssumption),"")</f>
        <v>6.7307651667803323E-2</v>
      </c>
      <c r="S12" s="44">
        <f>IFERROR(VLOOKUP($A12,'Parts List and Volumes'!$C$2:$W203,11,FALSE),"")</f>
        <v>0</v>
      </c>
      <c r="T12" s="45">
        <f>IFERROR(VLOOKUP($A12,'Parts List and Volumes'!$C$2:$W203,12,FALSE),"")</f>
        <v>34999.999999999993</v>
      </c>
      <c r="U12" s="46">
        <f>IFERROR((($F12*S12)/FourHeadAssumption),"")</f>
        <v>0</v>
      </c>
      <c r="V12" s="47">
        <f>IFERROR((($F12*T12)/FourHeadAssumption),"")</f>
        <v>6.4402637932049686E-2</v>
      </c>
      <c r="W12" s="40">
        <f>IFERROR(VLOOKUP($A12,'Parts List and Volumes'!$C$2:$W203,13,FALSE),"")</f>
        <v>0</v>
      </c>
      <c r="X12" s="41">
        <f>IFERROR(VLOOKUP($A12,'Parts List and Volumes'!$C$2:$W203,14,FALSE),"")</f>
        <v>0</v>
      </c>
      <c r="Y12" s="42">
        <f>IFERROR((($F12*W12)/SingleEndAssumption),"")</f>
        <v>0</v>
      </c>
      <c r="Z12" s="43">
        <f>IFERROR((($F12*X12)/SingleEndAssumption),"")</f>
        <v>0</v>
      </c>
      <c r="AA12" s="49">
        <f>IFERROR(VLOOKUP($A12,'Parts List and Volumes'!$C$2:$W203,15,FALSE),"")</f>
        <v>0</v>
      </c>
      <c r="AB12" s="50">
        <f>IFERROR(VLOOKUP($A12,'Parts List and Volumes'!$C$2:$W203,16,FALSE),"")</f>
        <v>0</v>
      </c>
      <c r="AC12" s="46">
        <f>IFERROR((($F12*AA12)/FourHeadAssumption),"")</f>
        <v>0</v>
      </c>
      <c r="AD12" s="47">
        <f>IFERROR((($F12*AB12)/FourHeadAssumption),"")</f>
        <v>0</v>
      </c>
      <c r="AE12" s="40">
        <f>IFERROR(VLOOKUP($A12,'Parts List and Volumes'!$C$2:$W203,17,FALSE),"")</f>
        <v>0</v>
      </c>
      <c r="AF12" s="41">
        <f>IFERROR(VLOOKUP($A12,'Parts List and Volumes'!$C$2:$W203,18,FALSE),"")</f>
        <v>0</v>
      </c>
      <c r="AG12" s="42">
        <f>IFERROR((($F12*AE12)/SingleEndAssumption),"")</f>
        <v>0</v>
      </c>
      <c r="AH12" s="43">
        <f>IFERROR((($F12*AF12)/SingleEndAssumption),"")</f>
        <v>0</v>
      </c>
      <c r="AI12" s="49">
        <f>IFERROR(VLOOKUP($A12,'Parts List and Volumes'!$C$2:$W203,19,FALSE),"")</f>
        <v>0</v>
      </c>
      <c r="AJ12" s="50">
        <f>IFERROR(VLOOKUP($A12,'Parts List and Volumes'!$C$2:$W203,20,FALSE),"")</f>
        <v>0</v>
      </c>
      <c r="AK12" s="46">
        <f>IFERROR((($F12*AI12)/FourHeadAssumption),"")</f>
        <v>0</v>
      </c>
      <c r="AL12" s="47">
        <f>IFERROR((($F12*AJ12)/FourHeadAssumption),"")</f>
        <v>0</v>
      </c>
      <c r="AM12" s="40">
        <f>IFERROR(VLOOKUP($A12,'Parts List and Volumes'!$C$2:$W203,21,FALSE),"")</f>
        <v>0</v>
      </c>
      <c r="AN12" s="41" t="str">
        <f>IFERROR(VLOOKUP($A12,'Parts List and Volumes'!$C$2:$W203,22,FALSE),"")</f>
        <v/>
      </c>
      <c r="AO12" s="42">
        <f>IFERROR((($F12*AM12)/SingleEndAssumption),"")</f>
        <v>0</v>
      </c>
      <c r="AP12" s="43" t="str">
        <f>IFERROR((($F12*AN12)/SingleEndAssumption),"")</f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46" t="str">
        <f>IFERROR((($F12*AQ12)/FourHeadAssumption),"")</f>
        <v/>
      </c>
      <c r="AT12" s="47" t="str">
        <f>IFERROR((($F12*AR12)/FourHeadAssumption),"")</f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2" t="str">
        <f>IFERROR((($F12*AU12)/SingleEndAssumption),"")</f>
        <v/>
      </c>
      <c r="AX12" s="43" t="str">
        <f>IFERROR((($F12*AV12)/SingleEndAssumption),"")</f>
        <v/>
      </c>
    </row>
    <row r="13" spans="1:50" x14ac:dyDescent="0.25">
      <c r="A13" s="91" t="s">
        <v>340</v>
      </c>
      <c r="B13" s="24" t="s">
        <v>378</v>
      </c>
      <c r="C13" s="20" t="str">
        <f>IFERROR(VLOOKUP(A13,'Parts List and Volumes'!C12:D204,2,FALSE),"")</f>
        <v>NJ000759AAF20</v>
      </c>
      <c r="D13" s="39">
        <f>IFERROR(IF(VLOOKUP($A13,'Parts List and Volumes'!$C12:$F267,3,FALSE)=0,"",VLOOKUP(A13,'Parts List and Volumes'!C12:F267,3,FALSE)),"")</f>
        <v>4.76</v>
      </c>
      <c r="E13" s="39" t="str">
        <f>IFERROR(IF(VLOOKUP($A13,'Parts List and Volumes'!$C12:$F267,4,FALSE)=0,"",VLOOKUP(B13,'Parts List and Volumes'!D12:G267,3,FALSE)),"")</f>
        <v/>
      </c>
      <c r="F13" s="92">
        <v>15</v>
      </c>
      <c r="G13" s="40">
        <f>IFERROR(VLOOKUP($A13,'Parts List and Volumes'!$C$2:$W204,5,FALSE),"")</f>
        <v>150</v>
      </c>
      <c r="H13" s="41">
        <f>IFERROR(VLOOKUP($A13,'Parts List and Volumes'!$C$2:$W204,6,FALSE),"")</f>
        <v>15435.378492835003</v>
      </c>
      <c r="I13" s="42">
        <f>IFERROR((($F13*G13)/SingleEndAssumption),"")</f>
        <v>1.5318627450980392E-4</v>
      </c>
      <c r="J13" s="43">
        <f>IFERROR((($F13*H13)/SingleEndAssumption),"")</f>
        <v>1.5763254179774307E-2</v>
      </c>
      <c r="K13" s="58">
        <f>IFERROR(VLOOKUP($A13,'Parts List and Volumes'!$C$2:$W204,7,FALSE),"")</f>
        <v>0</v>
      </c>
      <c r="L13" s="45">
        <f>IFERROR(VLOOKUP($A13,'Parts List and Volumes'!$C$2:$W204,8,FALSE),"")</f>
        <v>37963.28570506566</v>
      </c>
      <c r="M13" s="46">
        <f>IFERROR((($F13*K13)/FourHeadAssumption),"")</f>
        <v>0</v>
      </c>
      <c r="N13" s="47">
        <f>IFERROR((($F13*L13)/FourHeadAssumption),"")</f>
        <v>4.1913184182416595E-2</v>
      </c>
      <c r="O13" s="41">
        <f>IFERROR(VLOOKUP($A13,'Parts List and Volumes'!$C$2:$W204,9,FALSE),"")</f>
        <v>0</v>
      </c>
      <c r="P13" s="41">
        <f>IFERROR(VLOOKUP($A13,'Parts List and Volumes'!$C$2:$W204,10,FALSE),"")</f>
        <v>39544.591507867808</v>
      </c>
      <c r="Q13" s="42">
        <f>IFERROR((($F13*O13)/SingleEndAssumption),"")</f>
        <v>0</v>
      </c>
      <c r="R13" s="43">
        <f>IFERROR((($F13*P13)/SingleEndAssumption),"")</f>
        <v>4.0384591000681994E-2</v>
      </c>
      <c r="S13" s="44">
        <f>IFERROR(VLOOKUP($A13,'Parts List and Volumes'!$C$2:$W204,11,FALSE),"")</f>
        <v>0</v>
      </c>
      <c r="T13" s="45">
        <f>IFERROR(VLOOKUP($A13,'Parts List and Volumes'!$C$2:$W204,12,FALSE),"")</f>
        <v>34999.999999999993</v>
      </c>
      <c r="U13" s="46">
        <f>IFERROR((($F13*S13)/FourHeadAssumption),"")</f>
        <v>0</v>
      </c>
      <c r="V13" s="47">
        <f>IFERROR((($F13*T13)/FourHeadAssumption),"")</f>
        <v>3.8641582759229812E-2</v>
      </c>
      <c r="W13" s="40">
        <f>IFERROR(VLOOKUP($A13,'Parts List and Volumes'!$C$2:$W204,13,FALSE),"")</f>
        <v>0</v>
      </c>
      <c r="X13" s="41">
        <f>IFERROR(VLOOKUP($A13,'Parts List and Volumes'!$C$2:$W204,14,FALSE),"")</f>
        <v>0</v>
      </c>
      <c r="Y13" s="42">
        <f>IFERROR((($F13*W13)/SingleEndAssumption),"")</f>
        <v>0</v>
      </c>
      <c r="Z13" s="43">
        <f>IFERROR((($F13*X13)/SingleEndAssumption),"")</f>
        <v>0</v>
      </c>
      <c r="AA13" s="49">
        <f>IFERROR(VLOOKUP($A13,'Parts List and Volumes'!$C$2:$W204,15,FALSE),"")</f>
        <v>0</v>
      </c>
      <c r="AB13" s="50">
        <f>IFERROR(VLOOKUP($A13,'Parts List and Volumes'!$C$2:$W204,16,FALSE),"")</f>
        <v>0</v>
      </c>
      <c r="AC13" s="46">
        <f>IFERROR((($F13*AA13)/FourHeadAssumption),"")</f>
        <v>0</v>
      </c>
      <c r="AD13" s="47">
        <f>IFERROR((($F13*AB13)/FourHeadAssumption),"")</f>
        <v>0</v>
      </c>
      <c r="AE13" s="40">
        <f>IFERROR(VLOOKUP($A13,'Parts List and Volumes'!$C$2:$W204,17,FALSE),"")</f>
        <v>0</v>
      </c>
      <c r="AF13" s="41">
        <f>IFERROR(VLOOKUP($A13,'Parts List and Volumes'!$C$2:$W204,18,FALSE),"")</f>
        <v>0</v>
      </c>
      <c r="AG13" s="42">
        <f>IFERROR((($F13*AE13)/SingleEndAssumption),"")</f>
        <v>0</v>
      </c>
      <c r="AH13" s="43">
        <f>IFERROR((($F13*AF13)/SingleEndAssumption),"")</f>
        <v>0</v>
      </c>
      <c r="AI13" s="49">
        <f>IFERROR(VLOOKUP($A13,'Parts List and Volumes'!$C$2:$W204,19,FALSE),"")</f>
        <v>0</v>
      </c>
      <c r="AJ13" s="50">
        <f>IFERROR(VLOOKUP($A13,'Parts List and Volumes'!$C$2:$W204,20,FALSE),"")</f>
        <v>0</v>
      </c>
      <c r="AK13" s="46">
        <f>IFERROR((($F13*AI13)/FourHeadAssumption),"")</f>
        <v>0</v>
      </c>
      <c r="AL13" s="47">
        <f>IFERROR((($F13*AJ13)/FourHeadAssumption),"")</f>
        <v>0</v>
      </c>
      <c r="AM13" s="40">
        <f>IFERROR(VLOOKUP($A13,'Parts List and Volumes'!$C$2:$W204,21,FALSE),"")</f>
        <v>0</v>
      </c>
      <c r="AN13" s="41" t="str">
        <f>IFERROR(VLOOKUP($A13,'Parts List and Volumes'!$C$2:$W204,22,FALSE),"")</f>
        <v/>
      </c>
      <c r="AO13" s="42">
        <f>IFERROR((($F13*AM13)/SingleEndAssumption),"")</f>
        <v>0</v>
      </c>
      <c r="AP13" s="43" t="str">
        <f>IFERROR((($F13*AN13)/SingleEndAssumption),"")</f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46" t="str">
        <f>IFERROR((($F13*AQ13)/FourHeadAssumption),"")</f>
        <v/>
      </c>
      <c r="AT13" s="47" t="str">
        <f>IFERROR((($F13*AR13)/FourHeadAssumption),"")</f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2" t="str">
        <f>IFERROR((($F13*AU13)/SingleEndAssumption),"")</f>
        <v/>
      </c>
      <c r="AX13" s="43" t="str">
        <f>IFERROR((($F13*AV13)/SingleEndAssumption),"")</f>
        <v/>
      </c>
    </row>
    <row r="14" spans="1:50" x14ac:dyDescent="0.25">
      <c r="A14" s="91" t="s">
        <v>341</v>
      </c>
      <c r="B14" s="24" t="s">
        <v>378</v>
      </c>
      <c r="C14" s="20" t="str">
        <f>IFERROR(VLOOKUP(A14,'Parts List and Volumes'!C13:D205,2,FALSE),"")</f>
        <v>NJ000758AAF20</v>
      </c>
      <c r="D14" s="39">
        <f>IFERROR(IF(VLOOKUP($A14,'Parts List and Volumes'!$C13:$F268,3,FALSE)=0,"",VLOOKUP(A14,'Parts List and Volumes'!C13:F268,3,FALSE)),"")</f>
        <v>4.76</v>
      </c>
      <c r="E14" s="39" t="str">
        <f>IFERROR(IF(VLOOKUP($A14,'Parts List and Volumes'!$C13:$F268,4,FALSE)=0,"",VLOOKUP(B14,'Parts List and Volumes'!D13:G268,3,FALSE)),"")</f>
        <v/>
      </c>
      <c r="F14" s="92">
        <v>15</v>
      </c>
      <c r="G14" s="40">
        <f>IFERROR(VLOOKUP($A14,'Parts List and Volumes'!$C$2:$W205,5,FALSE),"")</f>
        <v>0</v>
      </c>
      <c r="H14" s="41">
        <f>IFERROR(VLOOKUP($A14,'Parts List and Volumes'!$C$2:$W205,6,FALSE),"")</f>
        <v>15435.378492835003</v>
      </c>
      <c r="I14" s="42">
        <f>IFERROR((($F14*G14)/SingleEndAssumption),"")</f>
        <v>0</v>
      </c>
      <c r="J14" s="43">
        <f>IFERROR((($F14*H14)/SingleEndAssumption),"")</f>
        <v>1.5763254179774307E-2</v>
      </c>
      <c r="K14" s="58">
        <f>IFERROR(VLOOKUP($A14,'Parts List and Volumes'!$C$2:$W205,7,FALSE),"")</f>
        <v>0</v>
      </c>
      <c r="L14" s="45">
        <f>IFERROR(VLOOKUP($A14,'Parts List and Volumes'!$C$2:$W205,8,FALSE),"")</f>
        <v>37963.28570506566</v>
      </c>
      <c r="M14" s="46">
        <f>IFERROR((($F14*K14)/FourHeadAssumption),"")</f>
        <v>0</v>
      </c>
      <c r="N14" s="47">
        <f>IFERROR((($F14*L14)/FourHeadAssumption),"")</f>
        <v>4.1913184182416595E-2</v>
      </c>
      <c r="O14" s="41">
        <f>IFERROR(VLOOKUP($A14,'Parts List and Volumes'!$C$2:$W205,9,FALSE),"")</f>
        <v>0</v>
      </c>
      <c r="P14" s="41">
        <f>IFERROR(VLOOKUP($A14,'Parts List and Volumes'!$C$2:$W205,10,FALSE),"")</f>
        <v>39544.591507867808</v>
      </c>
      <c r="Q14" s="42">
        <f>IFERROR((($F14*O14)/SingleEndAssumption),"")</f>
        <v>0</v>
      </c>
      <c r="R14" s="43">
        <f>IFERROR((($F14*P14)/SingleEndAssumption),"")</f>
        <v>4.0384591000681994E-2</v>
      </c>
      <c r="S14" s="44">
        <f>IFERROR(VLOOKUP($A14,'Parts List and Volumes'!$C$2:$W205,11,FALSE),"")</f>
        <v>0</v>
      </c>
      <c r="T14" s="45">
        <f>IFERROR(VLOOKUP($A14,'Parts List and Volumes'!$C$2:$W205,12,FALSE),"")</f>
        <v>34999.999999999993</v>
      </c>
      <c r="U14" s="46">
        <f>IFERROR((($F14*S14)/FourHeadAssumption),"")</f>
        <v>0</v>
      </c>
      <c r="V14" s="47">
        <f>IFERROR((($F14*T14)/FourHeadAssumption),"")</f>
        <v>3.8641582759229812E-2</v>
      </c>
      <c r="W14" s="40">
        <f>IFERROR(VLOOKUP($A14,'Parts List and Volumes'!$C$2:$W205,13,FALSE),"")</f>
        <v>0</v>
      </c>
      <c r="X14" s="41">
        <f>IFERROR(VLOOKUP($A14,'Parts List and Volumes'!$C$2:$W205,14,FALSE),"")</f>
        <v>0</v>
      </c>
      <c r="Y14" s="42">
        <f>IFERROR((($F14*W14)/SingleEndAssumption),"")</f>
        <v>0</v>
      </c>
      <c r="Z14" s="43">
        <f>IFERROR((($F14*X14)/SingleEndAssumption),"")</f>
        <v>0</v>
      </c>
      <c r="AA14" s="49">
        <f>IFERROR(VLOOKUP($A14,'Parts List and Volumes'!$C$2:$W205,15,FALSE),"")</f>
        <v>0</v>
      </c>
      <c r="AB14" s="50">
        <f>IFERROR(VLOOKUP($A14,'Parts List and Volumes'!$C$2:$W205,16,FALSE),"")</f>
        <v>0</v>
      </c>
      <c r="AC14" s="46">
        <f>IFERROR((($F14*AA14)/FourHeadAssumption),"")</f>
        <v>0</v>
      </c>
      <c r="AD14" s="47">
        <f>IFERROR((($F14*AB14)/FourHeadAssumption),"")</f>
        <v>0</v>
      </c>
      <c r="AE14" s="40">
        <f>IFERROR(VLOOKUP($A14,'Parts List and Volumes'!$C$2:$W205,17,FALSE),"")</f>
        <v>0</v>
      </c>
      <c r="AF14" s="41">
        <f>IFERROR(VLOOKUP($A14,'Parts List and Volumes'!$C$2:$W205,18,FALSE),"")</f>
        <v>0</v>
      </c>
      <c r="AG14" s="42">
        <f>IFERROR((($F14*AE14)/SingleEndAssumption),"")</f>
        <v>0</v>
      </c>
      <c r="AH14" s="43">
        <f>IFERROR((($F14*AF14)/SingleEndAssumption),"")</f>
        <v>0</v>
      </c>
      <c r="AI14" s="49">
        <f>IFERROR(VLOOKUP($A14,'Parts List and Volumes'!$C$2:$W205,19,FALSE),"")</f>
        <v>0</v>
      </c>
      <c r="AJ14" s="50">
        <f>IFERROR(VLOOKUP($A14,'Parts List and Volumes'!$C$2:$W205,20,FALSE),"")</f>
        <v>0</v>
      </c>
      <c r="AK14" s="46">
        <f>IFERROR((($F14*AI14)/FourHeadAssumption),"")</f>
        <v>0</v>
      </c>
      <c r="AL14" s="47">
        <f>IFERROR((($F14*AJ14)/FourHeadAssumption),"")</f>
        <v>0</v>
      </c>
      <c r="AM14" s="40">
        <f>IFERROR(VLOOKUP($A14,'Parts List and Volumes'!$C$2:$W205,21,FALSE),"")</f>
        <v>0</v>
      </c>
      <c r="AN14" s="41" t="str">
        <f>IFERROR(VLOOKUP($A14,'Parts List and Volumes'!$C$2:$W205,22,FALSE),"")</f>
        <v/>
      </c>
      <c r="AO14" s="42">
        <f>IFERROR((($F14*AM14)/SingleEndAssumption),"")</f>
        <v>0</v>
      </c>
      <c r="AP14" s="43" t="str">
        <f>IFERROR((($F14*AN14)/SingleEndAssumption),"")</f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46" t="str">
        <f>IFERROR((($F14*AQ14)/FourHeadAssumption),"")</f>
        <v/>
      </c>
      <c r="AT14" s="47" t="str">
        <f>IFERROR((($F14*AR14)/FourHeadAssumption),"")</f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2" t="str">
        <f>IFERROR((($F14*AU14)/SingleEndAssumption),"")</f>
        <v/>
      </c>
      <c r="AX14" s="43" t="str">
        <f>IFERROR((($F14*AV14)/SingleEndAssumption),"")</f>
        <v/>
      </c>
    </row>
    <row r="15" spans="1:50" x14ac:dyDescent="0.25">
      <c r="A15" s="91" t="s">
        <v>349</v>
      </c>
      <c r="B15" s="24" t="s">
        <v>435</v>
      </c>
      <c r="C15" s="20" t="str">
        <f>IFERROR(VLOOKUP(A15,'Parts List and Volumes'!C14:D206,2,FALSE),"")</f>
        <v>NJ000748AAF20</v>
      </c>
      <c r="D15" s="39">
        <f>IFERROR(IF(VLOOKUP($A15,'Parts List and Volumes'!$C14:$F269,3,FALSE)=0,"",VLOOKUP(A15,'Parts List and Volumes'!C14:F269,3,FALSE)),"")</f>
        <v>4.76</v>
      </c>
      <c r="E15" s="39" t="str">
        <f>IFERROR(IF(VLOOKUP($A15,'Parts List and Volumes'!$C14:$F269,4,FALSE)=0,"",VLOOKUP(B15,'Parts List and Volumes'!D14:G269,3,FALSE)),"")</f>
        <v/>
      </c>
      <c r="F15" s="92">
        <v>56.2</v>
      </c>
      <c r="G15" s="40">
        <f>IFERROR(VLOOKUP($A15,'Parts List and Volumes'!$C$2:$W206,5,FALSE),"")</f>
        <v>14800</v>
      </c>
      <c r="H15" s="41">
        <f>IFERROR(VLOOKUP($A15,'Parts List and Volumes'!$C$2:$W206,6,FALSE),"")</f>
        <v>10439.96764258865</v>
      </c>
      <c r="I15" s="42">
        <f>IFERROR((($F15*G15)/SingleEndAssumption),"")</f>
        <v>5.6628540305010897E-2</v>
      </c>
      <c r="J15" s="43">
        <f>IFERROR((($F15*H15)/SingleEndAssumption),"")</f>
        <v>3.9945954623739253E-2</v>
      </c>
      <c r="K15" s="58">
        <f>IFERROR(VLOOKUP($A15,'Parts List and Volumes'!$C$2:$W206,7,FALSE),"")</f>
        <v>0</v>
      </c>
      <c r="L15" s="45">
        <f>IFERROR(VLOOKUP($A15,'Parts List and Volumes'!$C$2:$W206,8,FALSE),"")</f>
        <v>20447.63370430352</v>
      </c>
      <c r="M15" s="46">
        <f>IFERROR((($F15*K15)/FourHeadAssumption),"")</f>
        <v>0</v>
      </c>
      <c r="N15" s="47">
        <f>IFERROR((($F15*L15)/FourHeadAssumption),"")</f>
        <v>8.4581420698776569E-2</v>
      </c>
      <c r="O15" s="41">
        <f>IFERROR(VLOOKUP($A15,'Parts List and Volumes'!$C$2:$W206,9,FALSE),"")</f>
        <v>0</v>
      </c>
      <c r="P15" s="41">
        <f>IFERROR(VLOOKUP($A15,'Parts List and Volumes'!$C$2:$W206,10,FALSE),"")</f>
        <v>19929.446159936266</v>
      </c>
      <c r="Q15" s="42">
        <f>IFERROR((($F15*O15)/SingleEndAssumption),"")</f>
        <v>0</v>
      </c>
      <c r="R15" s="43">
        <f>IFERROR((($F15*P15)/SingleEndAssumption),"")</f>
        <v>7.6255097643547001E-2</v>
      </c>
      <c r="S15" s="44">
        <f>IFERROR(VLOOKUP($A15,'Parts List and Volumes'!$C$2:$W206,11,FALSE),"")</f>
        <v>0</v>
      </c>
      <c r="T15" s="45">
        <f>IFERROR(VLOOKUP($A15,'Parts List and Volumes'!$C$2:$W206,12,FALSE),"")</f>
        <v>15428.007023705004</v>
      </c>
      <c r="U15" s="46">
        <f>IFERROR((($F15*S15)/FourHeadAssumption),"")</f>
        <v>0</v>
      </c>
      <c r="V15" s="47">
        <f>IFERROR((($F15*T15)/FourHeadAssumption),"")</f>
        <v>6.3817787988887514E-2</v>
      </c>
      <c r="W15" s="40">
        <f>IFERROR(VLOOKUP($A15,'Parts List and Volumes'!$C$2:$W206,13,FALSE),"")</f>
        <v>0</v>
      </c>
      <c r="X15" s="41">
        <f>IFERROR(VLOOKUP($A15,'Parts List and Volumes'!$C$2:$W206,14,FALSE),"")</f>
        <v>0</v>
      </c>
      <c r="Y15" s="42">
        <f>IFERROR((($F15*W15)/SingleEndAssumption),"")</f>
        <v>0</v>
      </c>
      <c r="Z15" s="43">
        <f>IFERROR((($F15*X15)/SingleEndAssumption),"")</f>
        <v>0</v>
      </c>
      <c r="AA15" s="49">
        <f>IFERROR(VLOOKUP($A15,'Parts List and Volumes'!$C$2:$W206,15,FALSE),"")</f>
        <v>0</v>
      </c>
      <c r="AB15" s="50">
        <f>IFERROR(VLOOKUP($A15,'Parts List and Volumes'!$C$2:$W206,16,FALSE),"")</f>
        <v>0</v>
      </c>
      <c r="AC15" s="46">
        <f>IFERROR((($F15*AA15)/FourHeadAssumption),"")</f>
        <v>0</v>
      </c>
      <c r="AD15" s="47">
        <f>IFERROR((($F15*AB15)/FourHeadAssumption),"")</f>
        <v>0</v>
      </c>
      <c r="AE15" s="40">
        <f>IFERROR(VLOOKUP($A15,'Parts List and Volumes'!$C$2:$W206,17,FALSE),"")</f>
        <v>0</v>
      </c>
      <c r="AF15" s="41">
        <f>IFERROR(VLOOKUP($A15,'Parts List and Volumes'!$C$2:$W206,18,FALSE),"")</f>
        <v>0</v>
      </c>
      <c r="AG15" s="42">
        <f>IFERROR((($F15*AE15)/SingleEndAssumption),"")</f>
        <v>0</v>
      </c>
      <c r="AH15" s="43">
        <f>IFERROR((($F15*AF15)/SingleEndAssumption),"")</f>
        <v>0</v>
      </c>
      <c r="AI15" s="49">
        <f>IFERROR(VLOOKUP($A15,'Parts List and Volumes'!$C$2:$W206,19,FALSE),"")</f>
        <v>0</v>
      </c>
      <c r="AJ15" s="50">
        <f>IFERROR(VLOOKUP($A15,'Parts List and Volumes'!$C$2:$W206,20,FALSE),"")</f>
        <v>0</v>
      </c>
      <c r="AK15" s="46">
        <f>IFERROR((($F15*AI15)/FourHeadAssumption),"")</f>
        <v>0</v>
      </c>
      <c r="AL15" s="47">
        <f>IFERROR((($F15*AJ15)/FourHeadAssumption),"")</f>
        <v>0</v>
      </c>
      <c r="AM15" s="40">
        <f>IFERROR(VLOOKUP($A15,'Parts List and Volumes'!$C$2:$W206,21,FALSE),"")</f>
        <v>0</v>
      </c>
      <c r="AN15" s="41" t="str">
        <f>IFERROR(VLOOKUP($A15,'Parts List and Volumes'!$C$2:$W206,22,FALSE),"")</f>
        <v/>
      </c>
      <c r="AO15" s="42">
        <f>IFERROR((($F15*AM15)/SingleEndAssumption),"")</f>
        <v>0</v>
      </c>
      <c r="AP15" s="43" t="str">
        <f>IFERROR((($F15*AN15)/SingleEndAssumption),"")</f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46" t="str">
        <f>IFERROR((($F15*AQ15)/FourHeadAssumption),"")</f>
        <v/>
      </c>
      <c r="AT15" s="47" t="str">
        <f>IFERROR((($F15*AR15)/FourHeadAssumption),"")</f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2" t="str">
        <f>IFERROR((($F15*AU15)/SingleEndAssumption),"")</f>
        <v/>
      </c>
      <c r="AX15" s="43" t="str">
        <f>IFERROR((($F15*AV15)/SingleEndAssumption),"")</f>
        <v/>
      </c>
    </row>
    <row r="16" spans="1:50" x14ac:dyDescent="0.25">
      <c r="A16" s="91" t="s">
        <v>351</v>
      </c>
      <c r="B16" s="24" t="s">
        <v>435</v>
      </c>
      <c r="C16" s="20" t="str">
        <f>IFERROR(VLOOKUP(A16,'Parts List and Volumes'!C15:D207,2,FALSE),"")</f>
        <v>NJ000751AAF20</v>
      </c>
      <c r="D16" s="39">
        <f>IFERROR(IF(VLOOKUP($A16,'Parts List and Volumes'!$C15:$F270,3,FALSE)=0,"",VLOOKUP(A16,'Parts List and Volumes'!C15:F270,3,FALSE)),"")</f>
        <v>4.76</v>
      </c>
      <c r="E16" s="39" t="str">
        <f>IFERROR(IF(VLOOKUP($A16,'Parts List and Volumes'!$C15:$F270,4,FALSE)=0,"",VLOOKUP(B16,'Parts List and Volumes'!D15:G270,3,FALSE)),"")</f>
        <v/>
      </c>
      <c r="F16" s="92">
        <v>54.2</v>
      </c>
      <c r="G16" s="40">
        <f>IFERROR(VLOOKUP($A16,'Parts List and Volumes'!$C$2:$W207,5,FALSE),"")</f>
        <v>14660</v>
      </c>
      <c r="H16" s="41">
        <f>IFERROR(VLOOKUP($A16,'Parts List and Volumes'!$C$2:$W207,6,FALSE),"")</f>
        <v>10439.96764258865</v>
      </c>
      <c r="I16" s="42">
        <f>IFERROR((($F16*G16)/SingleEndAssumption),"")</f>
        <v>5.4096677559912855E-2</v>
      </c>
      <c r="J16" s="43">
        <f>IFERROR((($F16*H16)/SingleEndAssumption),"")</f>
        <v>3.8524390402253868E-2</v>
      </c>
      <c r="K16" s="58">
        <f>IFERROR(VLOOKUP($A16,'Parts List and Volumes'!$C$2:$W207,7,FALSE),"")</f>
        <v>0</v>
      </c>
      <c r="L16" s="45">
        <f>IFERROR(VLOOKUP($A16,'Parts List and Volumes'!$C$2:$W207,8,FALSE),"")</f>
        <v>20447.63370430352</v>
      </c>
      <c r="M16" s="46">
        <f>IFERROR((($F16*K16)/FourHeadAssumption),"")</f>
        <v>0</v>
      </c>
      <c r="N16" s="47">
        <f>IFERROR((($F16*L16)/FourHeadAssumption),"")</f>
        <v>8.1571405727289853E-2</v>
      </c>
      <c r="O16" s="41">
        <f>IFERROR(VLOOKUP($A16,'Parts List and Volumes'!$C$2:$W207,9,FALSE),"")</f>
        <v>0</v>
      </c>
      <c r="P16" s="41">
        <f>IFERROR(VLOOKUP($A16,'Parts List and Volumes'!$C$2:$W207,10,FALSE),"")</f>
        <v>19929.446159936266</v>
      </c>
      <c r="Q16" s="42">
        <f>IFERROR((($F16*O16)/SingleEndAssumption),"")</f>
        <v>0</v>
      </c>
      <c r="R16" s="43">
        <f>IFERROR((($F16*P16)/SingleEndAssumption),"")</f>
        <v>7.3541393101072008E-2</v>
      </c>
      <c r="S16" s="44">
        <f>IFERROR(VLOOKUP($A16,'Parts List and Volumes'!$C$2:$W207,11,FALSE),"")</f>
        <v>0</v>
      </c>
      <c r="T16" s="45">
        <f>IFERROR(VLOOKUP($A16,'Parts List and Volumes'!$C$2:$W207,12,FALSE),"")</f>
        <v>15428.007023705004</v>
      </c>
      <c r="U16" s="46">
        <f>IFERROR((($F16*S16)/FourHeadAssumption),"")</f>
        <v>0</v>
      </c>
      <c r="V16" s="47">
        <f>IFERROR((($F16*T16)/FourHeadAssumption),"")</f>
        <v>6.1546692330919979E-2</v>
      </c>
      <c r="W16" s="40">
        <f>IFERROR(VLOOKUP($A16,'Parts List and Volumes'!$C$2:$W207,13,FALSE),"")</f>
        <v>0</v>
      </c>
      <c r="X16" s="41">
        <f>IFERROR(VLOOKUP($A16,'Parts List and Volumes'!$C$2:$W207,14,FALSE),"")</f>
        <v>0</v>
      </c>
      <c r="Y16" s="42">
        <f>IFERROR((($F16*W16)/SingleEndAssumption),"")</f>
        <v>0</v>
      </c>
      <c r="Z16" s="43">
        <f>IFERROR((($F16*X16)/SingleEndAssumption),"")</f>
        <v>0</v>
      </c>
      <c r="AA16" s="49">
        <f>IFERROR(VLOOKUP($A16,'Parts List and Volumes'!$C$2:$W207,15,FALSE),"")</f>
        <v>0</v>
      </c>
      <c r="AB16" s="50">
        <f>IFERROR(VLOOKUP($A16,'Parts List and Volumes'!$C$2:$W207,16,FALSE),"")</f>
        <v>0</v>
      </c>
      <c r="AC16" s="46">
        <f>IFERROR((($F16*AA16)/FourHeadAssumption),"")</f>
        <v>0</v>
      </c>
      <c r="AD16" s="47">
        <f>IFERROR((($F16*AB16)/FourHeadAssumption),"")</f>
        <v>0</v>
      </c>
      <c r="AE16" s="40">
        <f>IFERROR(VLOOKUP($A16,'Parts List and Volumes'!$C$2:$W207,17,FALSE),"")</f>
        <v>0</v>
      </c>
      <c r="AF16" s="41">
        <f>IFERROR(VLOOKUP($A16,'Parts List and Volumes'!$C$2:$W207,18,FALSE),"")</f>
        <v>0</v>
      </c>
      <c r="AG16" s="42">
        <f>IFERROR((($F16*AE16)/SingleEndAssumption),"")</f>
        <v>0</v>
      </c>
      <c r="AH16" s="43">
        <f>IFERROR((($F16*AF16)/SingleEndAssumption),"")</f>
        <v>0</v>
      </c>
      <c r="AI16" s="49">
        <f>IFERROR(VLOOKUP($A16,'Parts List and Volumes'!$C$2:$W207,19,FALSE),"")</f>
        <v>0</v>
      </c>
      <c r="AJ16" s="50">
        <f>IFERROR(VLOOKUP($A16,'Parts List and Volumes'!$C$2:$W207,20,FALSE),"")</f>
        <v>0</v>
      </c>
      <c r="AK16" s="46">
        <f>IFERROR((($F16*AI16)/FourHeadAssumption),"")</f>
        <v>0</v>
      </c>
      <c r="AL16" s="47">
        <f>IFERROR((($F16*AJ16)/FourHeadAssumption),"")</f>
        <v>0</v>
      </c>
      <c r="AM16" s="40">
        <f>IFERROR(VLOOKUP($A16,'Parts List and Volumes'!$C$2:$W207,21,FALSE),"")</f>
        <v>0</v>
      </c>
      <c r="AN16" s="41" t="str">
        <f>IFERROR(VLOOKUP($A16,'Parts List and Volumes'!$C$2:$W207,22,FALSE),"")</f>
        <v/>
      </c>
      <c r="AO16" s="42">
        <f>IFERROR((($F16*AM16)/SingleEndAssumption),"")</f>
        <v>0</v>
      </c>
      <c r="AP16" s="43" t="str">
        <f>IFERROR((($F16*AN16)/SingleEndAssumption),"")</f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46" t="str">
        <f>IFERROR((($F16*AQ16)/FourHeadAssumption),"")</f>
        <v/>
      </c>
      <c r="AT16" s="47" t="str">
        <f>IFERROR((($F16*AR16)/FourHeadAssumption),"")</f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2" t="str">
        <f>IFERROR((($F16*AU16)/SingleEndAssumption),"")</f>
        <v/>
      </c>
      <c r="AX16" s="43" t="str">
        <f>IFERROR((($F16*AV16)/SingleEndAssumption),"")</f>
        <v/>
      </c>
    </row>
    <row r="17" spans="1:50" x14ac:dyDescent="0.25">
      <c r="A17" s="91" t="s">
        <v>337</v>
      </c>
      <c r="B17" s="24" t="s">
        <v>434</v>
      </c>
      <c r="C17" s="20" t="str">
        <f>IFERROR(VLOOKUP(A17,'Parts List and Volumes'!C16:D208,2,FALSE),"")</f>
        <v>NJ000766AAF20</v>
      </c>
      <c r="D17" s="39">
        <f>IFERROR(IF(VLOOKUP($A17,'Parts List and Volumes'!$C16:$F271,3,FALSE)=0,"",VLOOKUP(A17,'Parts List and Volumes'!C16:F271,3,FALSE)),"")</f>
        <v>7.96</v>
      </c>
      <c r="E17" s="39" t="str">
        <f>IFERROR(IF(VLOOKUP($A17,'Parts List and Volumes'!$C16:$F271,4,FALSE)=0,"",VLOOKUP(B17,'Parts List and Volumes'!D16:G271,3,FALSE)),"")</f>
        <v/>
      </c>
      <c r="F17" s="92">
        <v>33.1</v>
      </c>
      <c r="G17" s="40">
        <f>IFERROR(VLOOKUP($A17,'Parts List and Volumes'!$C$2:$W208,5,FALSE),"")</f>
        <v>0</v>
      </c>
      <c r="H17" s="41">
        <f>IFERROR(VLOOKUP($A17,'Parts List and Volumes'!$C$2:$W208,6,FALSE),"")</f>
        <v>4995.4108502463532</v>
      </c>
      <c r="I17" s="42">
        <f>IFERROR((($F17*G17)/SingleEndAssumption),"")</f>
        <v>0</v>
      </c>
      <c r="J17" s="43">
        <f>IFERROR((($F17*H17)/SingleEndAssumption),"")</f>
        <v>1.1257359691118893E-2</v>
      </c>
      <c r="K17" s="58">
        <f>IFERROR(VLOOKUP($A17,'Parts List and Volumes'!$C$2:$W208,7,FALSE),"")</f>
        <v>0</v>
      </c>
      <c r="L17" s="45">
        <f>IFERROR(VLOOKUP($A17,'Parts List and Volumes'!$C$2:$W208,8,FALSE),"")</f>
        <v>17515.652000762144</v>
      </c>
      <c r="M17" s="46">
        <f>IFERROR((($F17*K17)/FourHeadAssumption),"")</f>
        <v>0</v>
      </c>
      <c r="N17" s="47">
        <f>IFERROR((($F17*L17)/FourHeadAssumption),"")</f>
        <v>4.2672678651094254E-2</v>
      </c>
      <c r="O17" s="41">
        <f>IFERROR(VLOOKUP($A17,'Parts List and Volumes'!$C$2:$W208,9,FALSE),"")</f>
        <v>0</v>
      </c>
      <c r="P17" s="41">
        <f>IFERROR(VLOOKUP($A17,'Parts List and Volumes'!$C$2:$W208,10,FALSE),"")</f>
        <v>19615.145347931539</v>
      </c>
      <c r="Q17" s="42">
        <f>IFERROR((($F17*O17)/SingleEndAssumption),"")</f>
        <v>0</v>
      </c>
      <c r="R17" s="43">
        <f>IFERROR((($F17*P17)/SingleEndAssumption),"")</f>
        <v>4.4203520630210651E-2</v>
      </c>
      <c r="S17" s="44">
        <f>IFERROR(VLOOKUP($A17,'Parts List and Volumes'!$C$2:$W208,11,FALSE),"")</f>
        <v>0</v>
      </c>
      <c r="T17" s="45">
        <f>IFERROR(VLOOKUP($A17,'Parts List and Volumes'!$C$2:$W208,12,FALSE),"")</f>
        <v>19571.992976294991</v>
      </c>
      <c r="U17" s="46">
        <f>IFERROR((($F17*S17)/FourHeadAssumption),"")</f>
        <v>0</v>
      </c>
      <c r="V17" s="47">
        <f>IFERROR((($F17*T17)/FourHeadAssumption),"")</f>
        <v>4.7682459482671212E-2</v>
      </c>
      <c r="W17" s="40">
        <f>IFERROR(VLOOKUP($A17,'Parts List and Volumes'!$C$2:$W208,13,FALSE),"")</f>
        <v>0</v>
      </c>
      <c r="X17" s="41">
        <f>IFERROR(VLOOKUP($A17,'Parts List and Volumes'!$C$2:$W208,14,FALSE),"")</f>
        <v>0</v>
      </c>
      <c r="Y17" s="42">
        <f>IFERROR((($F17*W17)/SingleEndAssumption),"")</f>
        <v>0</v>
      </c>
      <c r="Z17" s="43">
        <f>IFERROR((($F17*X17)/SingleEndAssumption),"")</f>
        <v>0</v>
      </c>
      <c r="AA17" s="49">
        <f>IFERROR(VLOOKUP($A17,'Parts List and Volumes'!$C$2:$W208,15,FALSE),"")</f>
        <v>0</v>
      </c>
      <c r="AB17" s="50">
        <f>IFERROR(VLOOKUP($A17,'Parts List and Volumes'!$C$2:$W208,16,FALSE),"")</f>
        <v>0</v>
      </c>
      <c r="AC17" s="46">
        <f>IFERROR((($F17*AA17)/FourHeadAssumption),"")</f>
        <v>0</v>
      </c>
      <c r="AD17" s="47">
        <f>IFERROR((($F17*AB17)/FourHeadAssumption),"")</f>
        <v>0</v>
      </c>
      <c r="AE17" s="40">
        <f>IFERROR(VLOOKUP($A17,'Parts List and Volumes'!$C$2:$W208,17,FALSE),"")</f>
        <v>0</v>
      </c>
      <c r="AF17" s="41">
        <f>IFERROR(VLOOKUP($A17,'Parts List and Volumes'!$C$2:$W208,18,FALSE),"")</f>
        <v>0</v>
      </c>
      <c r="AG17" s="42">
        <f>IFERROR((($F17*AE17)/SingleEndAssumption),"")</f>
        <v>0</v>
      </c>
      <c r="AH17" s="43">
        <f>IFERROR((($F17*AF17)/SingleEndAssumption),"")</f>
        <v>0</v>
      </c>
      <c r="AI17" s="49">
        <f>IFERROR(VLOOKUP($A17,'Parts List and Volumes'!$C$2:$W208,19,FALSE),"")</f>
        <v>0</v>
      </c>
      <c r="AJ17" s="50">
        <f>IFERROR(VLOOKUP($A17,'Parts List and Volumes'!$C$2:$W208,20,FALSE),"")</f>
        <v>0</v>
      </c>
      <c r="AK17" s="46">
        <f>IFERROR((($F17*AI17)/FourHeadAssumption),"")</f>
        <v>0</v>
      </c>
      <c r="AL17" s="47">
        <f>IFERROR((($F17*AJ17)/FourHeadAssumption),"")</f>
        <v>0</v>
      </c>
      <c r="AM17" s="40">
        <f>IFERROR(VLOOKUP($A17,'Parts List and Volumes'!$C$2:$W208,21,FALSE),"")</f>
        <v>0</v>
      </c>
      <c r="AN17" s="41" t="str">
        <f>IFERROR(VLOOKUP($A17,'Parts List and Volumes'!$C$2:$W208,22,FALSE),"")</f>
        <v/>
      </c>
      <c r="AO17" s="42">
        <f>IFERROR((($F17*AM17)/SingleEndAssumption),"")</f>
        <v>0</v>
      </c>
      <c r="AP17" s="43" t="str">
        <f>IFERROR((($F17*AN17)/SingleEndAssumption),"")</f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46" t="str">
        <f>IFERROR((($F17*AQ17)/FourHeadAssumption),"")</f>
        <v/>
      </c>
      <c r="AT17" s="47" t="str">
        <f>IFERROR((($F17*AR17)/FourHeadAssumption),"")</f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2" t="str">
        <f>IFERROR((($F17*AU17)/SingleEndAssumption),"")</f>
        <v/>
      </c>
      <c r="AX17" s="43" t="str">
        <f>IFERROR((($F17*AV17)/SingleEndAssumption),"")</f>
        <v/>
      </c>
    </row>
    <row r="18" spans="1:50" x14ac:dyDescent="0.25">
      <c r="A18" s="91" t="s">
        <v>337</v>
      </c>
      <c r="B18" s="24" t="s">
        <v>434</v>
      </c>
      <c r="C18" s="20" t="str">
        <f>IFERROR(VLOOKUP(A18,'Parts List and Volumes'!C17:D209,2,FALSE),"")</f>
        <v>NJ000766AAF20</v>
      </c>
      <c r="D18" s="39">
        <f>IFERROR(IF(VLOOKUP($A18,'Parts List and Volumes'!$C17:$F272,3,FALSE)=0,"",VLOOKUP(A18,'Parts List and Volumes'!C17:F272,3,FALSE)),"")</f>
        <v>7.96</v>
      </c>
      <c r="E18" s="39" t="str">
        <f>IFERROR(IF(VLOOKUP($A18,'Parts List and Volumes'!$C17:$F272,4,FALSE)=0,"",VLOOKUP(B18,'Parts List and Volumes'!D17:G272,3,FALSE)),"")</f>
        <v/>
      </c>
      <c r="F18" s="92">
        <v>33.1</v>
      </c>
      <c r="G18" s="40">
        <f>IFERROR(VLOOKUP($A18,'Parts List and Volumes'!$C$2:$W209,5,FALSE),"")</f>
        <v>0</v>
      </c>
      <c r="H18" s="41">
        <f>IFERROR(VLOOKUP($A18,'Parts List and Volumes'!$C$2:$W209,6,FALSE),"")</f>
        <v>4995.4108502463532</v>
      </c>
      <c r="I18" s="42">
        <f>IFERROR((($F18*G18)/SingleEndAssumption),"")</f>
        <v>0</v>
      </c>
      <c r="J18" s="43">
        <f>IFERROR((($F18*H18)/SingleEndAssumption),"")</f>
        <v>1.1257359691118893E-2</v>
      </c>
      <c r="K18" s="58">
        <f>IFERROR(VLOOKUP($A18,'Parts List and Volumes'!$C$2:$W209,7,FALSE),"")</f>
        <v>0</v>
      </c>
      <c r="L18" s="45">
        <f>IFERROR(VLOOKUP($A18,'Parts List and Volumes'!$C$2:$W209,8,FALSE),"")</f>
        <v>17515.652000762144</v>
      </c>
      <c r="M18" s="46">
        <f>IFERROR((($F18*K18)/FourHeadAssumption),"")</f>
        <v>0</v>
      </c>
      <c r="N18" s="47">
        <f>IFERROR((($F18*L18)/FourHeadAssumption),"")</f>
        <v>4.2672678651094254E-2</v>
      </c>
      <c r="O18" s="41">
        <f>IFERROR(VLOOKUP($A18,'Parts List and Volumes'!$C$2:$W209,9,FALSE),"")</f>
        <v>0</v>
      </c>
      <c r="P18" s="41">
        <f>IFERROR(VLOOKUP($A18,'Parts List and Volumes'!$C$2:$W209,10,FALSE),"")</f>
        <v>19615.145347931539</v>
      </c>
      <c r="Q18" s="42">
        <f>IFERROR((($F18*O18)/SingleEndAssumption),"")</f>
        <v>0</v>
      </c>
      <c r="R18" s="43">
        <f>IFERROR((($F18*P18)/SingleEndAssumption),"")</f>
        <v>4.4203520630210651E-2</v>
      </c>
      <c r="S18" s="44">
        <f>IFERROR(VLOOKUP($A18,'Parts List and Volumes'!$C$2:$W209,11,FALSE),"")</f>
        <v>0</v>
      </c>
      <c r="T18" s="45">
        <f>IFERROR(VLOOKUP($A18,'Parts List and Volumes'!$C$2:$W209,12,FALSE),"")</f>
        <v>19571.992976294991</v>
      </c>
      <c r="U18" s="46">
        <f>IFERROR((($F18*S18)/FourHeadAssumption),"")</f>
        <v>0</v>
      </c>
      <c r="V18" s="47">
        <f>IFERROR((($F18*T18)/FourHeadAssumption),"")</f>
        <v>4.7682459482671212E-2</v>
      </c>
      <c r="W18" s="40">
        <f>IFERROR(VLOOKUP($A18,'Parts List and Volumes'!$C$2:$W209,13,FALSE),"")</f>
        <v>0</v>
      </c>
      <c r="X18" s="41">
        <f>IFERROR(VLOOKUP($A18,'Parts List and Volumes'!$C$2:$W209,14,FALSE),"")</f>
        <v>0</v>
      </c>
      <c r="Y18" s="42">
        <f>IFERROR((($F18*W18)/SingleEndAssumption),"")</f>
        <v>0</v>
      </c>
      <c r="Z18" s="43">
        <f>IFERROR((($F18*X18)/SingleEndAssumption),"")</f>
        <v>0</v>
      </c>
      <c r="AA18" s="49">
        <f>IFERROR(VLOOKUP($A18,'Parts List and Volumes'!$C$2:$W209,15,FALSE),"")</f>
        <v>0</v>
      </c>
      <c r="AB18" s="50">
        <f>IFERROR(VLOOKUP($A18,'Parts List and Volumes'!$C$2:$W209,16,FALSE),"")</f>
        <v>0</v>
      </c>
      <c r="AC18" s="46">
        <f>IFERROR((($F18*AA18)/FourHeadAssumption),"")</f>
        <v>0</v>
      </c>
      <c r="AD18" s="47">
        <f>IFERROR((($F18*AB18)/FourHeadAssumption),"")</f>
        <v>0</v>
      </c>
      <c r="AE18" s="40">
        <f>IFERROR(VLOOKUP($A18,'Parts List and Volumes'!$C$2:$W209,17,FALSE),"")</f>
        <v>0</v>
      </c>
      <c r="AF18" s="41">
        <f>IFERROR(VLOOKUP($A18,'Parts List and Volumes'!$C$2:$W209,18,FALSE),"")</f>
        <v>0</v>
      </c>
      <c r="AG18" s="42">
        <f>IFERROR((($F18*AE18)/SingleEndAssumption),"")</f>
        <v>0</v>
      </c>
      <c r="AH18" s="43">
        <f>IFERROR((($F18*AF18)/SingleEndAssumption),"")</f>
        <v>0</v>
      </c>
      <c r="AI18" s="49">
        <f>IFERROR(VLOOKUP($A18,'Parts List and Volumes'!$C$2:$W209,19,FALSE),"")</f>
        <v>0</v>
      </c>
      <c r="AJ18" s="50">
        <f>IFERROR(VLOOKUP($A18,'Parts List and Volumes'!$C$2:$W209,20,FALSE),"")</f>
        <v>0</v>
      </c>
      <c r="AK18" s="46">
        <f>IFERROR((($F18*AI18)/FourHeadAssumption),"")</f>
        <v>0</v>
      </c>
      <c r="AL18" s="47">
        <f>IFERROR((($F18*AJ18)/FourHeadAssumption),"")</f>
        <v>0</v>
      </c>
      <c r="AM18" s="40">
        <f>IFERROR(VLOOKUP($A18,'Parts List and Volumes'!$C$2:$W209,21,FALSE),"")</f>
        <v>0</v>
      </c>
      <c r="AN18" s="41" t="str">
        <f>IFERROR(VLOOKUP($A18,'Parts List and Volumes'!$C$2:$W209,22,FALSE),"")</f>
        <v/>
      </c>
      <c r="AO18" s="42">
        <f>IFERROR((($F18*AM18)/SingleEndAssumption),"")</f>
        <v>0</v>
      </c>
      <c r="AP18" s="43" t="str">
        <f>IFERROR((($F18*AN18)/SingleEndAssumption),"")</f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46" t="str">
        <f>IFERROR((($F18*AQ18)/FourHeadAssumption),"")</f>
        <v/>
      </c>
      <c r="AT18" s="47" t="str">
        <f>IFERROR((($F18*AR18)/FourHeadAssumption),"")</f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2" t="str">
        <f>IFERROR((($F18*AU18)/SingleEndAssumption),"")</f>
        <v/>
      </c>
      <c r="AX18" s="43" t="str">
        <f>IFERROR((($F18*AV18)/SingleEndAssumption),"")</f>
        <v/>
      </c>
    </row>
    <row r="19" spans="1:50" x14ac:dyDescent="0.25">
      <c r="A19" s="91" t="s">
        <v>339</v>
      </c>
      <c r="B19" s="24" t="s">
        <v>434</v>
      </c>
      <c r="C19" s="20" t="str">
        <f>IFERROR(VLOOKUP(A19,'Parts List and Volumes'!C18:D210,2,FALSE),"")</f>
        <v>NJ000768ABF20</v>
      </c>
      <c r="D19" s="39">
        <f>IFERROR(IF(VLOOKUP($A19,'Parts List and Volumes'!$C18:$F273,3,FALSE)=0,"",VLOOKUP(A19,'Parts List and Volumes'!C18:F273,3,FALSE)),"")</f>
        <v>4.76</v>
      </c>
      <c r="E19" s="39" t="str">
        <f>IFERROR(IF(VLOOKUP($A19,'Parts List and Volumes'!$C18:$F273,4,FALSE)=0,"",VLOOKUP(B19,'Parts List and Volumes'!D18:G273,3,FALSE)),"")</f>
        <v/>
      </c>
      <c r="F19" s="92">
        <v>53.1</v>
      </c>
      <c r="G19" s="40">
        <f>IFERROR(VLOOKUP($A19,'Parts List and Volumes'!$C$2:$W210,5,FALSE),"")</f>
        <v>0</v>
      </c>
      <c r="H19" s="41">
        <f>IFERROR(VLOOKUP($A19,'Parts List and Volumes'!$C$2:$W210,6,FALSE),"")</f>
        <v>4995.4108502463532</v>
      </c>
      <c r="I19" s="42">
        <f>IFERROR((($F19*G19)/SingleEndAssumption),"")</f>
        <v>0</v>
      </c>
      <c r="J19" s="43">
        <f>IFERROR((($F19*H19)/SingleEndAssumption),"")</f>
        <v>1.8059389715964148E-2</v>
      </c>
      <c r="K19" s="58">
        <f>IFERROR(VLOOKUP($A19,'Parts List and Volumes'!$C$2:$W210,7,FALSE),"")</f>
        <v>0</v>
      </c>
      <c r="L19" s="45">
        <f>IFERROR(VLOOKUP($A19,'Parts List and Volumes'!$C$2:$W210,8,FALSE),"")</f>
        <v>17515.652000762144</v>
      </c>
      <c r="M19" s="46">
        <f>IFERROR((($F19*K19)/FourHeadAssumption),"")</f>
        <v>0</v>
      </c>
      <c r="N19" s="47">
        <f>IFERROR((($F19*L19)/FourHeadAssumption),"")</f>
        <v>6.845677451278262E-2</v>
      </c>
      <c r="O19" s="41">
        <f>IFERROR(VLOOKUP($A19,'Parts List and Volumes'!$C$2:$W210,9,FALSE),"")</f>
        <v>0</v>
      </c>
      <c r="P19" s="41">
        <f>IFERROR(VLOOKUP($A19,'Parts List and Volumes'!$C$2:$W210,10,FALSE),"")</f>
        <v>19615.145347931539</v>
      </c>
      <c r="Q19" s="42">
        <f>IFERROR((($F19*O19)/SingleEndAssumption),"")</f>
        <v>0</v>
      </c>
      <c r="R19" s="43">
        <f>IFERROR((($F19*P19)/SingleEndAssumption),"")</f>
        <v>7.0912596539703485E-2</v>
      </c>
      <c r="S19" s="44">
        <f>IFERROR(VLOOKUP($A19,'Parts List and Volumes'!$C$2:$W210,11,FALSE),"")</f>
        <v>0</v>
      </c>
      <c r="T19" s="45">
        <f>IFERROR(VLOOKUP($A19,'Parts List and Volumes'!$C$2:$W210,12,FALSE),"")</f>
        <v>19571.992976294991</v>
      </c>
      <c r="U19" s="46">
        <f>IFERROR((($F19*S19)/FourHeadAssumption),"")</f>
        <v>0</v>
      </c>
      <c r="V19" s="47">
        <f>IFERROR((($F19*T19)/FourHeadAssumption),"")</f>
        <v>7.6493613248635697E-2</v>
      </c>
      <c r="W19" s="40">
        <f>IFERROR(VLOOKUP($A19,'Parts List and Volumes'!$C$2:$W210,13,FALSE),"")</f>
        <v>0</v>
      </c>
      <c r="X19" s="41">
        <f>IFERROR(VLOOKUP($A19,'Parts List and Volumes'!$C$2:$W210,14,FALSE),"")</f>
        <v>0</v>
      </c>
      <c r="Y19" s="42">
        <f>IFERROR((($F19*W19)/SingleEndAssumption),"")</f>
        <v>0</v>
      </c>
      <c r="Z19" s="43">
        <f>IFERROR((($F19*X19)/SingleEndAssumption),"")</f>
        <v>0</v>
      </c>
      <c r="AA19" s="49">
        <f>IFERROR(VLOOKUP($A19,'Parts List and Volumes'!$C$2:$W210,15,FALSE),"")</f>
        <v>0</v>
      </c>
      <c r="AB19" s="50">
        <f>IFERROR(VLOOKUP($A19,'Parts List and Volumes'!$C$2:$W210,16,FALSE),"")</f>
        <v>0</v>
      </c>
      <c r="AC19" s="46">
        <f>IFERROR((($F19*AA19)/FourHeadAssumption),"")</f>
        <v>0</v>
      </c>
      <c r="AD19" s="47">
        <f>IFERROR((($F19*AB19)/FourHeadAssumption),"")</f>
        <v>0</v>
      </c>
      <c r="AE19" s="40">
        <f>IFERROR(VLOOKUP($A19,'Parts List and Volumes'!$C$2:$W210,17,FALSE),"")</f>
        <v>0</v>
      </c>
      <c r="AF19" s="41">
        <f>IFERROR(VLOOKUP($A19,'Parts List and Volumes'!$C$2:$W210,18,FALSE),"")</f>
        <v>0</v>
      </c>
      <c r="AG19" s="42">
        <f>IFERROR((($F19*AE19)/SingleEndAssumption),"")</f>
        <v>0</v>
      </c>
      <c r="AH19" s="43">
        <f>IFERROR((($F19*AF19)/SingleEndAssumption),"")</f>
        <v>0</v>
      </c>
      <c r="AI19" s="49">
        <f>IFERROR(VLOOKUP($A19,'Parts List and Volumes'!$C$2:$W210,19,FALSE),"")</f>
        <v>0</v>
      </c>
      <c r="AJ19" s="50">
        <f>IFERROR(VLOOKUP($A19,'Parts List and Volumes'!$C$2:$W210,20,FALSE),"")</f>
        <v>0</v>
      </c>
      <c r="AK19" s="46">
        <f>IFERROR((($F19*AI19)/FourHeadAssumption),"")</f>
        <v>0</v>
      </c>
      <c r="AL19" s="47">
        <f>IFERROR((($F19*AJ19)/FourHeadAssumption),"")</f>
        <v>0</v>
      </c>
      <c r="AM19" s="40">
        <f>IFERROR(VLOOKUP($A19,'Parts List and Volumes'!$C$2:$W210,21,FALSE),"")</f>
        <v>0</v>
      </c>
      <c r="AN19" s="41" t="str">
        <f>IFERROR(VLOOKUP($A19,'Parts List and Volumes'!$C$2:$W210,22,FALSE),"")</f>
        <v/>
      </c>
      <c r="AO19" s="42">
        <f>IFERROR((($F19*AM19)/SingleEndAssumption),"")</f>
        <v>0</v>
      </c>
      <c r="AP19" s="43" t="str">
        <f>IFERROR((($F19*AN19)/SingleEndAssumption),"")</f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46" t="str">
        <f>IFERROR((($F19*AQ19)/FourHeadAssumption),"")</f>
        <v/>
      </c>
      <c r="AT19" s="47" t="str">
        <f>IFERROR((($F19*AR19)/FourHeadAssumption),"")</f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2" t="str">
        <f>IFERROR((($F19*AU19)/SingleEndAssumption),"")</f>
        <v/>
      </c>
      <c r="AX19" s="43" t="str">
        <f>IFERROR((($F19*AV19)/SingleEndAssumption),"")</f>
        <v/>
      </c>
    </row>
    <row r="20" spans="1:50" x14ac:dyDescent="0.25">
      <c r="A20" s="91" t="s">
        <v>338</v>
      </c>
      <c r="B20" s="24" t="s">
        <v>434</v>
      </c>
      <c r="C20" s="20" t="str">
        <f>IFERROR(VLOOKUP(A20,'Parts List and Volumes'!C19:D211,2,FALSE),"")</f>
        <v>NJ000770AAF20</v>
      </c>
      <c r="D20" s="39">
        <f>IFERROR(IF(VLOOKUP($A20,'Parts List and Volumes'!$C19:$F274,3,FALSE)=0,"",VLOOKUP(A20,'Parts List and Volumes'!C19:F274,3,FALSE)),"")</f>
        <v>4.76</v>
      </c>
      <c r="E20" s="39" t="str">
        <f>IFERROR(IF(VLOOKUP($A20,'Parts List and Volumes'!$C19:$F274,4,FALSE)=0,"",VLOOKUP(B20,'Parts List and Volumes'!D19:G274,3,FALSE)),"")</f>
        <v/>
      </c>
      <c r="F20" s="92">
        <v>59.3</v>
      </c>
      <c r="G20" s="40">
        <f>IFERROR(VLOOKUP($A20,'Parts List and Volumes'!$C$2:$W211,5,FALSE),"")</f>
        <v>0</v>
      </c>
      <c r="H20" s="41">
        <f>IFERROR(VLOOKUP($A20,'Parts List and Volumes'!$C$2:$W211,6,FALSE),"")</f>
        <v>4995.4108502463532</v>
      </c>
      <c r="I20" s="42">
        <f>IFERROR((($F20*G20)/SingleEndAssumption),"")</f>
        <v>0</v>
      </c>
      <c r="J20" s="43">
        <f>IFERROR((($F20*H20)/SingleEndAssumption),"")</f>
        <v>2.0168019023666172E-2</v>
      </c>
      <c r="K20" s="58">
        <f>IFERROR(VLOOKUP($A20,'Parts List and Volumes'!$C$2:$W211,7,FALSE),"")</f>
        <v>0</v>
      </c>
      <c r="L20" s="45">
        <f>IFERROR(VLOOKUP($A20,'Parts List and Volumes'!$C$2:$W211,8,FALSE),"")</f>
        <v>17515.652000762144</v>
      </c>
      <c r="M20" s="46">
        <f>IFERROR((($F20*K20)/FourHeadAssumption),"")</f>
        <v>0</v>
      </c>
      <c r="N20" s="47">
        <f>IFERROR((($F20*L20)/FourHeadAssumption),"")</f>
        <v>7.6449844229906014E-2</v>
      </c>
      <c r="O20" s="41">
        <f>IFERROR(VLOOKUP($A20,'Parts List and Volumes'!$C$2:$W211,9,FALSE),"")</f>
        <v>0</v>
      </c>
      <c r="P20" s="41">
        <f>IFERROR(VLOOKUP($A20,'Parts List and Volumes'!$C$2:$W211,10,FALSE),"")</f>
        <v>19615.145347931539</v>
      </c>
      <c r="Q20" s="42">
        <f>IFERROR((($F20*O20)/SingleEndAssumption),"")</f>
        <v>0</v>
      </c>
      <c r="R20" s="43">
        <f>IFERROR((($F20*P20)/SingleEndAssumption),"")</f>
        <v>7.9192410071646249E-2</v>
      </c>
      <c r="S20" s="44">
        <f>IFERROR(VLOOKUP($A20,'Parts List and Volumes'!$C$2:$W211,11,FALSE),"")</f>
        <v>0</v>
      </c>
      <c r="T20" s="45">
        <f>IFERROR(VLOOKUP($A20,'Parts List and Volumes'!$C$2:$W211,12,FALSE),"")</f>
        <v>19571.992976294991</v>
      </c>
      <c r="U20" s="46">
        <f>IFERROR((($F20*S20)/FourHeadAssumption),"")</f>
        <v>0</v>
      </c>
      <c r="V20" s="47">
        <f>IFERROR((($F20*T20)/FourHeadAssumption),"")</f>
        <v>8.5425070916084686E-2</v>
      </c>
      <c r="W20" s="40">
        <f>IFERROR(VLOOKUP($A20,'Parts List and Volumes'!$C$2:$W211,13,FALSE),"")</f>
        <v>0</v>
      </c>
      <c r="X20" s="41">
        <f>IFERROR(VLOOKUP($A20,'Parts List and Volumes'!$C$2:$W211,14,FALSE),"")</f>
        <v>0</v>
      </c>
      <c r="Y20" s="42">
        <f>IFERROR((($F20*W20)/SingleEndAssumption),"")</f>
        <v>0</v>
      </c>
      <c r="Z20" s="43">
        <f>IFERROR((($F20*X20)/SingleEndAssumption),"")</f>
        <v>0</v>
      </c>
      <c r="AA20" s="49">
        <f>IFERROR(VLOOKUP($A20,'Parts List and Volumes'!$C$2:$W211,15,FALSE),"")</f>
        <v>0</v>
      </c>
      <c r="AB20" s="50">
        <f>IFERROR(VLOOKUP($A20,'Parts List and Volumes'!$C$2:$W211,16,FALSE),"")</f>
        <v>0</v>
      </c>
      <c r="AC20" s="46">
        <f>IFERROR((($F20*AA20)/FourHeadAssumption),"")</f>
        <v>0</v>
      </c>
      <c r="AD20" s="47">
        <f>IFERROR((($F20*AB20)/FourHeadAssumption),"")</f>
        <v>0</v>
      </c>
      <c r="AE20" s="40">
        <f>IFERROR(VLOOKUP($A20,'Parts List and Volumes'!$C$2:$W211,17,FALSE),"")</f>
        <v>0</v>
      </c>
      <c r="AF20" s="41">
        <f>IFERROR(VLOOKUP($A20,'Parts List and Volumes'!$C$2:$W211,18,FALSE),"")</f>
        <v>0</v>
      </c>
      <c r="AG20" s="42">
        <f>IFERROR((($F20*AE20)/SingleEndAssumption),"")</f>
        <v>0</v>
      </c>
      <c r="AH20" s="43">
        <f>IFERROR((($F20*AF20)/SingleEndAssumption),"")</f>
        <v>0</v>
      </c>
      <c r="AI20" s="49">
        <f>IFERROR(VLOOKUP($A20,'Parts List and Volumes'!$C$2:$W211,19,FALSE),"")</f>
        <v>0</v>
      </c>
      <c r="AJ20" s="50">
        <f>IFERROR(VLOOKUP($A20,'Parts List and Volumes'!$C$2:$W211,20,FALSE),"")</f>
        <v>0</v>
      </c>
      <c r="AK20" s="46">
        <f>IFERROR((($F20*AI20)/FourHeadAssumption),"")</f>
        <v>0</v>
      </c>
      <c r="AL20" s="47">
        <f>IFERROR((($F20*AJ20)/FourHeadAssumption),"")</f>
        <v>0</v>
      </c>
      <c r="AM20" s="40">
        <f>IFERROR(VLOOKUP($A20,'Parts List and Volumes'!$C$2:$W211,21,FALSE),"")</f>
        <v>0</v>
      </c>
      <c r="AN20" s="41" t="str">
        <f>IFERROR(VLOOKUP($A20,'Parts List and Volumes'!$C$2:$W211,22,FALSE),"")</f>
        <v/>
      </c>
      <c r="AO20" s="42">
        <f>IFERROR((($F20*AM20)/SingleEndAssumption),"")</f>
        <v>0</v>
      </c>
      <c r="AP20" s="43" t="str">
        <f>IFERROR((($F20*AN20)/SingleEndAssumption),"")</f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46" t="str">
        <f>IFERROR((($F20*AQ20)/FourHeadAssumption),"")</f>
        <v/>
      </c>
      <c r="AT20" s="47" t="str">
        <f>IFERROR((($F20*AR20)/FourHeadAssumption),"")</f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2" t="str">
        <f>IFERROR((($F20*AU20)/SingleEndAssumption),"")</f>
        <v/>
      </c>
      <c r="AX20" s="43" t="str">
        <f>IFERROR((($F20*AV20)/SingleEndAssumption),"")</f>
        <v/>
      </c>
    </row>
    <row r="21" spans="1:50" x14ac:dyDescent="0.25">
      <c r="A21" s="91" t="s">
        <v>348</v>
      </c>
      <c r="B21" s="24" t="s">
        <v>435</v>
      </c>
      <c r="C21" s="20" t="str">
        <f>IFERROR(VLOOKUP(A21,'Parts List and Volumes'!C20:D212,2,FALSE),"")</f>
        <v>NJ000771AAF20</v>
      </c>
      <c r="D21" s="39">
        <f>IFERROR(IF(VLOOKUP($A21,'Parts List and Volumes'!$C20:$F275,3,FALSE)=0,"",VLOOKUP(A21,'Parts List and Volumes'!C20:F275,3,FALSE)),"")</f>
        <v>7.96</v>
      </c>
      <c r="E21" s="39" t="str">
        <f>IFERROR(IF(VLOOKUP($A21,'Parts List and Volumes'!$C20:$F275,4,FALSE)=0,"",VLOOKUP(B21,'Parts List and Volumes'!D20:G275,3,FALSE)),"")</f>
        <v/>
      </c>
      <c r="F21" s="92">
        <v>33.1</v>
      </c>
      <c r="G21" s="40">
        <f>IFERROR(VLOOKUP($A21,'Parts List and Volumes'!$C$2:$W212,5,FALSE),"")</f>
        <v>14800</v>
      </c>
      <c r="H21" s="41">
        <f>IFERROR(VLOOKUP($A21,'Parts List and Volumes'!$C$2:$W212,6,FALSE),"")</f>
        <v>10439.96764258865</v>
      </c>
      <c r="I21" s="42">
        <f>IFERROR((($F21*G21)/SingleEndAssumption),"")</f>
        <v>3.335239651416122E-2</v>
      </c>
      <c r="J21" s="43">
        <f>IFERROR((($F21*H21)/SingleEndAssumption),"")</f>
        <v>2.3526887865583084E-2</v>
      </c>
      <c r="K21" s="58">
        <f>IFERROR(VLOOKUP($A21,'Parts List and Volumes'!$C$2:$W212,7,FALSE),"")</f>
        <v>0</v>
      </c>
      <c r="L21" s="45">
        <f>IFERROR(VLOOKUP($A21,'Parts List and Volumes'!$C$2:$W212,8,FALSE),"")</f>
        <v>20447.63370430352</v>
      </c>
      <c r="M21" s="46">
        <f>IFERROR((($F21*K21)/FourHeadAssumption),"")</f>
        <v>0</v>
      </c>
      <c r="N21" s="47">
        <f>IFERROR((($F21*L21)/FourHeadAssumption),"")</f>
        <v>4.9815747778105053E-2</v>
      </c>
      <c r="O21" s="41">
        <f>IFERROR(VLOOKUP($A21,'Parts List and Volumes'!$C$2:$W212,9,FALSE),"")</f>
        <v>0</v>
      </c>
      <c r="P21" s="41">
        <f>IFERROR(VLOOKUP($A21,'Parts List and Volumes'!$C$2:$W212,10,FALSE),"")</f>
        <v>19929.446159936266</v>
      </c>
      <c r="Q21" s="42">
        <f>IFERROR((($F21*O21)/SingleEndAssumption),"")</f>
        <v>0</v>
      </c>
      <c r="R21" s="43">
        <f>IFERROR((($F21*P21)/SingleEndAssumption),"")</f>
        <v>4.4911810177960948E-2</v>
      </c>
      <c r="S21" s="44">
        <f>IFERROR(VLOOKUP($A21,'Parts List and Volumes'!$C$2:$W212,11,FALSE),"")</f>
        <v>0</v>
      </c>
      <c r="T21" s="45">
        <f>IFERROR(VLOOKUP($A21,'Parts List and Volumes'!$C$2:$W212,12,FALSE),"")</f>
        <v>15428.007023705004</v>
      </c>
      <c r="U21" s="46">
        <f>IFERROR((($F21*S21)/FourHeadAssumption),"")</f>
        <v>0</v>
      </c>
      <c r="V21" s="47">
        <f>IFERROR((($F21*T21)/FourHeadAssumption),"")</f>
        <v>3.7586633139362571E-2</v>
      </c>
      <c r="W21" s="40">
        <f>IFERROR(VLOOKUP($A21,'Parts List and Volumes'!$C$2:$W212,13,FALSE),"")</f>
        <v>0</v>
      </c>
      <c r="X21" s="41">
        <f>IFERROR(VLOOKUP($A21,'Parts List and Volumes'!$C$2:$W212,14,FALSE),"")</f>
        <v>0</v>
      </c>
      <c r="Y21" s="42">
        <f>IFERROR((($F21*W21)/SingleEndAssumption),"")</f>
        <v>0</v>
      </c>
      <c r="Z21" s="43">
        <f>IFERROR((($F21*X21)/SingleEndAssumption),"")</f>
        <v>0</v>
      </c>
      <c r="AA21" s="49">
        <f>IFERROR(VLOOKUP($A21,'Parts List and Volumes'!$C$2:$W212,15,FALSE),"")</f>
        <v>0</v>
      </c>
      <c r="AB21" s="50">
        <f>IFERROR(VLOOKUP($A21,'Parts List and Volumes'!$C$2:$W212,16,FALSE),"")</f>
        <v>0</v>
      </c>
      <c r="AC21" s="46">
        <f>IFERROR((($F21*AA21)/FourHeadAssumption),"")</f>
        <v>0</v>
      </c>
      <c r="AD21" s="47">
        <f>IFERROR((($F21*AB21)/FourHeadAssumption),"")</f>
        <v>0</v>
      </c>
      <c r="AE21" s="40">
        <f>IFERROR(VLOOKUP($A21,'Parts List and Volumes'!$C$2:$W212,17,FALSE),"")</f>
        <v>0</v>
      </c>
      <c r="AF21" s="41">
        <f>IFERROR(VLOOKUP($A21,'Parts List and Volumes'!$C$2:$W212,18,FALSE),"")</f>
        <v>0</v>
      </c>
      <c r="AG21" s="42">
        <f>IFERROR((($F21*AE21)/SingleEndAssumption),"")</f>
        <v>0</v>
      </c>
      <c r="AH21" s="43">
        <f>IFERROR((($F21*AF21)/SingleEndAssumption),"")</f>
        <v>0</v>
      </c>
      <c r="AI21" s="49">
        <f>IFERROR(VLOOKUP($A21,'Parts List and Volumes'!$C$2:$W212,19,FALSE),"")</f>
        <v>0</v>
      </c>
      <c r="AJ21" s="50">
        <f>IFERROR(VLOOKUP($A21,'Parts List and Volumes'!$C$2:$W212,20,FALSE),"")</f>
        <v>0</v>
      </c>
      <c r="AK21" s="46">
        <f>IFERROR((($F21*AI21)/FourHeadAssumption),"")</f>
        <v>0</v>
      </c>
      <c r="AL21" s="47">
        <f>IFERROR((($F21*AJ21)/FourHeadAssumption),"")</f>
        <v>0</v>
      </c>
      <c r="AM21" s="40">
        <f>IFERROR(VLOOKUP($A21,'Parts List and Volumes'!$C$2:$W212,21,FALSE),"")</f>
        <v>0</v>
      </c>
      <c r="AN21" s="41" t="str">
        <f>IFERROR(VLOOKUP($A21,'Parts List and Volumes'!$C$2:$W212,22,FALSE),"")</f>
        <v/>
      </c>
      <c r="AO21" s="42">
        <f>IFERROR((($F21*AM21)/SingleEndAssumption),"")</f>
        <v>0</v>
      </c>
      <c r="AP21" s="43" t="str">
        <f>IFERROR((($F21*AN21)/SingleEndAssumption),"")</f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46" t="str">
        <f>IFERROR((($F21*AQ21)/FourHeadAssumption),"")</f>
        <v/>
      </c>
      <c r="AT21" s="47" t="str">
        <f>IFERROR((($F21*AR21)/FourHeadAssumption),"")</f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2" t="str">
        <f>IFERROR((($F21*AU21)/SingleEndAssumption),"")</f>
        <v/>
      </c>
      <c r="AX21" s="43" t="str">
        <f>IFERROR((($F21*AV21)/SingleEndAssumption),"")</f>
        <v/>
      </c>
    </row>
    <row r="22" spans="1:50" x14ac:dyDescent="0.25">
      <c r="A22" s="91" t="s">
        <v>348</v>
      </c>
      <c r="B22" s="24" t="s">
        <v>435</v>
      </c>
      <c r="C22" s="20" t="str">
        <f>IFERROR(VLOOKUP(A22,'Parts List and Volumes'!C21:D213,2,FALSE),"")</f>
        <v>NJ000771AAF20</v>
      </c>
      <c r="D22" s="39">
        <f>IFERROR(IF(VLOOKUP($A22,'Parts List and Volumes'!$C21:$F276,3,FALSE)=0,"",VLOOKUP(A22,'Parts List and Volumes'!C21:F276,3,FALSE)),"")</f>
        <v>7.96</v>
      </c>
      <c r="E22" s="39" t="str">
        <f>IFERROR(IF(VLOOKUP($A22,'Parts List and Volumes'!$C21:$F276,4,FALSE)=0,"",VLOOKUP(B22,'Parts List and Volumes'!D21:G276,3,FALSE)),"")</f>
        <v/>
      </c>
      <c r="F22" s="92">
        <v>33.1</v>
      </c>
      <c r="G22" s="40">
        <f>IFERROR(VLOOKUP($A22,'Parts List and Volumes'!$C$2:$W213,5,FALSE),"")</f>
        <v>14800</v>
      </c>
      <c r="H22" s="41">
        <f>IFERROR(VLOOKUP($A22,'Parts List and Volumes'!$C$2:$W213,6,FALSE),"")</f>
        <v>10439.96764258865</v>
      </c>
      <c r="I22" s="42">
        <f>IFERROR((($F22*G22)/SingleEndAssumption),"")</f>
        <v>3.335239651416122E-2</v>
      </c>
      <c r="J22" s="43">
        <f>IFERROR((($F22*H22)/SingleEndAssumption),"")</f>
        <v>2.3526887865583084E-2</v>
      </c>
      <c r="K22" s="58">
        <f>IFERROR(VLOOKUP($A22,'Parts List and Volumes'!$C$2:$W213,7,FALSE),"")</f>
        <v>0</v>
      </c>
      <c r="L22" s="45">
        <f>IFERROR(VLOOKUP($A22,'Parts List and Volumes'!$C$2:$W213,8,FALSE),"")</f>
        <v>20447.63370430352</v>
      </c>
      <c r="M22" s="46">
        <f>IFERROR((($F22*K22)/FourHeadAssumption),"")</f>
        <v>0</v>
      </c>
      <c r="N22" s="47">
        <f>IFERROR((($F22*L22)/FourHeadAssumption),"")</f>
        <v>4.9815747778105053E-2</v>
      </c>
      <c r="O22" s="41">
        <f>IFERROR(VLOOKUP($A22,'Parts List and Volumes'!$C$2:$W213,9,FALSE),"")</f>
        <v>0</v>
      </c>
      <c r="P22" s="41">
        <f>IFERROR(VLOOKUP($A22,'Parts List and Volumes'!$C$2:$W213,10,FALSE),"")</f>
        <v>19929.446159936266</v>
      </c>
      <c r="Q22" s="42">
        <f>IFERROR((($F22*O22)/SingleEndAssumption),"")</f>
        <v>0</v>
      </c>
      <c r="R22" s="43">
        <f>IFERROR((($F22*P22)/SingleEndAssumption),"")</f>
        <v>4.4911810177960948E-2</v>
      </c>
      <c r="S22" s="44">
        <f>IFERROR(VLOOKUP($A22,'Parts List and Volumes'!$C$2:$W213,11,FALSE),"")</f>
        <v>0</v>
      </c>
      <c r="T22" s="45">
        <f>IFERROR(VLOOKUP($A22,'Parts List and Volumes'!$C$2:$W213,12,FALSE),"")</f>
        <v>15428.007023705004</v>
      </c>
      <c r="U22" s="46">
        <f>IFERROR((($F22*S22)/FourHeadAssumption),"")</f>
        <v>0</v>
      </c>
      <c r="V22" s="47">
        <f>IFERROR((($F22*T22)/FourHeadAssumption),"")</f>
        <v>3.7586633139362571E-2</v>
      </c>
      <c r="W22" s="40">
        <f>IFERROR(VLOOKUP($A22,'Parts List and Volumes'!$C$2:$W213,13,FALSE),"")</f>
        <v>0</v>
      </c>
      <c r="X22" s="41">
        <f>IFERROR(VLOOKUP($A22,'Parts List and Volumes'!$C$2:$W213,14,FALSE),"")</f>
        <v>0</v>
      </c>
      <c r="Y22" s="42">
        <f>IFERROR((($F22*W22)/SingleEndAssumption),"")</f>
        <v>0</v>
      </c>
      <c r="Z22" s="43">
        <f>IFERROR((($F22*X22)/SingleEndAssumption),"")</f>
        <v>0</v>
      </c>
      <c r="AA22" s="49">
        <f>IFERROR(VLOOKUP($A22,'Parts List and Volumes'!$C$2:$W213,15,FALSE),"")</f>
        <v>0</v>
      </c>
      <c r="AB22" s="50">
        <f>IFERROR(VLOOKUP($A22,'Parts List and Volumes'!$C$2:$W213,16,FALSE),"")</f>
        <v>0</v>
      </c>
      <c r="AC22" s="46">
        <f>IFERROR((($F22*AA22)/FourHeadAssumption),"")</f>
        <v>0</v>
      </c>
      <c r="AD22" s="47">
        <f>IFERROR((($F22*AB22)/FourHeadAssumption),"")</f>
        <v>0</v>
      </c>
      <c r="AE22" s="40">
        <f>IFERROR(VLOOKUP($A22,'Parts List and Volumes'!$C$2:$W213,17,FALSE),"")</f>
        <v>0</v>
      </c>
      <c r="AF22" s="41">
        <f>IFERROR(VLOOKUP($A22,'Parts List and Volumes'!$C$2:$W213,18,FALSE),"")</f>
        <v>0</v>
      </c>
      <c r="AG22" s="42">
        <f>IFERROR((($F22*AE22)/SingleEndAssumption),"")</f>
        <v>0</v>
      </c>
      <c r="AH22" s="43">
        <f>IFERROR((($F22*AF22)/SingleEndAssumption),"")</f>
        <v>0</v>
      </c>
      <c r="AI22" s="49">
        <f>IFERROR(VLOOKUP($A22,'Parts List and Volumes'!$C$2:$W213,19,FALSE),"")</f>
        <v>0</v>
      </c>
      <c r="AJ22" s="50">
        <f>IFERROR(VLOOKUP($A22,'Parts List and Volumes'!$C$2:$W213,20,FALSE),"")</f>
        <v>0</v>
      </c>
      <c r="AK22" s="46">
        <f>IFERROR((($F22*AI22)/FourHeadAssumption),"")</f>
        <v>0</v>
      </c>
      <c r="AL22" s="47">
        <f>IFERROR((($F22*AJ22)/FourHeadAssumption),"")</f>
        <v>0</v>
      </c>
      <c r="AM22" s="40">
        <f>IFERROR(VLOOKUP($A22,'Parts List and Volumes'!$C$2:$W213,21,FALSE),"")</f>
        <v>0</v>
      </c>
      <c r="AN22" s="41" t="str">
        <f>IFERROR(VLOOKUP($A22,'Parts List and Volumes'!$C$2:$W213,22,FALSE),"")</f>
        <v/>
      </c>
      <c r="AO22" s="42">
        <f>IFERROR((($F22*AM22)/SingleEndAssumption),"")</f>
        <v>0</v>
      </c>
      <c r="AP22" s="43" t="str">
        <f>IFERROR((($F22*AN22)/SingleEndAssumption),"")</f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46" t="str">
        <f>IFERROR((($F22*AQ22)/FourHeadAssumption),"")</f>
        <v/>
      </c>
      <c r="AT22" s="47" t="str">
        <f>IFERROR((($F22*AR22)/FourHeadAssumption),"")</f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2" t="str">
        <f>IFERROR((($F22*AU22)/SingleEndAssumption),"")</f>
        <v/>
      </c>
      <c r="AX22" s="43" t="str">
        <f>IFERROR((($F22*AV22)/SingleEndAssumption),"")</f>
        <v/>
      </c>
    </row>
    <row r="23" spans="1:50" x14ac:dyDescent="0.25">
      <c r="A23" s="91" t="s">
        <v>335</v>
      </c>
      <c r="B23" s="24" t="s">
        <v>435</v>
      </c>
      <c r="C23" s="20" t="str">
        <f>IFERROR(VLOOKUP(A23,'Parts List and Volumes'!C22:D214,2,FALSE),"")</f>
        <v>NJ000776AAF20</v>
      </c>
      <c r="D23" s="39">
        <f>IFERROR(IF(VLOOKUP($A23,'Parts List and Volumes'!$C22:$F277,3,FALSE)=0,"",VLOOKUP(A23,'Parts List and Volumes'!C22:F277,3,FALSE)),"")</f>
        <v>7.96</v>
      </c>
      <c r="E23" s="39" t="str">
        <f>IFERROR(IF(VLOOKUP($A23,'Parts List and Volumes'!$C22:$F277,4,FALSE)=0,"",VLOOKUP(B23,'Parts List and Volumes'!D22:G277,3,FALSE)),"")</f>
        <v/>
      </c>
      <c r="F23" s="92">
        <v>15</v>
      </c>
      <c r="G23" s="40">
        <f>IFERROR(VLOOKUP($A23,'Parts List and Volumes'!$C$2:$W214,5,FALSE),"")</f>
        <v>200</v>
      </c>
      <c r="H23" s="41">
        <f>IFERROR(VLOOKUP($A23,'Parts List and Volumes'!$C$2:$W214,6,FALSE),"")</f>
        <v>10439.96764258865</v>
      </c>
      <c r="I23" s="42">
        <f>IFERROR((($F23*G23)/SingleEndAssumption),"")</f>
        <v>2.042483660130719E-4</v>
      </c>
      <c r="J23" s="43">
        <f>IFERROR((($F23*H23)/SingleEndAssumption),"")</f>
        <v>1.0661731661140369E-2</v>
      </c>
      <c r="K23" s="58">
        <f>IFERROR(VLOOKUP($A23,'Parts List and Volumes'!$C$2:$W214,7,FALSE),"")</f>
        <v>0</v>
      </c>
      <c r="L23" s="45">
        <f>IFERROR(VLOOKUP($A23,'Parts List and Volumes'!$C$2:$W214,8,FALSE),"")</f>
        <v>20447.63370430352</v>
      </c>
      <c r="M23" s="46">
        <f>IFERROR((($F23*K23)/FourHeadAssumption),"")</f>
        <v>0</v>
      </c>
      <c r="N23" s="47">
        <f>IFERROR((($F23*L23)/FourHeadAssumption),"")</f>
        <v>2.2575112286150327E-2</v>
      </c>
      <c r="O23" s="41">
        <f>IFERROR(VLOOKUP($A23,'Parts List and Volumes'!$C$2:$W214,9,FALSE),"")</f>
        <v>0</v>
      </c>
      <c r="P23" s="41">
        <f>IFERROR(VLOOKUP($A23,'Parts List and Volumes'!$C$2:$W214,10,FALSE),"")</f>
        <v>19929.446159936266</v>
      </c>
      <c r="Q23" s="42">
        <f>IFERROR((($F23*O23)/SingleEndAssumption),"")</f>
        <v>0</v>
      </c>
      <c r="R23" s="43">
        <f>IFERROR((($F23*P23)/SingleEndAssumption),"")</f>
        <v>2.0352784068562363E-2</v>
      </c>
      <c r="S23" s="44">
        <f>IFERROR(VLOOKUP($A23,'Parts List and Volumes'!$C$2:$W214,11,FALSE),"")</f>
        <v>0</v>
      </c>
      <c r="T23" s="45">
        <f>IFERROR(VLOOKUP($A23,'Parts List and Volumes'!$C$2:$W214,12,FALSE),"")</f>
        <v>15428.007023705004</v>
      </c>
      <c r="U23" s="46">
        <f>IFERROR((($F23*S23)/FourHeadAssumption),"")</f>
        <v>0</v>
      </c>
      <c r="V23" s="47">
        <f>IFERROR((($F23*T23)/FourHeadAssumption),"")</f>
        <v>1.7033217434756453E-2</v>
      </c>
      <c r="W23" s="40">
        <f>IFERROR(VLOOKUP($A23,'Parts List and Volumes'!$C$2:$W214,13,FALSE),"")</f>
        <v>0</v>
      </c>
      <c r="X23" s="41">
        <f>IFERROR(VLOOKUP($A23,'Parts List and Volumes'!$C$2:$W214,14,FALSE),"")</f>
        <v>0</v>
      </c>
      <c r="Y23" s="42">
        <f>IFERROR((($F23*W23)/SingleEndAssumption),"")</f>
        <v>0</v>
      </c>
      <c r="Z23" s="43">
        <f>IFERROR((($F23*X23)/SingleEndAssumption),"")</f>
        <v>0</v>
      </c>
      <c r="AA23" s="49">
        <f>IFERROR(VLOOKUP($A23,'Parts List and Volumes'!$C$2:$W214,15,FALSE),"")</f>
        <v>0</v>
      </c>
      <c r="AB23" s="50">
        <f>IFERROR(VLOOKUP($A23,'Parts List and Volumes'!$C$2:$W214,16,FALSE),"")</f>
        <v>0</v>
      </c>
      <c r="AC23" s="46">
        <f>IFERROR((($F23*AA23)/FourHeadAssumption),"")</f>
        <v>0</v>
      </c>
      <c r="AD23" s="47">
        <f>IFERROR((($F23*AB23)/FourHeadAssumption),"")</f>
        <v>0</v>
      </c>
      <c r="AE23" s="40">
        <f>IFERROR(VLOOKUP($A23,'Parts List and Volumes'!$C$2:$W214,17,FALSE),"")</f>
        <v>0</v>
      </c>
      <c r="AF23" s="41">
        <f>IFERROR(VLOOKUP($A23,'Parts List and Volumes'!$C$2:$W214,18,FALSE),"")</f>
        <v>0</v>
      </c>
      <c r="AG23" s="42">
        <f>IFERROR((($F23*AE23)/SingleEndAssumption),"")</f>
        <v>0</v>
      </c>
      <c r="AH23" s="43">
        <f>IFERROR((($F23*AF23)/SingleEndAssumption),"")</f>
        <v>0</v>
      </c>
      <c r="AI23" s="49">
        <f>IFERROR(VLOOKUP($A23,'Parts List and Volumes'!$C$2:$W214,19,FALSE),"")</f>
        <v>0</v>
      </c>
      <c r="AJ23" s="50">
        <f>IFERROR(VLOOKUP($A23,'Parts List and Volumes'!$C$2:$W214,20,FALSE),"")</f>
        <v>0</v>
      </c>
      <c r="AK23" s="46">
        <f>IFERROR((($F23*AI23)/FourHeadAssumption),"")</f>
        <v>0</v>
      </c>
      <c r="AL23" s="47">
        <f>IFERROR((($F23*AJ23)/FourHeadAssumption),"")</f>
        <v>0</v>
      </c>
      <c r="AM23" s="40">
        <f>IFERROR(VLOOKUP($A23,'Parts List and Volumes'!$C$2:$W214,21,FALSE),"")</f>
        <v>0</v>
      </c>
      <c r="AN23" s="41" t="str">
        <f>IFERROR(VLOOKUP($A23,'Parts List and Volumes'!$C$2:$W214,22,FALSE),"")</f>
        <v/>
      </c>
      <c r="AO23" s="42">
        <f>IFERROR((($F23*AM23)/SingleEndAssumption),"")</f>
        <v>0</v>
      </c>
      <c r="AP23" s="43" t="str">
        <f>IFERROR((($F23*AN23)/SingleEndAssumption),"")</f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46" t="str">
        <f>IFERROR((($F23*AQ23)/FourHeadAssumption),"")</f>
        <v/>
      </c>
      <c r="AT23" s="47" t="str">
        <f>IFERROR((($F23*AR23)/FourHeadAssumption),"")</f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2" t="str">
        <f>IFERROR((($F23*AU23)/SingleEndAssumption),"")</f>
        <v/>
      </c>
      <c r="AX23" s="43" t="str">
        <f>IFERROR((($F23*AV23)/SingleEndAssumption),"")</f>
        <v/>
      </c>
    </row>
    <row r="24" spans="1:50" x14ac:dyDescent="0.25">
      <c r="A24" s="91" t="s">
        <v>336</v>
      </c>
      <c r="B24" s="24" t="s">
        <v>435</v>
      </c>
      <c r="C24" s="20" t="str">
        <f>IFERROR(VLOOKUP(A24,'Parts List and Volumes'!C23:D215,2,FALSE),"")</f>
        <v>NJ000777AAF20</v>
      </c>
      <c r="D24" s="39">
        <f>IFERROR(IF(VLOOKUP($A24,'Parts List and Volumes'!$C23:$F278,3,FALSE)=0,"",VLOOKUP(A24,'Parts List and Volumes'!C23:F278,3,FALSE)),"")</f>
        <v>7.96</v>
      </c>
      <c r="E24" s="39" t="str">
        <f>IFERROR(IF(VLOOKUP($A24,'Parts List and Volumes'!$C23:$F278,4,FALSE)=0,"",VLOOKUP(B24,'Parts List and Volumes'!D23:G278,3,FALSE)),"")</f>
        <v/>
      </c>
      <c r="F24" s="92">
        <v>15</v>
      </c>
      <c r="G24" s="40">
        <f>IFERROR(VLOOKUP($A24,'Parts List and Volumes'!$C$2:$W215,5,FALSE),"")</f>
        <v>200</v>
      </c>
      <c r="H24" s="41">
        <f>IFERROR(VLOOKUP($A24,'Parts List and Volumes'!$C$2:$W215,6,FALSE),"")</f>
        <v>10439.96764258865</v>
      </c>
      <c r="I24" s="42">
        <f>IFERROR((($F24*G24)/SingleEndAssumption),"")</f>
        <v>2.042483660130719E-4</v>
      </c>
      <c r="J24" s="43">
        <f>IFERROR((($F24*H24)/SingleEndAssumption),"")</f>
        <v>1.0661731661140369E-2</v>
      </c>
      <c r="K24" s="58">
        <f>IFERROR(VLOOKUP($A24,'Parts List and Volumes'!$C$2:$W215,7,FALSE),"")</f>
        <v>0</v>
      </c>
      <c r="L24" s="45">
        <f>IFERROR(VLOOKUP($A24,'Parts List and Volumes'!$C$2:$W215,8,FALSE),"")</f>
        <v>20447.63370430352</v>
      </c>
      <c r="M24" s="46">
        <f>IFERROR((($F24*K24)/FourHeadAssumption),"")</f>
        <v>0</v>
      </c>
      <c r="N24" s="47">
        <f>IFERROR((($F24*L24)/FourHeadAssumption),"")</f>
        <v>2.2575112286150327E-2</v>
      </c>
      <c r="O24" s="41">
        <f>IFERROR(VLOOKUP($A24,'Parts List and Volumes'!$C$2:$W215,9,FALSE),"")</f>
        <v>0</v>
      </c>
      <c r="P24" s="41">
        <f>IFERROR(VLOOKUP($A24,'Parts List and Volumes'!$C$2:$W215,10,FALSE),"")</f>
        <v>19929.446159936266</v>
      </c>
      <c r="Q24" s="42">
        <f>IFERROR((($F24*O24)/SingleEndAssumption),"")</f>
        <v>0</v>
      </c>
      <c r="R24" s="43">
        <f>IFERROR((($F24*P24)/SingleEndAssumption),"")</f>
        <v>2.0352784068562363E-2</v>
      </c>
      <c r="S24" s="44">
        <f>IFERROR(VLOOKUP($A24,'Parts List and Volumes'!$C$2:$W215,11,FALSE),"")</f>
        <v>0</v>
      </c>
      <c r="T24" s="45">
        <f>IFERROR(VLOOKUP($A24,'Parts List and Volumes'!$C$2:$W215,12,FALSE),"")</f>
        <v>15428.007023705004</v>
      </c>
      <c r="U24" s="46">
        <f>IFERROR((($F24*S24)/FourHeadAssumption),"")</f>
        <v>0</v>
      </c>
      <c r="V24" s="47">
        <f>IFERROR((($F24*T24)/FourHeadAssumption),"")</f>
        <v>1.7033217434756453E-2</v>
      </c>
      <c r="W24" s="40">
        <f>IFERROR(VLOOKUP($A24,'Parts List and Volumes'!$C$2:$W215,13,FALSE),"")</f>
        <v>0</v>
      </c>
      <c r="X24" s="41">
        <f>IFERROR(VLOOKUP($A24,'Parts List and Volumes'!$C$2:$W215,14,FALSE),"")</f>
        <v>0</v>
      </c>
      <c r="Y24" s="42">
        <f>IFERROR((($F24*W24)/SingleEndAssumption),"")</f>
        <v>0</v>
      </c>
      <c r="Z24" s="43">
        <f>IFERROR((($F24*X24)/SingleEndAssumption),"")</f>
        <v>0</v>
      </c>
      <c r="AA24" s="49">
        <f>IFERROR(VLOOKUP($A24,'Parts List and Volumes'!$C$2:$W215,15,FALSE),"")</f>
        <v>0</v>
      </c>
      <c r="AB24" s="50">
        <f>IFERROR(VLOOKUP($A24,'Parts List and Volumes'!$C$2:$W215,16,FALSE),"")</f>
        <v>0</v>
      </c>
      <c r="AC24" s="46">
        <f>IFERROR((($F24*AA24)/FourHeadAssumption),"")</f>
        <v>0</v>
      </c>
      <c r="AD24" s="47">
        <f>IFERROR((($F24*AB24)/FourHeadAssumption),"")</f>
        <v>0</v>
      </c>
      <c r="AE24" s="40">
        <f>IFERROR(VLOOKUP($A24,'Parts List and Volumes'!$C$2:$W215,17,FALSE),"")</f>
        <v>0</v>
      </c>
      <c r="AF24" s="41">
        <f>IFERROR(VLOOKUP($A24,'Parts List and Volumes'!$C$2:$W215,18,FALSE),"")</f>
        <v>0</v>
      </c>
      <c r="AG24" s="42">
        <f>IFERROR((($F24*AE24)/SingleEndAssumption),"")</f>
        <v>0</v>
      </c>
      <c r="AH24" s="43">
        <f>IFERROR((($F24*AF24)/SingleEndAssumption),"")</f>
        <v>0</v>
      </c>
      <c r="AI24" s="49">
        <f>IFERROR(VLOOKUP($A24,'Parts List and Volumes'!$C$2:$W215,19,FALSE),"")</f>
        <v>0</v>
      </c>
      <c r="AJ24" s="50">
        <f>IFERROR(VLOOKUP($A24,'Parts List and Volumes'!$C$2:$W215,20,FALSE),"")</f>
        <v>0</v>
      </c>
      <c r="AK24" s="46">
        <f>IFERROR((($F24*AI24)/FourHeadAssumption),"")</f>
        <v>0</v>
      </c>
      <c r="AL24" s="47">
        <f>IFERROR((($F24*AJ24)/FourHeadAssumption),"")</f>
        <v>0</v>
      </c>
      <c r="AM24" s="40">
        <f>IFERROR(VLOOKUP($A24,'Parts List and Volumes'!$C$2:$W215,21,FALSE),"")</f>
        <v>0</v>
      </c>
      <c r="AN24" s="41" t="str">
        <f>IFERROR(VLOOKUP($A24,'Parts List and Volumes'!$C$2:$W215,22,FALSE),"")</f>
        <v/>
      </c>
      <c r="AO24" s="42">
        <f>IFERROR((($F24*AM24)/SingleEndAssumption),"")</f>
        <v>0</v>
      </c>
      <c r="AP24" s="43" t="str">
        <f>IFERROR((($F24*AN24)/SingleEndAssumption),"")</f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46" t="str">
        <f>IFERROR((($F24*AQ24)/FourHeadAssumption),"")</f>
        <v/>
      </c>
      <c r="AT24" s="47" t="str">
        <f>IFERROR((($F24*AR24)/FourHeadAssumption),"")</f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2" t="str">
        <f>IFERROR((($F24*AU24)/SingleEndAssumption),"")</f>
        <v/>
      </c>
      <c r="AX24" s="43" t="str">
        <f>IFERROR((($F24*AV24)/SingleEndAssumption),"")</f>
        <v/>
      </c>
    </row>
    <row r="25" spans="1:50" x14ac:dyDescent="0.25">
      <c r="A25" s="91" t="s">
        <v>161</v>
      </c>
      <c r="B25" s="24" t="s">
        <v>378</v>
      </c>
      <c r="C25" s="20" t="str">
        <f>IFERROR(VLOOKUP(A25,'Parts List and Volumes'!C24:D216,2,FALSE),"")</f>
        <v>NBAA3546AAF20</v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92">
        <v>8</v>
      </c>
      <c r="G25" s="40">
        <f>IFERROR(VLOOKUP($A25,'Parts List and Volumes'!$C$2:$W216,5,FALSE),"")</f>
        <v>16872</v>
      </c>
      <c r="H25" s="41">
        <f>IFERROR(VLOOKUP($A25,'Parts List and Volumes'!$C$2:$W216,6,FALSE),"")</f>
        <v>27863.88</v>
      </c>
      <c r="I25" s="42">
        <f>IFERROR((($F25*G25)/SingleEndAssumption),"")</f>
        <v>9.1895424836601312E-3</v>
      </c>
      <c r="J25" s="43">
        <f>IFERROR((($F25*H25)/SingleEndAssumption),"")</f>
        <v>1.5176405228758171E-2</v>
      </c>
      <c r="K25" s="58">
        <f>IFERROR(VLOOKUP($A25,'Parts List and Volumes'!$C$2:$W216,7,FALSE),"")</f>
        <v>0</v>
      </c>
      <c r="L25" s="45">
        <f>IFERROR(VLOOKUP($A25,'Parts List and Volumes'!$C$2:$W216,8,FALSE),"")</f>
        <v>92482.676000000007</v>
      </c>
      <c r="M25" s="46">
        <f>IFERROR((($F25*K25)/FourHeadAssumption),"")</f>
        <v>0</v>
      </c>
      <c r="N25" s="47">
        <f>IFERROR((($F25*L25)/FourHeadAssumption),"")</f>
        <v>5.4456030147794855E-2</v>
      </c>
      <c r="O25" s="41">
        <f>IFERROR(VLOOKUP($A25,'Parts List and Volumes'!$C$2:$W216,9,FALSE),"")</f>
        <v>0</v>
      </c>
      <c r="P25" s="41">
        <f>IFERROR(VLOOKUP($A25,'Parts List and Volumes'!$C$2:$W216,10,FALSE),"")</f>
        <v>121648.76900000001</v>
      </c>
      <c r="Q25" s="42">
        <f>IFERROR((($F25*O25)/SingleEndAssumption),"")</f>
        <v>0</v>
      </c>
      <c r="R25" s="43">
        <f>IFERROR((($F25*P25)/SingleEndAssumption),"")</f>
        <v>6.6257499455337696E-2</v>
      </c>
      <c r="S25" s="44">
        <f>IFERROR(VLOOKUP($A25,'Parts List and Volumes'!$C$2:$W216,11,FALSE),"")</f>
        <v>0</v>
      </c>
      <c r="T25" s="45">
        <f>IFERROR(VLOOKUP($A25,'Parts List and Volumes'!$C$2:$W216,12,FALSE),"")</f>
        <v>130803.80500000001</v>
      </c>
      <c r="U25" s="46">
        <f>IFERROR((($F25*S25)/FourHeadAssumption),"")</f>
        <v>0</v>
      </c>
      <c r="V25" s="47">
        <f>IFERROR((($F25*T25)/FourHeadAssumption),"")</f>
        <v>7.7020435141023386E-2</v>
      </c>
      <c r="W25" s="40">
        <f>IFERROR(VLOOKUP($A25,'Parts List and Volumes'!$C$2:$W216,13,FALSE),"")</f>
        <v>0</v>
      </c>
      <c r="X25" s="41">
        <f>IFERROR(VLOOKUP($A25,'Parts List and Volumes'!$C$2:$W216,14,FALSE),"")</f>
        <v>133990.62600000002</v>
      </c>
      <c r="Y25" s="42">
        <f>IFERROR((($F25*W25)/SingleEndAssumption),"")</f>
        <v>0</v>
      </c>
      <c r="Z25" s="43">
        <f>IFERROR((($F25*X25)/SingleEndAssumption),"")</f>
        <v>7.2979643790849688E-2</v>
      </c>
      <c r="AA25" s="49">
        <f>IFERROR(VLOOKUP($A25,'Parts List and Volumes'!$C$2:$W216,15,FALSE),"")</f>
        <v>0</v>
      </c>
      <c r="AB25" s="50">
        <f>IFERROR(VLOOKUP($A25,'Parts List and Volumes'!$C$2:$W216,16,FALSE),"")</f>
        <v>121938.26700000001</v>
      </c>
      <c r="AC25" s="46">
        <f>IFERROR((($F25*AA25)/FourHeadAssumption),"")</f>
        <v>0</v>
      </c>
      <c r="AD25" s="47">
        <f>IFERROR((($F25*AB25)/FourHeadAssumption),"")</f>
        <v>7.1800192545486669E-2</v>
      </c>
      <c r="AE25" s="40">
        <f>IFERROR(VLOOKUP($A25,'Parts List and Volumes'!$C$2:$W216,17,FALSE),"")</f>
        <v>0</v>
      </c>
      <c r="AF25" s="41">
        <f>IFERROR(VLOOKUP($A25,'Parts List and Volumes'!$C$2:$W216,18,FALSE),"")</f>
        <v>116379.57100000001</v>
      </c>
      <c r="AG25" s="42">
        <f>IFERROR((($F25*AE25)/SingleEndAssumption),"")</f>
        <v>0</v>
      </c>
      <c r="AH25" s="43">
        <f>IFERROR((($F25*AF25)/SingleEndAssumption),"")</f>
        <v>6.3387565904139437E-2</v>
      </c>
      <c r="AI25" s="49">
        <f>IFERROR(VLOOKUP($A25,'Parts List and Volumes'!$C$2:$W216,19,FALSE),"")</f>
        <v>0</v>
      </c>
      <c r="AJ25" s="50">
        <f>IFERROR(VLOOKUP($A25,'Parts List and Volumes'!$C$2:$W216,20,FALSE),"")</f>
        <v>57066</v>
      </c>
      <c r="AK25" s="46">
        <f>IFERROR((($F25*AI25)/FourHeadAssumption),"")</f>
        <v>0</v>
      </c>
      <c r="AL25" s="47">
        <f>IFERROR((($F25*AJ25)/FourHeadAssumption),"")</f>
        <v>3.3601837131248896E-2</v>
      </c>
      <c r="AM25" s="40">
        <f>IFERROR(VLOOKUP($A25,'Parts List and Volumes'!$C$2:$W216,21,FALSE),"")</f>
        <v>0</v>
      </c>
      <c r="AN25" s="41" t="str">
        <f>IFERROR(VLOOKUP($A25,'Parts List and Volumes'!$C$2:$W216,22,FALSE),"")</f>
        <v/>
      </c>
      <c r="AO25" s="42">
        <f>IFERROR((($F25*AM25)/SingleEndAssumption),"")</f>
        <v>0</v>
      </c>
      <c r="AP25" s="43" t="str">
        <f>IFERROR((($F25*AN25)/SingleEndAssumption),"")</f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46" t="str">
        <f>IFERROR((($F25*AQ25)/FourHeadAssumption),"")</f>
        <v/>
      </c>
      <c r="AT25" s="47" t="str">
        <f>IFERROR((($F25*AR25)/FourHeadAssumption),"")</f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2" t="str">
        <f>IFERROR((($F25*AU25)/SingleEndAssumption),"")</f>
        <v/>
      </c>
      <c r="AX25" s="43" t="str">
        <f>IFERROR((($F25*AV25)/SingleEndAssumption),"")</f>
        <v/>
      </c>
    </row>
    <row r="26" spans="1:50" x14ac:dyDescent="0.25">
      <c r="A26" s="91" t="s">
        <v>175</v>
      </c>
      <c r="B26" s="24" t="s">
        <v>378</v>
      </c>
      <c r="C26" s="20" t="str">
        <f>IFERROR(VLOOKUP(A26,'Parts List and Volumes'!C25:D217,2,FALSE),"")</f>
        <v>NBAA3547AAF20</v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92">
        <v>18</v>
      </c>
      <c r="G26" s="40">
        <f>IFERROR(VLOOKUP($A26,'Parts List and Volumes'!$C$2:$W217,5,FALSE),"")</f>
        <v>536</v>
      </c>
      <c r="H26" s="41">
        <f>IFERROR(VLOOKUP($A26,'Parts List and Volumes'!$C$2:$W217,6,FALSE),"")</f>
        <v>2453.2200000000007</v>
      </c>
      <c r="I26" s="42">
        <f>IFERROR((($F26*G26)/SingleEndAssumption),"")</f>
        <v>6.5686274509803918E-4</v>
      </c>
      <c r="J26" s="43">
        <f>IFERROR((($F26*H26)/SingleEndAssumption),"")</f>
        <v>3.0063970588235303E-3</v>
      </c>
      <c r="K26" s="58">
        <f>IFERROR(VLOOKUP($A26,'Parts List and Volumes'!$C$2:$W217,7,FALSE),"")</f>
        <v>0</v>
      </c>
      <c r="L26" s="45">
        <f>IFERROR(VLOOKUP($A26,'Parts List and Volumes'!$C$2:$W217,8,FALSE),"")</f>
        <v>10965.724</v>
      </c>
      <c r="M26" s="46">
        <f>IFERROR((($F26*K26)/FourHeadAssumption),"")</f>
        <v>0</v>
      </c>
      <c r="N26" s="47">
        <f>IFERROR((($F26*L26)/FourHeadAssumption),"")</f>
        <v>1.4527986221515634E-2</v>
      </c>
      <c r="O26" s="41">
        <f>IFERROR(VLOOKUP($A26,'Parts List and Volumes'!$C$2:$W217,9,FALSE),"")</f>
        <v>0</v>
      </c>
      <c r="P26" s="41">
        <f>IFERROR(VLOOKUP($A26,'Parts List and Volumes'!$C$2:$W217,10,FALSE),"")</f>
        <v>15169.231000000002</v>
      </c>
      <c r="Q26" s="42">
        <f>IFERROR((($F26*O26)/SingleEndAssumption),"")</f>
        <v>0</v>
      </c>
      <c r="R26" s="43">
        <f>IFERROR((($F26*P26)/SingleEndAssumption),"")</f>
        <v>1.8589743872549025E-2</v>
      </c>
      <c r="S26" s="44">
        <f>IFERROR(VLOOKUP($A26,'Parts List and Volumes'!$C$2:$W217,11,FALSE),"")</f>
        <v>0</v>
      </c>
      <c r="T26" s="45">
        <f>IFERROR(VLOOKUP($A26,'Parts List and Volumes'!$C$2:$W217,12,FALSE),"")</f>
        <v>16380.595000000003</v>
      </c>
      <c r="U26" s="46">
        <f>IFERROR((($F26*S26)/FourHeadAssumption),"")</f>
        <v>0</v>
      </c>
      <c r="V26" s="47">
        <f>IFERROR((($F26*T26)/FourHeadAssumption),"")</f>
        <v>2.170190116587176E-2</v>
      </c>
      <c r="W26" s="40">
        <f>IFERROR(VLOOKUP($A26,'Parts List and Volumes'!$C$2:$W217,13,FALSE),"")</f>
        <v>0</v>
      </c>
      <c r="X26" s="41">
        <f>IFERROR(VLOOKUP($A26,'Parts List and Volumes'!$C$2:$W217,14,FALSE),"")</f>
        <v>16906.274000000001</v>
      </c>
      <c r="Y26" s="42">
        <f>IFERROR((($F26*W26)/SingleEndAssumption),"")</f>
        <v>0</v>
      </c>
      <c r="Z26" s="43">
        <f>IFERROR((($F26*X26)/SingleEndAssumption),"")</f>
        <v>2.0718473039215687E-2</v>
      </c>
      <c r="AA26" s="49">
        <f>IFERROR(VLOOKUP($A26,'Parts List and Volumes'!$C$2:$W217,15,FALSE),"")</f>
        <v>0</v>
      </c>
      <c r="AB26" s="50">
        <f>IFERROR(VLOOKUP($A26,'Parts List and Volumes'!$C$2:$W217,16,FALSE),"")</f>
        <v>15733.333000000004</v>
      </c>
      <c r="AC26" s="46">
        <f>IFERROR((($F26*AA26)/FourHeadAssumption),"")</f>
        <v>0</v>
      </c>
      <c r="AD26" s="47">
        <f>IFERROR((($F26*AB26)/FourHeadAssumption),"")</f>
        <v>2.0844373343932174E-2</v>
      </c>
      <c r="AE26" s="40">
        <f>IFERROR(VLOOKUP($A26,'Parts List and Volumes'!$C$2:$W217,17,FALSE),"")</f>
        <v>0</v>
      </c>
      <c r="AF26" s="41">
        <f>IFERROR(VLOOKUP($A26,'Parts List and Volumes'!$C$2:$W217,18,FALSE),"")</f>
        <v>14828.429000000004</v>
      </c>
      <c r="AG26" s="42">
        <f>IFERROR((($F26*AE26)/SingleEndAssumption),"")</f>
        <v>0</v>
      </c>
      <c r="AH26" s="43">
        <f>IFERROR((($F26*AF26)/SingleEndAssumption),"")</f>
        <v>1.8172094362745101E-2</v>
      </c>
      <c r="AI26" s="49">
        <f>IFERROR(VLOOKUP($A26,'Parts List and Volumes'!$C$2:$W217,19,FALSE),"")</f>
        <v>0</v>
      </c>
      <c r="AJ26" s="50">
        <f>IFERROR(VLOOKUP($A26,'Parts List and Volumes'!$C$2:$W217,20,FALSE),"")</f>
        <v>7454</v>
      </c>
      <c r="AK26" s="46">
        <f>IFERROR((($F26*AI26)/FourHeadAssumption),"")</f>
        <v>0</v>
      </c>
      <c r="AL26" s="47">
        <f>IFERROR((($F26*AJ26)/FourHeadAssumption),"")</f>
        <v>9.8754636989931109E-3</v>
      </c>
      <c r="AM26" s="40">
        <f>IFERROR(VLOOKUP($A26,'Parts List and Volumes'!$C$2:$W217,21,FALSE),"")</f>
        <v>0</v>
      </c>
      <c r="AN26" s="41" t="str">
        <f>IFERROR(VLOOKUP($A26,'Parts List and Volumes'!$C$2:$W217,22,FALSE),"")</f>
        <v/>
      </c>
      <c r="AO26" s="42">
        <f>IFERROR((($F26*AM26)/SingleEndAssumption),"")</f>
        <v>0</v>
      </c>
      <c r="AP26" s="43" t="str">
        <f>IFERROR((($F26*AN26)/SingleEndAssumption),"")</f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46" t="str">
        <f>IFERROR((($F26*AQ26)/FourHeadAssumption),"")</f>
        <v/>
      </c>
      <c r="AT26" s="47" t="str">
        <f>IFERROR((($F26*AR26)/FourHeadAssumption),"")</f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2" t="str">
        <f>IFERROR((($F26*AU26)/SingleEndAssumption),"")</f>
        <v/>
      </c>
      <c r="AX26" s="43" t="str">
        <f>IFERROR((($F26*AV26)/SingleEndAssumption),"")</f>
        <v/>
      </c>
    </row>
    <row r="27" spans="1:50" x14ac:dyDescent="0.25">
      <c r="A27" s="91" t="s">
        <v>163</v>
      </c>
      <c r="B27" s="24" t="s">
        <v>378</v>
      </c>
      <c r="C27" s="20" t="str">
        <f>IFERROR(VLOOKUP(A27,'Parts List and Volumes'!C26:D218,2,FALSE),"")</f>
        <v>NBAA3548AAF20</v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92">
        <v>15.6</v>
      </c>
      <c r="G27" s="40">
        <f>IFERROR(VLOOKUP($A27,'Parts List and Volumes'!$C$2:$W218,5,FALSE),"")</f>
        <v>16871</v>
      </c>
      <c r="H27" s="41">
        <f>IFERROR(VLOOKUP($A27,'Parts List and Volumes'!$C$2:$W218,6,FALSE),"")</f>
        <v>27863.88</v>
      </c>
      <c r="I27" s="42">
        <f>IFERROR((($F27*G27)/SingleEndAssumption),"")</f>
        <v>1.7918545751633985E-2</v>
      </c>
      <c r="J27" s="43">
        <f>IFERROR((($F27*H27)/SingleEndAssumption),"")</f>
        <v>2.9593990196078432E-2</v>
      </c>
      <c r="K27" s="58">
        <f>IFERROR(VLOOKUP($A27,'Parts List and Volumes'!$C$2:$W218,7,FALSE),"")</f>
        <v>0</v>
      </c>
      <c r="L27" s="45">
        <f>IFERROR(VLOOKUP($A27,'Parts List and Volumes'!$C$2:$W218,8,FALSE),"")</f>
        <v>92482.676000000007</v>
      </c>
      <c r="M27" s="46">
        <f>IFERROR((($F27*K27)/FourHeadAssumption),"")</f>
        <v>0</v>
      </c>
      <c r="N27" s="47">
        <f>IFERROR((($F27*L27)/FourHeadAssumption),"")</f>
        <v>0.10618925878819997</v>
      </c>
      <c r="O27" s="41">
        <f>IFERROR(VLOOKUP($A27,'Parts List and Volumes'!$C$2:$W218,9,FALSE),"")</f>
        <v>0</v>
      </c>
      <c r="P27" s="41">
        <f>IFERROR(VLOOKUP($A27,'Parts List and Volumes'!$C$2:$W218,10,FALSE),"")</f>
        <v>121648.76900000001</v>
      </c>
      <c r="Q27" s="42">
        <f>IFERROR((($F27*O27)/SingleEndAssumption),"")</f>
        <v>0</v>
      </c>
      <c r="R27" s="43">
        <f>IFERROR((($F27*P27)/SingleEndAssumption),"")</f>
        <v>0.1292021239379085</v>
      </c>
      <c r="S27" s="44">
        <f>IFERROR(VLOOKUP($A27,'Parts List and Volumes'!$C$2:$W218,11,FALSE),"")</f>
        <v>0</v>
      </c>
      <c r="T27" s="45">
        <f>IFERROR(VLOOKUP($A27,'Parts List and Volumes'!$C$2:$W218,12,FALSE),"")</f>
        <v>130803.80500000001</v>
      </c>
      <c r="U27" s="46">
        <f>IFERROR((($F27*S27)/FourHeadAssumption),"")</f>
        <v>0</v>
      </c>
      <c r="V27" s="47">
        <f>IFERROR((($F27*T27)/FourHeadAssumption),"")</f>
        <v>0.15018984852499559</v>
      </c>
      <c r="W27" s="40">
        <f>IFERROR(VLOOKUP($A27,'Parts List and Volumes'!$C$2:$W218,13,FALSE),"")</f>
        <v>0</v>
      </c>
      <c r="X27" s="41">
        <f>IFERROR(VLOOKUP($A27,'Parts List and Volumes'!$C$2:$W218,14,FALSE),"")</f>
        <v>133990.62600000002</v>
      </c>
      <c r="Y27" s="42">
        <f>IFERROR((($F27*W27)/SingleEndAssumption),"")</f>
        <v>0</v>
      </c>
      <c r="Z27" s="43">
        <f>IFERROR((($F27*X27)/SingleEndAssumption),"")</f>
        <v>0.14231030539215689</v>
      </c>
      <c r="AA27" s="49">
        <f>IFERROR(VLOOKUP($A27,'Parts List and Volumes'!$C$2:$W218,15,FALSE),"")</f>
        <v>0</v>
      </c>
      <c r="AB27" s="50">
        <f>IFERROR(VLOOKUP($A27,'Parts List and Volumes'!$C$2:$W218,16,FALSE),"")</f>
        <v>121938.26700000001</v>
      </c>
      <c r="AC27" s="46">
        <f>IFERROR((($F27*AA27)/FourHeadAssumption),"")</f>
        <v>0</v>
      </c>
      <c r="AD27" s="47">
        <f>IFERROR((($F27*AB27)/FourHeadAssumption),"")</f>
        <v>0.14001037546369899</v>
      </c>
      <c r="AE27" s="40">
        <f>IFERROR(VLOOKUP($A27,'Parts List and Volumes'!$C$2:$W218,17,FALSE),"")</f>
        <v>0</v>
      </c>
      <c r="AF27" s="41">
        <f>IFERROR(VLOOKUP($A27,'Parts List and Volumes'!$C$2:$W218,18,FALSE),"")</f>
        <v>116379.57100000001</v>
      </c>
      <c r="AG27" s="42">
        <f>IFERROR((($F27*AE27)/SingleEndAssumption),"")</f>
        <v>0</v>
      </c>
      <c r="AH27" s="43">
        <f>IFERROR((($F27*AF27)/SingleEndAssumption),"")</f>
        <v>0.1236057535130719</v>
      </c>
      <c r="AI27" s="49">
        <f>IFERROR(VLOOKUP($A27,'Parts List and Volumes'!$C$2:$W218,19,FALSE),"")</f>
        <v>0</v>
      </c>
      <c r="AJ27" s="50">
        <f>IFERROR(VLOOKUP($A27,'Parts List and Volumes'!$C$2:$W218,20,FALSE),"")</f>
        <v>57066</v>
      </c>
      <c r="AK27" s="46">
        <f>IFERROR((($F27*AI27)/FourHeadAssumption),"")</f>
        <v>0</v>
      </c>
      <c r="AL27" s="47">
        <f>IFERROR((($F27*AJ27)/FourHeadAssumption),"")</f>
        <v>6.5523582405935352E-2</v>
      </c>
      <c r="AM27" s="40">
        <f>IFERROR(VLOOKUP($A27,'Parts List and Volumes'!$C$2:$W218,21,FALSE),"")</f>
        <v>0</v>
      </c>
      <c r="AN27" s="41" t="str">
        <f>IFERROR(VLOOKUP($A27,'Parts List and Volumes'!$C$2:$W218,22,FALSE),"")</f>
        <v/>
      </c>
      <c r="AO27" s="42">
        <f>IFERROR((($F27*AM27)/SingleEndAssumption),"")</f>
        <v>0</v>
      </c>
      <c r="AP27" s="43" t="str">
        <f>IFERROR((($F27*AN27)/SingleEndAssumption),"")</f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46" t="str">
        <f>IFERROR((($F27*AQ27)/FourHeadAssumption),"")</f>
        <v/>
      </c>
      <c r="AT27" s="47" t="str">
        <f>IFERROR((($F27*AR27)/FourHeadAssumption),"")</f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2" t="str">
        <f>IFERROR((($F27*AU27)/SingleEndAssumption),"")</f>
        <v/>
      </c>
      <c r="AX27" s="43" t="str">
        <f>IFERROR((($F27*AV27)/SingleEndAssumption),"")</f>
        <v/>
      </c>
    </row>
    <row r="28" spans="1:50" x14ac:dyDescent="0.25">
      <c r="A28" s="91" t="s">
        <v>177</v>
      </c>
      <c r="B28" s="24" t="s">
        <v>378</v>
      </c>
      <c r="C28" s="20" t="str">
        <f>IFERROR(VLOOKUP(A28,'Parts List and Volumes'!C27:D219,2,FALSE),"")</f>
        <v>NBAA3549AAF20</v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92">
        <v>23</v>
      </c>
      <c r="G28" s="40">
        <f>IFERROR(VLOOKUP($A28,'Parts List and Volumes'!$C$2:$W219,5,FALSE),"")</f>
        <v>536</v>
      </c>
      <c r="H28" s="41">
        <f>IFERROR(VLOOKUP($A28,'Parts List and Volumes'!$C$2:$W219,6,FALSE),"")</f>
        <v>2453.2200000000007</v>
      </c>
      <c r="I28" s="42">
        <f>IFERROR((($F28*G28)/SingleEndAssumption),"")</f>
        <v>8.3932461873638343E-4</v>
      </c>
      <c r="J28" s="43">
        <f>IFERROR((($F28*H28)/SingleEndAssumption),"")</f>
        <v>3.8415073529411777E-3</v>
      </c>
      <c r="K28" s="58">
        <f>IFERROR(VLOOKUP($A28,'Parts List and Volumes'!$C$2:$W219,7,FALSE),"")</f>
        <v>0</v>
      </c>
      <c r="L28" s="45">
        <f>IFERROR(VLOOKUP($A28,'Parts List and Volumes'!$C$2:$W219,8,FALSE),"")</f>
        <v>10965.724</v>
      </c>
      <c r="M28" s="46">
        <f>IFERROR((($F28*K28)/FourHeadAssumption),"")</f>
        <v>0</v>
      </c>
      <c r="N28" s="47">
        <f>IFERROR((($F28*L28)/FourHeadAssumption),"")</f>
        <v>1.856353794971442E-2</v>
      </c>
      <c r="O28" s="41">
        <f>IFERROR(VLOOKUP($A28,'Parts List and Volumes'!$C$2:$W219,9,FALSE),"")</f>
        <v>0</v>
      </c>
      <c r="P28" s="41">
        <f>IFERROR(VLOOKUP($A28,'Parts List and Volumes'!$C$2:$W219,10,FALSE),"")</f>
        <v>15169.231000000002</v>
      </c>
      <c r="Q28" s="42">
        <f>IFERROR((($F28*O28)/SingleEndAssumption),"")</f>
        <v>0</v>
      </c>
      <c r="R28" s="43">
        <f>IFERROR((($F28*P28)/SingleEndAssumption),"")</f>
        <v>2.375356161492375E-2</v>
      </c>
      <c r="S28" s="44">
        <f>IFERROR(VLOOKUP($A28,'Parts List and Volumes'!$C$2:$W219,11,FALSE),"")</f>
        <v>0</v>
      </c>
      <c r="T28" s="45">
        <f>IFERROR(VLOOKUP($A28,'Parts List and Volumes'!$C$2:$W219,12,FALSE),"")</f>
        <v>16380.595000000003</v>
      </c>
      <c r="U28" s="46">
        <f>IFERROR((($F28*S28)/FourHeadAssumption),"")</f>
        <v>0</v>
      </c>
      <c r="V28" s="47">
        <f>IFERROR((($F28*T28)/FourHeadAssumption),"")</f>
        <v>2.7730207045280578E-2</v>
      </c>
      <c r="W28" s="40">
        <f>IFERROR(VLOOKUP($A28,'Parts List and Volumes'!$C$2:$W219,13,FALSE),"")</f>
        <v>0</v>
      </c>
      <c r="X28" s="41">
        <f>IFERROR(VLOOKUP($A28,'Parts List and Volumes'!$C$2:$W219,14,FALSE),"")</f>
        <v>16906.274000000001</v>
      </c>
      <c r="Y28" s="42">
        <f>IFERROR((($F28*W28)/SingleEndAssumption),"")</f>
        <v>0</v>
      </c>
      <c r="Z28" s="43">
        <f>IFERROR((($F28*X28)/SingleEndAssumption),"")</f>
        <v>2.6473604438997822E-2</v>
      </c>
      <c r="AA28" s="49">
        <f>IFERROR(VLOOKUP($A28,'Parts List and Volumes'!$C$2:$W219,15,FALSE),"")</f>
        <v>0</v>
      </c>
      <c r="AB28" s="50">
        <f>IFERROR(VLOOKUP($A28,'Parts List and Volumes'!$C$2:$W219,16,FALSE),"")</f>
        <v>15733.333000000004</v>
      </c>
      <c r="AC28" s="46">
        <f>IFERROR((($F28*AA28)/FourHeadAssumption),"")</f>
        <v>0</v>
      </c>
      <c r="AD28" s="47">
        <f>IFERROR((($F28*AB28)/FourHeadAssumption),"")</f>
        <v>2.6634477050579999E-2</v>
      </c>
      <c r="AE28" s="40">
        <f>IFERROR(VLOOKUP($A28,'Parts List and Volumes'!$C$2:$W219,17,FALSE),"")</f>
        <v>0</v>
      </c>
      <c r="AF28" s="41">
        <f>IFERROR(VLOOKUP($A28,'Parts List and Volumes'!$C$2:$W219,18,FALSE),"")</f>
        <v>14828.429000000004</v>
      </c>
      <c r="AG28" s="42">
        <f>IFERROR((($F28*AE28)/SingleEndAssumption),"")</f>
        <v>0</v>
      </c>
      <c r="AH28" s="43">
        <f>IFERROR((($F28*AF28)/SingleEndAssumption),"")</f>
        <v>2.3219898352396521E-2</v>
      </c>
      <c r="AI28" s="49">
        <f>IFERROR(VLOOKUP($A28,'Parts List and Volumes'!$C$2:$W219,19,FALSE),"")</f>
        <v>0</v>
      </c>
      <c r="AJ28" s="50">
        <f>IFERROR(VLOOKUP($A28,'Parts List and Volumes'!$C$2:$W219,20,FALSE),"")</f>
        <v>7454</v>
      </c>
      <c r="AK28" s="46">
        <f>IFERROR((($F28*AI28)/FourHeadAssumption),"")</f>
        <v>0</v>
      </c>
      <c r="AL28" s="47">
        <f>IFERROR((($F28*AJ28)/FourHeadAssumption),"")</f>
        <v>1.261864805982453E-2</v>
      </c>
      <c r="AM28" s="40">
        <f>IFERROR(VLOOKUP($A28,'Parts List and Volumes'!$C$2:$W219,21,FALSE),"")</f>
        <v>0</v>
      </c>
      <c r="AN28" s="41" t="str">
        <f>IFERROR(VLOOKUP($A28,'Parts List and Volumes'!$C$2:$W219,22,FALSE),"")</f>
        <v/>
      </c>
      <c r="AO28" s="42">
        <f>IFERROR((($F28*AM28)/SingleEndAssumption),"")</f>
        <v>0</v>
      </c>
      <c r="AP28" s="43" t="str">
        <f>IFERROR((($F28*AN28)/SingleEndAssumption),"")</f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46" t="str">
        <f>IFERROR((($F28*AQ28)/FourHeadAssumption),"")</f>
        <v/>
      </c>
      <c r="AT28" s="47" t="str">
        <f>IFERROR((($F28*AR28)/FourHeadAssumption),"")</f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2" t="str">
        <f>IFERROR((($F28*AU28)/SingleEndAssumption),"")</f>
        <v/>
      </c>
      <c r="AX28" s="43" t="str">
        <f>IFERROR((($F28*AV28)/SingleEndAssumption),"")</f>
        <v/>
      </c>
    </row>
    <row r="29" spans="1:50" x14ac:dyDescent="0.25">
      <c r="A29" s="91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92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>IFERROR((($F29*G29)/SingleEndAssumption),"")</f>
        <v/>
      </c>
      <c r="J29" s="43" t="str">
        <f>IFERROR((($F29*H29)/SingleEndAssumption),"")</f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>IFERROR((($F29*K29)/FourHeadAssumption),"")</f>
        <v/>
      </c>
      <c r="N29" s="47" t="str">
        <f>IFERROR((($F29*L29)/FourHeadAssumption),"")</f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2" t="str">
        <f>IFERROR((($F29*O29)/SingleEndAssumption),"")</f>
        <v/>
      </c>
      <c r="R29" s="43" t="str">
        <f>IFERROR((($F29*P29)/SingleEndAssumption),"")</f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>IFERROR((($F29*S29)/FourHeadAssumption),"")</f>
        <v/>
      </c>
      <c r="V29" s="47" t="str">
        <f>IFERROR((($F29*T29)/FourHeadAssumption),"")</f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2" t="str">
        <f>IFERROR((($F29*W29)/SingleEndAssumption),"")</f>
        <v/>
      </c>
      <c r="Z29" s="43" t="str">
        <f>IFERROR((($F29*X29)/SingleEndAssumption),"")</f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46" t="str">
        <f>IFERROR((($F29*AA29)/FourHeadAssumption),"")</f>
        <v/>
      </c>
      <c r="AD29" s="47" t="str">
        <f>IFERROR((($F29*AB29)/FourHeadAssumption),"")</f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2" t="str">
        <f>IFERROR((($F29*AE29)/SingleEndAssumption),"")</f>
        <v/>
      </c>
      <c r="AH29" s="43" t="str">
        <f>IFERROR((($F29*AF29)/SingleEndAssumption),"")</f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46" t="str">
        <f>IFERROR((($F29*AI29)/FourHeadAssumption),"")</f>
        <v/>
      </c>
      <c r="AL29" s="47" t="str">
        <f>IFERROR((($F29*AJ29)/FourHeadAssumption),"")</f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2" t="str">
        <f>IFERROR((($F29*AM29)/SingleEndAssumption),"")</f>
        <v/>
      </c>
      <c r="AP29" s="43" t="str">
        <f>IFERROR((($F29*AN29)/SingleEndAssumption),"")</f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46" t="str">
        <f>IFERROR((($F29*AQ29)/FourHeadAssumption),"")</f>
        <v/>
      </c>
      <c r="AT29" s="47" t="str">
        <f>IFERROR((($F29*AR29)/FourHeadAssumption),"")</f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2" t="str">
        <f>IFERROR((($F29*AU29)/SingleEndAssumption),"")</f>
        <v/>
      </c>
      <c r="AX29" s="43" t="str">
        <f>IFERROR((($F29*AV29)/SingleEndAssumption),"")</f>
        <v/>
      </c>
    </row>
    <row r="30" spans="1:50" x14ac:dyDescent="0.25">
      <c r="A30" s="91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92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>IFERROR((($F30*G30)/SingleEndAssumption),"")</f>
        <v/>
      </c>
      <c r="J30" s="43" t="str">
        <f>IFERROR((($F30*H30)/SingleEndAssumption),"")</f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>IFERROR((($F30*K30)/FourHeadAssumption),"")</f>
        <v/>
      </c>
      <c r="N30" s="47" t="str">
        <f>IFERROR((($F30*L30)/FourHeadAssumption),"")</f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2" t="str">
        <f>IFERROR((($F30*O30)/SingleEndAssumption),"")</f>
        <v/>
      </c>
      <c r="R30" s="43" t="str">
        <f>IFERROR((($F30*P30)/SingleEndAssumption),"")</f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>IFERROR((($F30*S30)/FourHeadAssumption),"")</f>
        <v/>
      </c>
      <c r="V30" s="47" t="str">
        <f>IFERROR((($F30*T30)/FourHeadAssumption),"")</f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2" t="str">
        <f>IFERROR((($F30*W30)/SingleEndAssumption),"")</f>
        <v/>
      </c>
      <c r="Z30" s="43" t="str">
        <f>IFERROR((($F30*X30)/SingleEndAssumption),"")</f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46" t="str">
        <f>IFERROR((($F30*AA30)/FourHeadAssumption),"")</f>
        <v/>
      </c>
      <c r="AD30" s="47" t="str">
        <f>IFERROR((($F30*AB30)/FourHeadAssumption),"")</f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2" t="str">
        <f>IFERROR((($F30*AE30)/SingleEndAssumption),"")</f>
        <v/>
      </c>
      <c r="AH30" s="43" t="str">
        <f>IFERROR((($F30*AF30)/SingleEndAssumption),"")</f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46" t="str">
        <f>IFERROR((($F30*AI30)/FourHeadAssumption),"")</f>
        <v/>
      </c>
      <c r="AL30" s="47" t="str">
        <f>IFERROR((($F30*AJ30)/FourHeadAssumption),"")</f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2" t="str">
        <f>IFERROR((($F30*AM30)/SingleEndAssumption),"")</f>
        <v/>
      </c>
      <c r="AP30" s="43" t="str">
        <f>IFERROR((($F30*AN30)/SingleEndAssumption),"")</f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46" t="str">
        <f>IFERROR((($F30*AQ30)/FourHeadAssumption),"")</f>
        <v/>
      </c>
      <c r="AT30" s="47" t="str">
        <f>IFERROR((($F30*AR30)/FourHeadAssumption),"")</f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2" t="str">
        <f>IFERROR((($F30*AU30)/SingleEndAssumption),"")</f>
        <v/>
      </c>
      <c r="AX30" s="43" t="str">
        <f>IFERROR((($F30*AV30)/SingleEndAssumption),"")</f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>IFERROR((($F31*G31)/SingleEndAssumption),"")</f>
        <v/>
      </c>
      <c r="J31" s="43" t="str">
        <f>IFERROR((($F31*H31)/SingleEndAssumption),"")</f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0"/>
        <v/>
      </c>
      <c r="N31" s="47" t="str">
        <f t="shared" si="0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2" t="str">
        <f>IFERROR((($F31*O31)/SingleEndAssumption),"")</f>
        <v/>
      </c>
      <c r="R31" s="43" t="str">
        <f>IFERROR((($F31*P31)/SingleEndAssumption),"")</f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1"/>
        <v/>
      </c>
      <c r="V31" s="47" t="str">
        <f t="shared" si="1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2" t="str">
        <f>IFERROR((($F31*W31)/SingleEndAssumption),"")</f>
        <v/>
      </c>
      <c r="Z31" s="43" t="str">
        <f>IFERROR((($F31*X31)/SingleEndAssumption),"")</f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46" t="str">
        <f t="shared" si="2"/>
        <v/>
      </c>
      <c r="AD31" s="47" t="str">
        <f t="shared" si="2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2" t="str">
        <f>IFERROR((($F31*AE31)/SingleEndAssumption),"")</f>
        <v/>
      </c>
      <c r="AH31" s="43" t="str">
        <f>IFERROR((($F31*AF31)/SingleEndAssumption),"")</f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46" t="str">
        <f t="shared" si="3"/>
        <v/>
      </c>
      <c r="AL31" s="47" t="str">
        <f t="shared" si="3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2" t="str">
        <f>IFERROR((($F31*AM31)/SingleEndAssumption),"")</f>
        <v/>
      </c>
      <c r="AP31" s="43" t="str">
        <f>IFERROR((($F31*AN31)/SingleEndAssumption),"")</f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46" t="str">
        <f t="shared" si="4"/>
        <v/>
      </c>
      <c r="AT31" s="47" t="str">
        <f t="shared" si="4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2" t="str">
        <f>IFERROR((($F31*AU31)/SingleEndAssumption),"")</f>
        <v/>
      </c>
      <c r="AX31" s="43" t="str">
        <f>IFERROR((($F31*AV31)/SingleEndAssumption),"")</f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>IFERROR((($F32*G32)/SingleEndAssumption),"")</f>
        <v/>
      </c>
      <c r="J32" s="43" t="str">
        <f>IFERROR((($F32*H32)/SingleEndAssumption),"")</f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0"/>
        <v/>
      </c>
      <c r="N32" s="47" t="str">
        <f t="shared" si="0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2" t="str">
        <f>IFERROR((($F32*O32)/SingleEndAssumption),"")</f>
        <v/>
      </c>
      <c r="R32" s="43" t="str">
        <f>IFERROR((($F32*P32)/SingleEndAssumption),"")</f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1"/>
        <v/>
      </c>
      <c r="V32" s="47" t="str">
        <f t="shared" si="1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2" t="str">
        <f>IFERROR((($F32*W32)/SingleEndAssumption),"")</f>
        <v/>
      </c>
      <c r="Z32" s="43" t="str">
        <f>IFERROR((($F32*X32)/SingleEndAssumption),"")</f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46" t="str">
        <f t="shared" si="2"/>
        <v/>
      </c>
      <c r="AD32" s="47" t="str">
        <f t="shared" si="2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2" t="str">
        <f>IFERROR((($F32*AE32)/SingleEndAssumption),"")</f>
        <v/>
      </c>
      <c r="AH32" s="43" t="str">
        <f>IFERROR((($F32*AF32)/SingleEndAssumption),"")</f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46" t="str">
        <f t="shared" si="3"/>
        <v/>
      </c>
      <c r="AL32" s="47" t="str">
        <f t="shared" si="3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2" t="str">
        <f>IFERROR((($F32*AM32)/SingleEndAssumption),"")</f>
        <v/>
      </c>
      <c r="AP32" s="43" t="str">
        <f>IFERROR((($F32*AN32)/SingleEndAssumption),"")</f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46" t="str">
        <f t="shared" si="4"/>
        <v/>
      </c>
      <c r="AT32" s="47" t="str">
        <f t="shared" si="4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2" t="str">
        <f>IFERROR((($F32*AU32)/SingleEndAssumption),"")</f>
        <v/>
      </c>
      <c r="AX32" s="43" t="str">
        <f>IFERROR((($F32*AV32)/SingleEndAssumption),"")</f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>IFERROR((($F33*G33)/SingleEndAssumption),"")</f>
        <v/>
      </c>
      <c r="J33" s="43" t="str">
        <f>IFERROR((($F33*H33)/SingleEndAssumption),"")</f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0"/>
        <v/>
      </c>
      <c r="N33" s="47" t="str">
        <f t="shared" si="0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2" t="str">
        <f>IFERROR((($F33*O33)/SingleEndAssumption),"")</f>
        <v/>
      </c>
      <c r="R33" s="43" t="str">
        <f>IFERROR((($F33*P33)/SingleEndAssumption),"")</f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1"/>
        <v/>
      </c>
      <c r="V33" s="47" t="str">
        <f t="shared" si="1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2" t="str">
        <f>IFERROR((($F33*W33)/SingleEndAssumption),"")</f>
        <v/>
      </c>
      <c r="Z33" s="43" t="str">
        <f>IFERROR((($F33*X33)/SingleEndAssumption),"")</f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46" t="str">
        <f t="shared" si="2"/>
        <v/>
      </c>
      <c r="AD33" s="47" t="str">
        <f t="shared" si="2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2" t="str">
        <f>IFERROR((($F33*AE33)/SingleEndAssumption),"")</f>
        <v/>
      </c>
      <c r="AH33" s="43" t="str">
        <f>IFERROR((($F33*AF33)/SingleEndAssumption),"")</f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46" t="str">
        <f t="shared" si="3"/>
        <v/>
      </c>
      <c r="AL33" s="47" t="str">
        <f t="shared" si="3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2" t="str">
        <f>IFERROR((($F33*AM33)/SingleEndAssumption),"")</f>
        <v/>
      </c>
      <c r="AP33" s="43" t="str">
        <f>IFERROR((($F33*AN33)/SingleEndAssumption),"")</f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46" t="str">
        <f t="shared" si="4"/>
        <v/>
      </c>
      <c r="AT33" s="47" t="str">
        <f t="shared" si="4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2" t="str">
        <f>IFERROR((($F33*AU33)/SingleEndAssumption),"")</f>
        <v/>
      </c>
      <c r="AX33" s="43" t="str">
        <f>IFERROR((($F33*AV33)/SingleEndAssumption),"")</f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>IFERROR((($F34*G34)/SingleEndAssumption),"")</f>
        <v/>
      </c>
      <c r="J34" s="43" t="str">
        <f>IFERROR((($F34*H34)/SingleEndAssumption),"")</f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0"/>
        <v/>
      </c>
      <c r="N34" s="47" t="str">
        <f t="shared" si="0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2" t="str">
        <f>IFERROR((($F34*O34)/SingleEndAssumption),"")</f>
        <v/>
      </c>
      <c r="R34" s="43" t="str">
        <f>IFERROR((($F34*P34)/SingleEndAssumption),"")</f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1"/>
        <v/>
      </c>
      <c r="V34" s="47" t="str">
        <f t="shared" si="1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2" t="str">
        <f>IFERROR((($F34*W34)/SingleEndAssumption),"")</f>
        <v/>
      </c>
      <c r="Z34" s="43" t="str">
        <f>IFERROR((($F34*X34)/SingleEndAssumption),"")</f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46" t="str">
        <f t="shared" si="2"/>
        <v/>
      </c>
      <c r="AD34" s="47" t="str">
        <f t="shared" si="2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2" t="str">
        <f>IFERROR((($F34*AE34)/SingleEndAssumption),"")</f>
        <v/>
      </c>
      <c r="AH34" s="43" t="str">
        <f>IFERROR((($F34*AF34)/SingleEndAssumption),"")</f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46" t="str">
        <f t="shared" si="3"/>
        <v/>
      </c>
      <c r="AL34" s="47" t="str">
        <f t="shared" si="3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2" t="str">
        <f>IFERROR((($F34*AM34)/SingleEndAssumption),"")</f>
        <v/>
      </c>
      <c r="AP34" s="43" t="str">
        <f>IFERROR((($F34*AN34)/SingleEndAssumption),"")</f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46" t="str">
        <f t="shared" si="4"/>
        <v/>
      </c>
      <c r="AT34" s="47" t="str">
        <f t="shared" si="4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2" t="str">
        <f>IFERROR((($F34*AU34)/SingleEndAssumption),"")</f>
        <v/>
      </c>
      <c r="AX34" s="43" t="str">
        <f>IFERROR((($F34*AV34)/SingleEndAssumption),"")</f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>IFERROR((($F35*G35)/SingleEndAssumption),"")</f>
        <v/>
      </c>
      <c r="J35" s="43" t="str">
        <f>IFERROR((($F35*H35)/SingleEndAssumption),"")</f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0"/>
        <v/>
      </c>
      <c r="N35" s="47" t="str">
        <f t="shared" si="0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2" t="str">
        <f>IFERROR((($F35*O35)/SingleEndAssumption),"")</f>
        <v/>
      </c>
      <c r="R35" s="43" t="str">
        <f>IFERROR((($F35*P35)/SingleEndAssumption),"")</f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1"/>
        <v/>
      </c>
      <c r="V35" s="47" t="str">
        <f t="shared" si="1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2" t="str">
        <f>IFERROR((($F35*W35)/SingleEndAssumption),"")</f>
        <v/>
      </c>
      <c r="Z35" s="43" t="str">
        <f>IFERROR((($F35*X35)/SingleEndAssumption),"")</f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46" t="str">
        <f t="shared" si="2"/>
        <v/>
      </c>
      <c r="AD35" s="47" t="str">
        <f t="shared" si="2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2" t="str">
        <f>IFERROR((($F35*AE35)/SingleEndAssumption),"")</f>
        <v/>
      </c>
      <c r="AH35" s="43" t="str">
        <f>IFERROR((($F35*AF35)/SingleEndAssumption),"")</f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46" t="str">
        <f t="shared" si="3"/>
        <v/>
      </c>
      <c r="AL35" s="47" t="str">
        <f t="shared" si="3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2" t="str">
        <f>IFERROR((($F35*AM35)/SingleEndAssumption),"")</f>
        <v/>
      </c>
      <c r="AP35" s="43" t="str">
        <f>IFERROR((($F35*AN35)/SingleEndAssumption),"")</f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46" t="str">
        <f t="shared" si="4"/>
        <v/>
      </c>
      <c r="AT35" s="47" t="str">
        <f t="shared" si="4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2" t="str">
        <f>IFERROR((($F35*AU35)/SingleEndAssumption),"")</f>
        <v/>
      </c>
      <c r="AX35" s="43" t="str">
        <f>IFERROR((($F35*AV35)/SingleEndAssumption),"")</f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>IFERROR((($F36*G36)/SingleEndAssumption),"")</f>
        <v/>
      </c>
      <c r="J36" s="43" t="str">
        <f>IFERROR((($F36*H36)/SingleEndAssumption),"")</f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0"/>
        <v/>
      </c>
      <c r="N36" s="47" t="str">
        <f t="shared" si="0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2" t="str">
        <f>IFERROR((($F36*O36)/SingleEndAssumption),"")</f>
        <v/>
      </c>
      <c r="R36" s="43" t="str">
        <f>IFERROR((($F36*P36)/SingleEndAssumption),"")</f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1"/>
        <v/>
      </c>
      <c r="V36" s="47" t="str">
        <f t="shared" si="1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2" t="str">
        <f>IFERROR((($F36*W36)/SingleEndAssumption),"")</f>
        <v/>
      </c>
      <c r="Z36" s="43" t="str">
        <f>IFERROR((($F36*X36)/SingleEndAssumption),"")</f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46" t="str">
        <f t="shared" si="2"/>
        <v/>
      </c>
      <c r="AD36" s="47" t="str">
        <f t="shared" si="2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2" t="str">
        <f>IFERROR((($F36*AE36)/SingleEndAssumption),"")</f>
        <v/>
      </c>
      <c r="AH36" s="43" t="str">
        <f>IFERROR((($F36*AF36)/SingleEndAssumption),"")</f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46" t="str">
        <f t="shared" si="3"/>
        <v/>
      </c>
      <c r="AL36" s="47" t="str">
        <f t="shared" si="3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2" t="str">
        <f>IFERROR((($F36*AM36)/SingleEndAssumption),"")</f>
        <v/>
      </c>
      <c r="AP36" s="43" t="str">
        <f>IFERROR((($F36*AN36)/SingleEndAssumption),"")</f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46" t="str">
        <f t="shared" si="4"/>
        <v/>
      </c>
      <c r="AT36" s="47" t="str">
        <f t="shared" si="4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2" t="str">
        <f>IFERROR((($F36*AU36)/SingleEndAssumption),"")</f>
        <v/>
      </c>
      <c r="AX36" s="43" t="str">
        <f>IFERROR((($F36*AV36)/SingleEndAssumption),"")</f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>IFERROR((($F37*G37)/SingleEndAssumption),"")</f>
        <v/>
      </c>
      <c r="J37" s="43" t="str">
        <f>IFERROR((($F37*H37)/SingleEndAssumption),"")</f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0"/>
        <v/>
      </c>
      <c r="N37" s="47" t="str">
        <f t="shared" si="0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2" t="str">
        <f>IFERROR((($F37*O37)/SingleEndAssumption),"")</f>
        <v/>
      </c>
      <c r="R37" s="43" t="str">
        <f>IFERROR((($F37*P37)/SingleEndAssumption),"")</f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1"/>
        <v/>
      </c>
      <c r="V37" s="47" t="str">
        <f t="shared" si="1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2" t="str">
        <f>IFERROR((($F37*W37)/SingleEndAssumption),"")</f>
        <v/>
      </c>
      <c r="Z37" s="43" t="str">
        <f>IFERROR((($F37*X37)/SingleEndAssumption),"")</f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46" t="str">
        <f t="shared" si="2"/>
        <v/>
      </c>
      <c r="AD37" s="47" t="str">
        <f t="shared" si="2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2" t="str">
        <f>IFERROR((($F37*AE37)/SingleEndAssumption),"")</f>
        <v/>
      </c>
      <c r="AH37" s="43" t="str">
        <f>IFERROR((($F37*AF37)/SingleEndAssumption),"")</f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46" t="str">
        <f t="shared" si="3"/>
        <v/>
      </c>
      <c r="AL37" s="47" t="str">
        <f t="shared" si="3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2" t="str">
        <f>IFERROR((($F37*AM37)/SingleEndAssumption),"")</f>
        <v/>
      </c>
      <c r="AP37" s="43" t="str">
        <f>IFERROR((($F37*AN37)/SingleEndAssumption),"")</f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46" t="str">
        <f t="shared" si="4"/>
        <v/>
      </c>
      <c r="AT37" s="47" t="str">
        <f t="shared" si="4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2" t="str">
        <f>IFERROR((($F37*AU37)/SingleEndAssumption),"")</f>
        <v/>
      </c>
      <c r="AX37" s="43" t="str">
        <f>IFERROR((($F37*AV37)/SingleEndAssumption),"")</f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>IFERROR((($F38*G38)/SingleEndAssumption),"")</f>
        <v/>
      </c>
      <c r="J38" s="43" t="str">
        <f>IFERROR((($F38*H38)/SingleEndAssumption),"")</f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0"/>
        <v/>
      </c>
      <c r="N38" s="47" t="str">
        <f t="shared" si="0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2" t="str">
        <f>IFERROR((($F38*O38)/SingleEndAssumption),"")</f>
        <v/>
      </c>
      <c r="R38" s="43" t="str">
        <f>IFERROR((($F38*P38)/SingleEndAssumption),"")</f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1"/>
        <v/>
      </c>
      <c r="V38" s="47" t="str">
        <f t="shared" si="1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2" t="str">
        <f>IFERROR((($F38*W38)/SingleEndAssumption),"")</f>
        <v/>
      </c>
      <c r="Z38" s="43" t="str">
        <f>IFERROR((($F38*X38)/SingleEndAssumption),"")</f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46" t="str">
        <f t="shared" si="2"/>
        <v/>
      </c>
      <c r="AD38" s="47" t="str">
        <f t="shared" si="2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2" t="str">
        <f>IFERROR((($F38*AE38)/SingleEndAssumption),"")</f>
        <v/>
      </c>
      <c r="AH38" s="43" t="str">
        <f>IFERROR((($F38*AF38)/SingleEndAssumption),"")</f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46" t="str">
        <f t="shared" si="3"/>
        <v/>
      </c>
      <c r="AL38" s="47" t="str">
        <f t="shared" si="3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2" t="str">
        <f>IFERROR((($F38*AM38)/SingleEndAssumption),"")</f>
        <v/>
      </c>
      <c r="AP38" s="43" t="str">
        <f>IFERROR((($F38*AN38)/SingleEndAssumption),"")</f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46" t="str">
        <f t="shared" si="4"/>
        <v/>
      </c>
      <c r="AT38" s="47" t="str">
        <f t="shared" si="4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2" t="str">
        <f>IFERROR((($F38*AU38)/SingleEndAssumption),"")</f>
        <v/>
      </c>
      <c r="AX38" s="43" t="str">
        <f>IFERROR((($F38*AV38)/SingleEndAssumption),"")</f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>IFERROR((($F39*G39)/SingleEndAssumption),"")</f>
        <v/>
      </c>
      <c r="J39" s="43" t="str">
        <f>IFERROR((($F39*H39)/SingleEndAssumption),"")</f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0"/>
        <v/>
      </c>
      <c r="N39" s="47" t="str">
        <f t="shared" si="0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2" t="str">
        <f>IFERROR((($F39*O39)/SingleEndAssumption),"")</f>
        <v/>
      </c>
      <c r="R39" s="43" t="str">
        <f>IFERROR((($F39*P39)/SingleEndAssumption),"")</f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1"/>
        <v/>
      </c>
      <c r="V39" s="47" t="str">
        <f t="shared" si="1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2" t="str">
        <f>IFERROR((($F39*W39)/SingleEndAssumption),"")</f>
        <v/>
      </c>
      <c r="Z39" s="43" t="str">
        <f>IFERROR((($F39*X39)/SingleEndAssumption),"")</f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46" t="str">
        <f t="shared" si="2"/>
        <v/>
      </c>
      <c r="AD39" s="47" t="str">
        <f t="shared" si="2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2" t="str">
        <f>IFERROR((($F39*AE39)/SingleEndAssumption),"")</f>
        <v/>
      </c>
      <c r="AH39" s="43" t="str">
        <f>IFERROR((($F39*AF39)/SingleEndAssumption),"")</f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46" t="str">
        <f t="shared" si="3"/>
        <v/>
      </c>
      <c r="AL39" s="47" t="str">
        <f t="shared" si="3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2" t="str">
        <f>IFERROR((($F39*AM39)/SingleEndAssumption),"")</f>
        <v/>
      </c>
      <c r="AP39" s="43" t="str">
        <f>IFERROR((($F39*AN39)/SingleEndAssumption),"")</f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46" t="str">
        <f t="shared" si="4"/>
        <v/>
      </c>
      <c r="AT39" s="47" t="str">
        <f t="shared" si="4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2" t="str">
        <f>IFERROR((($F39*AU39)/SingleEndAssumption),"")</f>
        <v/>
      </c>
      <c r="AX39" s="43" t="str">
        <f>IFERROR((($F39*AV39)/SingleEndAssumption),"")</f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>IFERROR((($F40*G40)/SingleEndAssumption),"")</f>
        <v/>
      </c>
      <c r="J40" s="43" t="str">
        <f>IFERROR((($F40*H40)/SingleEndAssumption),"")</f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0"/>
        <v/>
      </c>
      <c r="N40" s="47" t="str">
        <f t="shared" si="0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2" t="str">
        <f>IFERROR((($F40*O40)/SingleEndAssumption),"")</f>
        <v/>
      </c>
      <c r="R40" s="43" t="str">
        <f>IFERROR((($F40*P40)/SingleEndAssumption),"")</f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1"/>
        <v/>
      </c>
      <c r="V40" s="47" t="str">
        <f t="shared" si="1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2" t="str">
        <f>IFERROR((($F40*W40)/SingleEndAssumption),"")</f>
        <v/>
      </c>
      <c r="Z40" s="43" t="str">
        <f>IFERROR((($F40*X40)/SingleEndAssumption),"")</f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46" t="str">
        <f t="shared" si="2"/>
        <v/>
      </c>
      <c r="AD40" s="47" t="str">
        <f t="shared" si="2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2" t="str">
        <f>IFERROR((($F40*AE40)/SingleEndAssumption),"")</f>
        <v/>
      </c>
      <c r="AH40" s="43" t="str">
        <f>IFERROR((($F40*AF40)/SingleEndAssumption),"")</f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46" t="str">
        <f t="shared" si="3"/>
        <v/>
      </c>
      <c r="AL40" s="47" t="str">
        <f t="shared" si="3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2" t="str">
        <f>IFERROR((($F40*AM40)/SingleEndAssumption),"")</f>
        <v/>
      </c>
      <c r="AP40" s="43" t="str">
        <f>IFERROR((($F40*AN40)/SingleEndAssumption),"")</f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46" t="str">
        <f t="shared" si="4"/>
        <v/>
      </c>
      <c r="AT40" s="47" t="str">
        <f t="shared" si="4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2" t="str">
        <f>IFERROR((($F40*AU40)/SingleEndAssumption),"")</f>
        <v/>
      </c>
      <c r="AX40" s="43" t="str">
        <f>IFERROR((($F40*AV40)/SingleEndAssumption),"")</f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>IFERROR((($F41*G41)/SingleEndAssumption),"")</f>
        <v/>
      </c>
      <c r="J41" s="43" t="str">
        <f>IFERROR((($F41*H41)/SingleEndAssumption),"")</f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0"/>
        <v/>
      </c>
      <c r="N41" s="47" t="str">
        <f t="shared" si="0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2" t="str">
        <f>IFERROR((($F41*O41)/SingleEndAssumption),"")</f>
        <v/>
      </c>
      <c r="R41" s="43" t="str">
        <f>IFERROR((($F41*P41)/SingleEndAssumption),"")</f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1"/>
        <v/>
      </c>
      <c r="V41" s="47" t="str">
        <f t="shared" si="1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2" t="str">
        <f>IFERROR((($F41*W41)/SingleEndAssumption),"")</f>
        <v/>
      </c>
      <c r="Z41" s="43" t="str">
        <f>IFERROR((($F41*X41)/SingleEndAssumption),"")</f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46" t="str">
        <f t="shared" si="2"/>
        <v/>
      </c>
      <c r="AD41" s="47" t="str">
        <f t="shared" si="2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2" t="str">
        <f>IFERROR((($F41*AE41)/SingleEndAssumption),"")</f>
        <v/>
      </c>
      <c r="AH41" s="43" t="str">
        <f>IFERROR((($F41*AF41)/SingleEndAssumption),"")</f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46" t="str">
        <f t="shared" si="3"/>
        <v/>
      </c>
      <c r="AL41" s="47" t="str">
        <f t="shared" si="3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2" t="str">
        <f>IFERROR((($F41*AM41)/SingleEndAssumption),"")</f>
        <v/>
      </c>
      <c r="AP41" s="43" t="str">
        <f>IFERROR((($F41*AN41)/SingleEndAssumption),"")</f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46" t="str">
        <f t="shared" si="4"/>
        <v/>
      </c>
      <c r="AT41" s="47" t="str">
        <f t="shared" si="4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2" t="str">
        <f>IFERROR((($F41*AU41)/SingleEndAssumption),"")</f>
        <v/>
      </c>
      <c r="AX41" s="43" t="str">
        <f>IFERROR((($F41*AV41)/SingleEndAssumption),"")</f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>IFERROR((($F42*G42)/SingleEndAssumption),"")</f>
        <v/>
      </c>
      <c r="J42" s="43" t="str">
        <f>IFERROR((($F42*H42)/SingleEndAssumption),"")</f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0"/>
        <v/>
      </c>
      <c r="N42" s="47" t="str">
        <f t="shared" si="0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2" t="str">
        <f>IFERROR((($F42*O42)/SingleEndAssumption),"")</f>
        <v/>
      </c>
      <c r="R42" s="43" t="str">
        <f>IFERROR((($F42*P42)/SingleEndAssumption),"")</f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1"/>
        <v/>
      </c>
      <c r="V42" s="47" t="str">
        <f t="shared" si="1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2" t="str">
        <f>IFERROR((($F42*W42)/SingleEndAssumption),"")</f>
        <v/>
      </c>
      <c r="Z42" s="43" t="str">
        <f>IFERROR((($F42*X42)/SingleEndAssumption),"")</f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46" t="str">
        <f t="shared" si="2"/>
        <v/>
      </c>
      <c r="AD42" s="47" t="str">
        <f t="shared" si="2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2" t="str">
        <f>IFERROR((($F42*AE42)/SingleEndAssumption),"")</f>
        <v/>
      </c>
      <c r="AH42" s="43" t="str">
        <f>IFERROR((($F42*AF42)/SingleEndAssumption),"")</f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46" t="str">
        <f t="shared" si="3"/>
        <v/>
      </c>
      <c r="AL42" s="47" t="str">
        <f t="shared" si="3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2" t="str">
        <f>IFERROR((($F42*AM42)/SingleEndAssumption),"")</f>
        <v/>
      </c>
      <c r="AP42" s="43" t="str">
        <f>IFERROR((($F42*AN42)/SingleEndAssumption),"")</f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46" t="str">
        <f t="shared" si="4"/>
        <v/>
      </c>
      <c r="AT42" s="47" t="str">
        <f t="shared" si="4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2" t="str">
        <f>IFERROR((($F42*AU42)/SingleEndAssumption),"")</f>
        <v/>
      </c>
      <c r="AX42" s="43" t="str">
        <f>IFERROR((($F42*AV42)/SingleEndAssumption),"")</f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>IFERROR((($F43*G43)/SingleEndAssumption),"")</f>
        <v/>
      </c>
      <c r="J43" s="43" t="str">
        <f>IFERROR((($F43*H43)/SingleEndAssumption),"")</f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0"/>
        <v/>
      </c>
      <c r="N43" s="47" t="str">
        <f t="shared" si="0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2" t="str">
        <f>IFERROR((($F43*O43)/SingleEndAssumption),"")</f>
        <v/>
      </c>
      <c r="R43" s="43" t="str">
        <f>IFERROR((($F43*P43)/SingleEndAssumption),"")</f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1"/>
        <v/>
      </c>
      <c r="V43" s="47" t="str">
        <f t="shared" si="1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2" t="str">
        <f>IFERROR((($F43*W43)/SingleEndAssumption),"")</f>
        <v/>
      </c>
      <c r="Z43" s="43" t="str">
        <f>IFERROR((($F43*X43)/SingleEndAssumption),"")</f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46" t="str">
        <f t="shared" si="2"/>
        <v/>
      </c>
      <c r="AD43" s="47" t="str">
        <f t="shared" si="2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2" t="str">
        <f>IFERROR((($F43*AE43)/SingleEndAssumption),"")</f>
        <v/>
      </c>
      <c r="AH43" s="43" t="str">
        <f>IFERROR((($F43*AF43)/SingleEndAssumption),"")</f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46" t="str">
        <f t="shared" si="3"/>
        <v/>
      </c>
      <c r="AL43" s="47" t="str">
        <f t="shared" si="3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2" t="str">
        <f>IFERROR((($F43*AM43)/SingleEndAssumption),"")</f>
        <v/>
      </c>
      <c r="AP43" s="43" t="str">
        <f>IFERROR((($F43*AN43)/SingleEndAssumption),"")</f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46" t="str">
        <f t="shared" si="4"/>
        <v/>
      </c>
      <c r="AT43" s="47" t="str">
        <f t="shared" si="4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2" t="str">
        <f>IFERROR((($F43*AU43)/SingleEndAssumption),"")</f>
        <v/>
      </c>
      <c r="AX43" s="43" t="str">
        <f>IFERROR((($F43*AV43)/SingleEndAssumption),"")</f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>IFERROR((($F44*G44)/SingleEndAssumption),"")</f>
        <v/>
      </c>
      <c r="J44" s="43" t="str">
        <f>IFERROR((($F44*H44)/SingleEndAssumption),"")</f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0"/>
        <v/>
      </c>
      <c r="N44" s="47" t="str">
        <f t="shared" si="0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2" t="str">
        <f>IFERROR((($F44*O44)/SingleEndAssumption),"")</f>
        <v/>
      </c>
      <c r="R44" s="43" t="str">
        <f>IFERROR((($F44*P44)/SingleEndAssumption),"")</f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1"/>
        <v/>
      </c>
      <c r="V44" s="47" t="str">
        <f t="shared" si="1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2" t="str">
        <f>IFERROR((($F44*W44)/SingleEndAssumption),"")</f>
        <v/>
      </c>
      <c r="Z44" s="43" t="str">
        <f>IFERROR((($F44*X44)/SingleEndAssumption),"")</f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46" t="str">
        <f t="shared" si="2"/>
        <v/>
      </c>
      <c r="AD44" s="47" t="str">
        <f t="shared" si="2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2" t="str">
        <f>IFERROR((($F44*AE44)/SingleEndAssumption),"")</f>
        <v/>
      </c>
      <c r="AH44" s="43" t="str">
        <f>IFERROR((($F44*AF44)/SingleEndAssumption),"")</f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46" t="str">
        <f t="shared" si="3"/>
        <v/>
      </c>
      <c r="AL44" s="47" t="str">
        <f t="shared" si="3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2" t="str">
        <f>IFERROR((($F44*AM44)/SingleEndAssumption),"")</f>
        <v/>
      </c>
      <c r="AP44" s="43" t="str">
        <f>IFERROR((($F44*AN44)/SingleEndAssumption),"")</f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46" t="str">
        <f t="shared" si="4"/>
        <v/>
      </c>
      <c r="AT44" s="47" t="str">
        <f t="shared" si="4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2" t="str">
        <f>IFERROR((($F44*AU44)/SingleEndAssumption),"")</f>
        <v/>
      </c>
      <c r="AX44" s="43" t="str">
        <f>IFERROR((($F44*AV44)/SingleEndAssumption),"")</f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>IFERROR((($F45*G45)/SingleEndAssumption),"")</f>
        <v/>
      </c>
      <c r="J45" s="43" t="str">
        <f>IFERROR((($F45*H45)/SingleEndAssumption),"")</f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0"/>
        <v/>
      </c>
      <c r="N45" s="47" t="str">
        <f t="shared" si="0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2" t="str">
        <f>IFERROR((($F45*O45)/SingleEndAssumption),"")</f>
        <v/>
      </c>
      <c r="R45" s="43" t="str">
        <f>IFERROR((($F45*P45)/SingleEndAssumption),"")</f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1"/>
        <v/>
      </c>
      <c r="V45" s="47" t="str">
        <f t="shared" si="1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2" t="str">
        <f>IFERROR((($F45*W45)/SingleEndAssumption),"")</f>
        <v/>
      </c>
      <c r="Z45" s="43" t="str">
        <f>IFERROR((($F45*X45)/SingleEndAssumption),"")</f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46" t="str">
        <f t="shared" si="2"/>
        <v/>
      </c>
      <c r="AD45" s="47" t="str">
        <f t="shared" si="2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2" t="str">
        <f>IFERROR((($F45*AE45)/SingleEndAssumption),"")</f>
        <v/>
      </c>
      <c r="AH45" s="43" t="str">
        <f>IFERROR((($F45*AF45)/SingleEndAssumption),"")</f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46" t="str">
        <f t="shared" si="3"/>
        <v/>
      </c>
      <c r="AL45" s="47" t="str">
        <f t="shared" si="3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2" t="str">
        <f>IFERROR((($F45*AM45)/SingleEndAssumption),"")</f>
        <v/>
      </c>
      <c r="AP45" s="43" t="str">
        <f>IFERROR((($F45*AN45)/SingleEndAssumption),"")</f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46" t="str">
        <f t="shared" si="4"/>
        <v/>
      </c>
      <c r="AT45" s="47" t="str">
        <f t="shared" si="4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2" t="str">
        <f>IFERROR((($F45*AU45)/SingleEndAssumption),"")</f>
        <v/>
      </c>
      <c r="AX45" s="43" t="str">
        <f>IFERROR((($F45*AV45)/SingleEndAssumption),"")</f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>IFERROR((($F46*G46)/SingleEndAssumption),"")</f>
        <v/>
      </c>
      <c r="J46" s="43" t="str">
        <f>IFERROR((($F46*H46)/SingleEndAssumption),"")</f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0"/>
        <v/>
      </c>
      <c r="N46" s="47" t="str">
        <f t="shared" si="0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2" t="str">
        <f>IFERROR((($F46*O46)/SingleEndAssumption),"")</f>
        <v/>
      </c>
      <c r="R46" s="43" t="str">
        <f>IFERROR((($F46*P46)/SingleEndAssumption),"")</f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1"/>
        <v/>
      </c>
      <c r="V46" s="47" t="str">
        <f t="shared" si="1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2" t="str">
        <f>IFERROR((($F46*W46)/SingleEndAssumption),"")</f>
        <v/>
      </c>
      <c r="Z46" s="43" t="str">
        <f>IFERROR((($F46*X46)/SingleEndAssumption),"")</f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46" t="str">
        <f t="shared" si="2"/>
        <v/>
      </c>
      <c r="AD46" s="47" t="str">
        <f t="shared" si="2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2" t="str">
        <f>IFERROR((($F46*AE46)/SingleEndAssumption),"")</f>
        <v/>
      </c>
      <c r="AH46" s="43" t="str">
        <f>IFERROR((($F46*AF46)/SingleEndAssumption),"")</f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46" t="str">
        <f t="shared" si="3"/>
        <v/>
      </c>
      <c r="AL46" s="47" t="str">
        <f t="shared" si="3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2" t="str">
        <f>IFERROR((($F46*AM46)/SingleEndAssumption),"")</f>
        <v/>
      </c>
      <c r="AP46" s="43" t="str">
        <f>IFERROR((($F46*AN46)/SingleEndAssumption),"")</f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46" t="str">
        <f t="shared" si="4"/>
        <v/>
      </c>
      <c r="AT46" s="47" t="str">
        <f t="shared" si="4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2" t="str">
        <f>IFERROR((($F46*AU46)/SingleEndAssumption),"")</f>
        <v/>
      </c>
      <c r="AX46" s="43" t="str">
        <f>IFERROR((($F46*AV46)/SingleEndAssumption),"")</f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>IFERROR((($F47*G47)/SingleEndAssumption),"")</f>
        <v/>
      </c>
      <c r="J47" s="43" t="str">
        <f>IFERROR((($F47*H47)/SingleEndAssumption),"")</f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0"/>
        <v/>
      </c>
      <c r="N47" s="47" t="str">
        <f t="shared" si="0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2" t="str">
        <f>IFERROR((($F47*O47)/SingleEndAssumption),"")</f>
        <v/>
      </c>
      <c r="R47" s="43" t="str">
        <f>IFERROR((($F47*P47)/SingleEndAssumption),"")</f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1"/>
        <v/>
      </c>
      <c r="V47" s="47" t="str">
        <f t="shared" si="1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2" t="str">
        <f>IFERROR((($F47*W47)/SingleEndAssumption),"")</f>
        <v/>
      </c>
      <c r="Z47" s="43" t="str">
        <f>IFERROR((($F47*X47)/SingleEndAssumption),"")</f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46" t="str">
        <f t="shared" si="2"/>
        <v/>
      </c>
      <c r="AD47" s="47" t="str">
        <f t="shared" si="2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2" t="str">
        <f>IFERROR((($F47*AE47)/SingleEndAssumption),"")</f>
        <v/>
      </c>
      <c r="AH47" s="43" t="str">
        <f>IFERROR((($F47*AF47)/SingleEndAssumption),"")</f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46" t="str">
        <f t="shared" si="3"/>
        <v/>
      </c>
      <c r="AL47" s="47" t="str">
        <f t="shared" si="3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2" t="str">
        <f>IFERROR((($F47*AM47)/SingleEndAssumption),"")</f>
        <v/>
      </c>
      <c r="AP47" s="43" t="str">
        <f>IFERROR((($F47*AN47)/SingleEndAssumption),"")</f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46" t="str">
        <f t="shared" si="4"/>
        <v/>
      </c>
      <c r="AT47" s="47" t="str">
        <f t="shared" si="4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2" t="str">
        <f>IFERROR((($F47*AU47)/SingleEndAssumption),"")</f>
        <v/>
      </c>
      <c r="AX47" s="43" t="str">
        <f>IFERROR((($F47*AV47)/SingleEndAssumption),"")</f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>IFERROR((($F48*G48)/SingleEndAssumption),"")</f>
        <v/>
      </c>
      <c r="J48" s="43" t="str">
        <f>IFERROR((($F48*H48)/SingleEndAssumption),"")</f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0"/>
        <v/>
      </c>
      <c r="N48" s="47" t="str">
        <f t="shared" si="0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2" t="str">
        <f>IFERROR((($F48*O48)/SingleEndAssumption),"")</f>
        <v/>
      </c>
      <c r="R48" s="43" t="str">
        <f>IFERROR((($F48*P48)/SingleEndAssumption),"")</f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1"/>
        <v/>
      </c>
      <c r="V48" s="47" t="str">
        <f t="shared" si="1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2" t="str">
        <f>IFERROR((($F48*W48)/SingleEndAssumption),"")</f>
        <v/>
      </c>
      <c r="Z48" s="43" t="str">
        <f>IFERROR((($F48*X48)/SingleEndAssumption),"")</f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46" t="str">
        <f t="shared" si="2"/>
        <v/>
      </c>
      <c r="AD48" s="47" t="str">
        <f t="shared" si="2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2" t="str">
        <f>IFERROR((($F48*AE48)/SingleEndAssumption),"")</f>
        <v/>
      </c>
      <c r="AH48" s="43" t="str">
        <f>IFERROR((($F48*AF48)/SingleEndAssumption),"")</f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46" t="str">
        <f t="shared" si="3"/>
        <v/>
      </c>
      <c r="AL48" s="47" t="str">
        <f t="shared" si="3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2" t="str">
        <f>IFERROR((($F48*AM48)/SingleEndAssumption),"")</f>
        <v/>
      </c>
      <c r="AP48" s="43" t="str">
        <f>IFERROR((($F48*AN48)/SingleEndAssumption),"")</f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46" t="str">
        <f t="shared" si="4"/>
        <v/>
      </c>
      <c r="AT48" s="47" t="str">
        <f t="shared" si="4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2" t="str">
        <f>IFERROR((($F48*AU48)/SingleEndAssumption),"")</f>
        <v/>
      </c>
      <c r="AX48" s="43" t="str">
        <f>IFERROR((($F48*AV48)/SingleEndAssumption),"")</f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>IFERROR((($F49*G49)/SingleEndAssumption),"")</f>
        <v/>
      </c>
      <c r="J49" s="43" t="str">
        <f>IFERROR((($F49*H49)/SingleEndAssumption),"")</f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0"/>
        <v/>
      </c>
      <c r="N49" s="47" t="str">
        <f t="shared" si="0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2" t="str">
        <f>IFERROR((($F49*O49)/SingleEndAssumption),"")</f>
        <v/>
      </c>
      <c r="R49" s="43" t="str">
        <f>IFERROR((($F49*P49)/SingleEndAssumption),"")</f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1"/>
        <v/>
      </c>
      <c r="V49" s="47" t="str">
        <f t="shared" si="1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2" t="str">
        <f>IFERROR((($F49*W49)/SingleEndAssumption),"")</f>
        <v/>
      </c>
      <c r="Z49" s="43" t="str">
        <f>IFERROR((($F49*X49)/SingleEndAssumption),"")</f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46" t="str">
        <f t="shared" si="2"/>
        <v/>
      </c>
      <c r="AD49" s="47" t="str">
        <f t="shared" si="2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2" t="str">
        <f>IFERROR((($F49*AE49)/SingleEndAssumption),"")</f>
        <v/>
      </c>
      <c r="AH49" s="43" t="str">
        <f>IFERROR((($F49*AF49)/SingleEndAssumption),"")</f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46" t="str">
        <f t="shared" si="3"/>
        <v/>
      </c>
      <c r="AL49" s="47" t="str">
        <f t="shared" si="3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2" t="str">
        <f>IFERROR((($F49*AM49)/SingleEndAssumption),"")</f>
        <v/>
      </c>
      <c r="AP49" s="43" t="str">
        <f>IFERROR((($F49*AN49)/SingleEndAssumption),"")</f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46" t="str">
        <f t="shared" si="4"/>
        <v/>
      </c>
      <c r="AT49" s="47" t="str">
        <f t="shared" si="4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2" t="str">
        <f>IFERROR((($F49*AU49)/SingleEndAssumption),"")</f>
        <v/>
      </c>
      <c r="AX49" s="43" t="str">
        <f>IFERROR((($F49*AV49)/SingleEndAssumption),"")</f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>IFERROR((($F50*G50)/SingleEndAssumption),"")</f>
        <v/>
      </c>
      <c r="J50" s="43" t="str">
        <f>IFERROR((($F50*H50)/SingleEndAssumption),"")</f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0"/>
        <v/>
      </c>
      <c r="N50" s="47" t="str">
        <f t="shared" si="0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2" t="str">
        <f>IFERROR((($F50*O50)/SingleEndAssumption),"")</f>
        <v/>
      </c>
      <c r="R50" s="43" t="str">
        <f>IFERROR((($F50*P50)/SingleEndAssumption),"")</f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1"/>
        <v/>
      </c>
      <c r="V50" s="47" t="str">
        <f t="shared" si="1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2" t="str">
        <f>IFERROR((($F50*W50)/SingleEndAssumption),"")</f>
        <v/>
      </c>
      <c r="Z50" s="43" t="str">
        <f>IFERROR((($F50*X50)/SingleEndAssumption),"")</f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46" t="str">
        <f t="shared" si="2"/>
        <v/>
      </c>
      <c r="AD50" s="47" t="str">
        <f t="shared" si="2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2" t="str">
        <f>IFERROR((($F50*AE50)/SingleEndAssumption),"")</f>
        <v/>
      </c>
      <c r="AH50" s="43" t="str">
        <f>IFERROR((($F50*AF50)/SingleEndAssumption),"")</f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46" t="str">
        <f t="shared" si="3"/>
        <v/>
      </c>
      <c r="AL50" s="47" t="str">
        <f t="shared" si="3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2" t="str">
        <f>IFERROR((($F50*AM50)/SingleEndAssumption),"")</f>
        <v/>
      </c>
      <c r="AP50" s="43" t="str">
        <f>IFERROR((($F50*AN50)/SingleEndAssumption),"")</f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46" t="str">
        <f t="shared" si="4"/>
        <v/>
      </c>
      <c r="AT50" s="47" t="str">
        <f t="shared" si="4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2" t="str">
        <f>IFERROR((($F50*AU50)/SingleEndAssumption),"")</f>
        <v/>
      </c>
      <c r="AX50" s="43" t="str">
        <f>IFERROR((($F50*AV50)/SingleEndAssumption),"")</f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0.78202761437908486</v>
      </c>
      <c r="J52" s="53">
        <f>SUM(J3:J50)</f>
        <v>0.94142811534648374</v>
      </c>
      <c r="M52" s="53">
        <f>SUM(M3:M50)</f>
        <v>0</v>
      </c>
      <c r="N52" s="53">
        <f>SUM(N3:N50)</f>
        <v>1.8129803138130385</v>
      </c>
      <c r="Q52" s="53">
        <f>SUM(Q3:Q50)</f>
        <v>0</v>
      </c>
      <c r="R52" s="53">
        <f>SUM(R3:R50)</f>
        <v>1.7030516806155105</v>
      </c>
      <c r="U52" s="53">
        <f>SUM(U3:U50)</f>
        <v>0</v>
      </c>
      <c r="V52" s="53">
        <f>SUM(V3:V50)</f>
        <v>1.7471558609833171</v>
      </c>
      <c r="Y52" s="53">
        <f>SUM(Y3:Y50)</f>
        <v>0</v>
      </c>
      <c r="Z52" s="53">
        <f>SUM(Z3:Z50)</f>
        <v>0.8505471138071895</v>
      </c>
      <c r="AC52" s="53">
        <f>SUM(AC3:AC50)</f>
        <v>0</v>
      </c>
      <c r="AD52" s="53">
        <f>SUM(AD3:AD50)</f>
        <v>0.89503545856150268</v>
      </c>
      <c r="AG52" s="53">
        <f>SUM(AG3:AG50)</f>
        <v>0</v>
      </c>
      <c r="AH52" s="53">
        <f>SUM(AH3:AH50)</f>
        <v>0.81645039927832253</v>
      </c>
      <c r="AK52" s="53">
        <f>SUM(AK3:AK50)</f>
        <v>0</v>
      </c>
      <c r="AL52" s="53">
        <f>SUM(AL3:AL50)</f>
        <v>0.12161953129600189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1:F50 D3:E30">
    <cfRule type="expression" dxfId="1674" priority="113" stopIfTrue="1">
      <formula>#REF!="DLN"</formula>
    </cfRule>
  </conditionalFormatting>
  <conditionalFormatting sqref="D3:E50">
    <cfRule type="expression" dxfId="1673" priority="112" stopIfTrue="1">
      <formula>#REF!="DLN"</formula>
    </cfRule>
  </conditionalFormatting>
  <conditionalFormatting sqref="L3:L50">
    <cfRule type="expression" dxfId="1672" priority="111" stopIfTrue="1">
      <formula>#REF!="DLN"</formula>
    </cfRule>
  </conditionalFormatting>
  <conditionalFormatting sqref="L3:L50">
    <cfRule type="expression" dxfId="1671" priority="110" stopIfTrue="1">
      <formula>#REF!="DLN"</formula>
    </cfRule>
  </conditionalFormatting>
  <conditionalFormatting sqref="T3:T50">
    <cfRule type="expression" dxfId="1670" priority="109" stopIfTrue="1">
      <formula>#REF!="DLN"</formula>
    </cfRule>
  </conditionalFormatting>
  <conditionalFormatting sqref="T3:T50">
    <cfRule type="expression" dxfId="1669" priority="108" stopIfTrue="1">
      <formula>#REF!="DLN"</formula>
    </cfRule>
  </conditionalFormatting>
  <conditionalFormatting sqref="X3:X50">
    <cfRule type="expression" dxfId="1668" priority="107" stopIfTrue="1">
      <formula>#REF!="DLN"</formula>
    </cfRule>
  </conditionalFormatting>
  <conditionalFormatting sqref="X3:X50">
    <cfRule type="expression" dxfId="1667" priority="106" stopIfTrue="1">
      <formula>#REF!="DLN"</formula>
    </cfRule>
  </conditionalFormatting>
  <conditionalFormatting sqref="G2">
    <cfRule type="expression" dxfId="1666" priority="105" stopIfTrue="1">
      <formula>#REF!="DLN"</formula>
    </cfRule>
  </conditionalFormatting>
  <conditionalFormatting sqref="G2">
    <cfRule type="expression" dxfId="1665" priority="104" stopIfTrue="1">
      <formula>#REF!="DLN"</formula>
    </cfRule>
  </conditionalFormatting>
  <conditionalFormatting sqref="K2">
    <cfRule type="expression" dxfId="1664" priority="103" stopIfTrue="1">
      <formula>#REF!="DLN"</formula>
    </cfRule>
  </conditionalFormatting>
  <conditionalFormatting sqref="K2">
    <cfRule type="expression" dxfId="1663" priority="102" stopIfTrue="1">
      <formula>#REF!="DLN"</formula>
    </cfRule>
  </conditionalFormatting>
  <conditionalFormatting sqref="O2">
    <cfRule type="expression" dxfId="1662" priority="101" stopIfTrue="1">
      <formula>#REF!="DLN"</formula>
    </cfRule>
  </conditionalFormatting>
  <conditionalFormatting sqref="O2">
    <cfRule type="expression" dxfId="1661" priority="100" stopIfTrue="1">
      <formula>#REF!="DLN"</formula>
    </cfRule>
  </conditionalFormatting>
  <conditionalFormatting sqref="S2">
    <cfRule type="expression" dxfId="1660" priority="99" stopIfTrue="1">
      <formula>#REF!="DLN"</formula>
    </cfRule>
  </conditionalFormatting>
  <conditionalFormatting sqref="S2">
    <cfRule type="expression" dxfId="1659" priority="98" stopIfTrue="1">
      <formula>#REF!="DLN"</formula>
    </cfRule>
  </conditionalFormatting>
  <conditionalFormatting sqref="W2">
    <cfRule type="expression" dxfId="1658" priority="97" stopIfTrue="1">
      <formula>#REF!="DLN"</formula>
    </cfRule>
  </conditionalFormatting>
  <conditionalFormatting sqref="W2">
    <cfRule type="expression" dxfId="1657" priority="96" stopIfTrue="1">
      <formula>#REF!="DLN"</formula>
    </cfRule>
  </conditionalFormatting>
  <conditionalFormatting sqref="AF3:AF50">
    <cfRule type="expression" dxfId="1656" priority="50" stopIfTrue="1">
      <formula>#REF!="DLN"</formula>
    </cfRule>
  </conditionalFormatting>
  <conditionalFormatting sqref="W3:W50">
    <cfRule type="expression" dxfId="1655" priority="95" stopIfTrue="1">
      <formula>#REF!="DLN"</formula>
    </cfRule>
  </conditionalFormatting>
  <conditionalFormatting sqref="W3:W50">
    <cfRule type="expression" dxfId="1654" priority="94" stopIfTrue="1">
      <formula>#REF!="DLN"</formula>
    </cfRule>
  </conditionalFormatting>
  <conditionalFormatting sqref="S3:S50">
    <cfRule type="expression" dxfId="1653" priority="93" stopIfTrue="1">
      <formula>#REF!="DLN"</formula>
    </cfRule>
  </conditionalFormatting>
  <conditionalFormatting sqref="S3:S50">
    <cfRule type="expression" dxfId="1652" priority="92" stopIfTrue="1">
      <formula>#REF!="DLN"</formula>
    </cfRule>
  </conditionalFormatting>
  <conditionalFormatting sqref="K3:K50">
    <cfRule type="expression" dxfId="1651" priority="91" stopIfTrue="1">
      <formula>#REF!="DLN"</formula>
    </cfRule>
  </conditionalFormatting>
  <conditionalFormatting sqref="K3:K50">
    <cfRule type="expression" dxfId="1650" priority="90" stopIfTrue="1">
      <formula>#REF!="DLN"</formula>
    </cfRule>
  </conditionalFormatting>
  <conditionalFormatting sqref="AF3:AF50">
    <cfRule type="expression" dxfId="1649" priority="51" stopIfTrue="1">
      <formula>#REF!="DLN"</formula>
    </cfRule>
  </conditionalFormatting>
  <conditionalFormatting sqref="J52">
    <cfRule type="cellIs" dxfId="1648" priority="86" stopIfTrue="1" operator="greaterThanOrEqual">
      <formula>0.801</formula>
    </cfRule>
    <cfRule type="cellIs" dxfId="1647" priority="87" stopIfTrue="1" operator="between">
      <formula>0.61</formula>
      <formula>0.8</formula>
    </cfRule>
    <cfRule type="cellIs" dxfId="1646" priority="88" stopIfTrue="1" operator="between">
      <formula>0</formula>
      <formula>0.6</formula>
    </cfRule>
  </conditionalFormatting>
  <conditionalFormatting sqref="J52">
    <cfRule type="expression" dxfId="1645" priority="89" stopIfTrue="1">
      <formula>#REF!="DLN"</formula>
    </cfRule>
  </conditionalFormatting>
  <conditionalFormatting sqref="I52">
    <cfRule type="cellIs" dxfId="1644" priority="82" stopIfTrue="1" operator="greaterThanOrEqual">
      <formula>0.801</formula>
    </cfRule>
    <cfRule type="cellIs" dxfId="1643" priority="83" stopIfTrue="1" operator="between">
      <formula>0.61</formula>
      <formula>0.8</formula>
    </cfRule>
    <cfRule type="cellIs" dxfId="1642" priority="84" stopIfTrue="1" operator="between">
      <formula>0</formula>
      <formula>0.6</formula>
    </cfRule>
  </conditionalFormatting>
  <conditionalFormatting sqref="I52">
    <cfRule type="expression" dxfId="1641" priority="85" stopIfTrue="1">
      <formula>#REF!="DLN"</formula>
    </cfRule>
  </conditionalFormatting>
  <conditionalFormatting sqref="M52:N52">
    <cfRule type="cellIs" dxfId="1640" priority="78" stopIfTrue="1" operator="greaterThanOrEqual">
      <formula>0.801</formula>
    </cfRule>
    <cfRule type="cellIs" dxfId="1639" priority="79" stopIfTrue="1" operator="between">
      <formula>0.61</formula>
      <formula>0.8</formula>
    </cfRule>
    <cfRule type="cellIs" dxfId="1638" priority="80" stopIfTrue="1" operator="between">
      <formula>0</formula>
      <formula>0.6</formula>
    </cfRule>
  </conditionalFormatting>
  <conditionalFormatting sqref="M52:N52">
    <cfRule type="expression" dxfId="1637" priority="81" stopIfTrue="1">
      <formula>#REF!="DLN"</formula>
    </cfRule>
  </conditionalFormatting>
  <conditionalFormatting sqref="Q52:R52">
    <cfRule type="cellIs" dxfId="1636" priority="74" stopIfTrue="1" operator="greaterThanOrEqual">
      <formula>0.801</formula>
    </cfRule>
    <cfRule type="cellIs" dxfId="1635" priority="75" stopIfTrue="1" operator="between">
      <formula>0.61</formula>
      <formula>0.8</formula>
    </cfRule>
    <cfRule type="cellIs" dxfId="1634" priority="76" stopIfTrue="1" operator="between">
      <formula>0</formula>
      <formula>0.6</formula>
    </cfRule>
  </conditionalFormatting>
  <conditionalFormatting sqref="Q52:R52">
    <cfRule type="expression" dxfId="1633" priority="77" stopIfTrue="1">
      <formula>#REF!="DLN"</formula>
    </cfRule>
  </conditionalFormatting>
  <conditionalFormatting sqref="U52:V52">
    <cfRule type="cellIs" dxfId="1632" priority="70" stopIfTrue="1" operator="greaterThanOrEqual">
      <formula>0.801</formula>
    </cfRule>
    <cfRule type="cellIs" dxfId="1631" priority="71" stopIfTrue="1" operator="between">
      <formula>0.61</formula>
      <formula>0.8</formula>
    </cfRule>
    <cfRule type="cellIs" dxfId="1630" priority="72" stopIfTrue="1" operator="between">
      <formula>0</formula>
      <formula>0.6</formula>
    </cfRule>
  </conditionalFormatting>
  <conditionalFormatting sqref="U52:V52">
    <cfRule type="expression" dxfId="1629" priority="73" stopIfTrue="1">
      <formula>#REF!="DLN"</formula>
    </cfRule>
  </conditionalFormatting>
  <conditionalFormatting sqref="Y52:Z52">
    <cfRule type="cellIs" dxfId="1628" priority="66" stopIfTrue="1" operator="greaterThanOrEqual">
      <formula>0.801</formula>
    </cfRule>
    <cfRule type="cellIs" dxfId="1627" priority="67" stopIfTrue="1" operator="between">
      <formula>0.61</formula>
      <formula>0.8</formula>
    </cfRule>
    <cfRule type="cellIs" dxfId="1626" priority="68" stopIfTrue="1" operator="between">
      <formula>0</formula>
      <formula>0.6</formula>
    </cfRule>
  </conditionalFormatting>
  <conditionalFormatting sqref="Y52:Z52">
    <cfRule type="expression" dxfId="1625" priority="69" stopIfTrue="1">
      <formula>#REF!="DLN"</formula>
    </cfRule>
  </conditionalFormatting>
  <conditionalFormatting sqref="AC52:AD52">
    <cfRule type="cellIs" dxfId="1624" priority="62" stopIfTrue="1" operator="greaterThanOrEqual">
      <formula>0.801</formula>
    </cfRule>
    <cfRule type="cellIs" dxfId="1623" priority="63" stopIfTrue="1" operator="between">
      <formula>0.61</formula>
      <formula>0.8</formula>
    </cfRule>
    <cfRule type="cellIs" dxfId="1622" priority="64" stopIfTrue="1" operator="between">
      <formula>0</formula>
      <formula>0.6</formula>
    </cfRule>
  </conditionalFormatting>
  <conditionalFormatting sqref="AC52:AD52">
    <cfRule type="expression" dxfId="1621" priority="65" stopIfTrue="1">
      <formula>#REF!="DLN"</formula>
    </cfRule>
  </conditionalFormatting>
  <conditionalFormatting sqref="G3:G50">
    <cfRule type="expression" dxfId="1620" priority="60" stopIfTrue="1">
      <formula>#REF!="DLN"</formula>
    </cfRule>
  </conditionalFormatting>
  <conditionalFormatting sqref="G3:G50">
    <cfRule type="expression" dxfId="1619" priority="61" stopIfTrue="1">
      <formula>#REF!="DLN"</formula>
    </cfRule>
  </conditionalFormatting>
  <conditionalFormatting sqref="P3:P50">
    <cfRule type="expression" dxfId="1618" priority="59" stopIfTrue="1">
      <formula>#REF!="DLN"</formula>
    </cfRule>
  </conditionalFormatting>
  <conditionalFormatting sqref="P3:P50">
    <cfRule type="expression" dxfId="1617" priority="58" stopIfTrue="1">
      <formula>#REF!="DLN"</formula>
    </cfRule>
  </conditionalFormatting>
  <conditionalFormatting sqref="O3:O50">
    <cfRule type="expression" dxfId="1616" priority="57" stopIfTrue="1">
      <formula>#REF!="DLN"</formula>
    </cfRule>
  </conditionalFormatting>
  <conditionalFormatting sqref="O3:O50">
    <cfRule type="expression" dxfId="1615" priority="56" stopIfTrue="1">
      <formula>#REF!="DLN"</formula>
    </cfRule>
  </conditionalFormatting>
  <conditionalFormatting sqref="H3:H50">
    <cfRule type="expression" dxfId="1614" priority="55" stopIfTrue="1">
      <formula>#REF!="DLN"</formula>
    </cfRule>
  </conditionalFormatting>
  <conditionalFormatting sqref="H3:H50">
    <cfRule type="expression" dxfId="1613" priority="54" stopIfTrue="1">
      <formula>#REF!="DLN"</formula>
    </cfRule>
  </conditionalFormatting>
  <conditionalFormatting sqref="A31:A50">
    <cfRule type="expression" dxfId="1612" priority="53" stopIfTrue="1">
      <formula>#REF!="DLN"</formula>
    </cfRule>
  </conditionalFormatting>
  <conditionalFormatting sqref="A31:A50">
    <cfRule type="expression" dxfId="1611" priority="52" stopIfTrue="1">
      <formula>#REF!="DLN"</formula>
    </cfRule>
  </conditionalFormatting>
  <conditionalFormatting sqref="AE2">
    <cfRule type="expression" dxfId="1610" priority="49" stopIfTrue="1">
      <formula>#REF!="DLN"</formula>
    </cfRule>
  </conditionalFormatting>
  <conditionalFormatting sqref="AE2">
    <cfRule type="expression" dxfId="1609" priority="48" stopIfTrue="1">
      <formula>#REF!="DLN"</formula>
    </cfRule>
  </conditionalFormatting>
  <conditionalFormatting sqref="AE3:AE50">
    <cfRule type="expression" dxfId="1608" priority="47" stopIfTrue="1">
      <formula>#REF!="DLN"</formula>
    </cfRule>
  </conditionalFormatting>
  <conditionalFormatting sqref="AE3:AE50">
    <cfRule type="expression" dxfId="1607" priority="46" stopIfTrue="1">
      <formula>#REF!="DLN"</formula>
    </cfRule>
  </conditionalFormatting>
  <conditionalFormatting sqref="AG52:AH52">
    <cfRule type="cellIs" dxfId="1606" priority="42" stopIfTrue="1" operator="greaterThanOrEqual">
      <formula>0.801</formula>
    </cfRule>
    <cfRule type="cellIs" dxfId="1605" priority="43" stopIfTrue="1" operator="between">
      <formula>0.61</formula>
      <formula>0.8</formula>
    </cfRule>
    <cfRule type="cellIs" dxfId="1604" priority="44" stopIfTrue="1" operator="between">
      <formula>0</formula>
      <formula>0.6</formula>
    </cfRule>
  </conditionalFormatting>
  <conditionalFormatting sqref="AG52:AH52">
    <cfRule type="expression" dxfId="1603" priority="45" stopIfTrue="1">
      <formula>#REF!="DLN"</formula>
    </cfRule>
  </conditionalFormatting>
  <conditionalFormatting sqref="AK52:AL52">
    <cfRule type="cellIs" dxfId="1602" priority="38" stopIfTrue="1" operator="greaterThanOrEqual">
      <formula>0.801</formula>
    </cfRule>
    <cfRule type="cellIs" dxfId="1601" priority="39" stopIfTrue="1" operator="between">
      <formula>0.61</formula>
      <formula>0.8</formula>
    </cfRule>
    <cfRule type="cellIs" dxfId="1600" priority="40" stopIfTrue="1" operator="between">
      <formula>0</formula>
      <formula>0.6</formula>
    </cfRule>
  </conditionalFormatting>
  <conditionalFormatting sqref="AK52:AL52">
    <cfRule type="expression" dxfId="1599" priority="41" stopIfTrue="1">
      <formula>#REF!="DLN"</formula>
    </cfRule>
  </conditionalFormatting>
  <conditionalFormatting sqref="AN3:AN50">
    <cfRule type="expression" dxfId="1598" priority="37" stopIfTrue="1">
      <formula>#REF!="DLN"</formula>
    </cfRule>
  </conditionalFormatting>
  <conditionalFormatting sqref="AN3:AN50">
    <cfRule type="expression" dxfId="1597" priority="36" stopIfTrue="1">
      <formula>#REF!="DLN"</formula>
    </cfRule>
  </conditionalFormatting>
  <conditionalFormatting sqref="AM2">
    <cfRule type="expression" dxfId="1596" priority="35" stopIfTrue="1">
      <formula>#REF!="DLN"</formula>
    </cfRule>
  </conditionalFormatting>
  <conditionalFormatting sqref="AM2">
    <cfRule type="expression" dxfId="1595" priority="34" stopIfTrue="1">
      <formula>#REF!="DLN"</formula>
    </cfRule>
  </conditionalFormatting>
  <conditionalFormatting sqref="AM3:AM50">
    <cfRule type="expression" dxfId="1594" priority="33" stopIfTrue="1">
      <formula>#REF!="DLN"</formula>
    </cfRule>
  </conditionalFormatting>
  <conditionalFormatting sqref="AM3:AM50">
    <cfRule type="expression" dxfId="1593" priority="32" stopIfTrue="1">
      <formula>#REF!="DLN"</formula>
    </cfRule>
  </conditionalFormatting>
  <conditionalFormatting sqref="AO52:AP52">
    <cfRule type="cellIs" dxfId="1592" priority="28" stopIfTrue="1" operator="greaterThanOrEqual">
      <formula>0.801</formula>
    </cfRule>
    <cfRule type="cellIs" dxfId="1591" priority="29" stopIfTrue="1" operator="between">
      <formula>0.61</formula>
      <formula>0.8</formula>
    </cfRule>
    <cfRule type="cellIs" dxfId="1590" priority="30" stopIfTrue="1" operator="between">
      <formula>0</formula>
      <formula>0.6</formula>
    </cfRule>
  </conditionalFormatting>
  <conditionalFormatting sqref="AO52:AP52">
    <cfRule type="expression" dxfId="1589" priority="31" stopIfTrue="1">
      <formula>#REF!="DLN"</formula>
    </cfRule>
  </conditionalFormatting>
  <conditionalFormatting sqref="AS52:AT52">
    <cfRule type="cellIs" dxfId="1588" priority="24" stopIfTrue="1" operator="greaterThanOrEqual">
      <formula>0.801</formula>
    </cfRule>
    <cfRule type="cellIs" dxfId="1587" priority="25" stopIfTrue="1" operator="between">
      <formula>0.61</formula>
      <formula>0.8</formula>
    </cfRule>
    <cfRule type="cellIs" dxfId="1586" priority="26" stopIfTrue="1" operator="between">
      <formula>0</formula>
      <formula>0.6</formula>
    </cfRule>
  </conditionalFormatting>
  <conditionalFormatting sqref="AS52:AT52">
    <cfRule type="expression" dxfId="1585" priority="27" stopIfTrue="1">
      <formula>#REF!="DLN"</formula>
    </cfRule>
  </conditionalFormatting>
  <conditionalFormatting sqref="AV3:AV50">
    <cfRule type="expression" dxfId="1584" priority="23" stopIfTrue="1">
      <formula>#REF!="DLN"</formula>
    </cfRule>
  </conditionalFormatting>
  <conditionalFormatting sqref="AV3:AV50">
    <cfRule type="expression" dxfId="1583" priority="22" stopIfTrue="1">
      <formula>#REF!="DLN"</formula>
    </cfRule>
  </conditionalFormatting>
  <conditionalFormatting sqref="AU2">
    <cfRule type="expression" dxfId="1582" priority="21" stopIfTrue="1">
      <formula>#REF!="DLN"</formula>
    </cfRule>
  </conditionalFormatting>
  <conditionalFormatting sqref="AU2">
    <cfRule type="expression" dxfId="1581" priority="20" stopIfTrue="1">
      <formula>#REF!="DLN"</formula>
    </cfRule>
  </conditionalFormatting>
  <conditionalFormatting sqref="AU3:AU50">
    <cfRule type="expression" dxfId="1580" priority="19" stopIfTrue="1">
      <formula>#REF!="DLN"</formula>
    </cfRule>
  </conditionalFormatting>
  <conditionalFormatting sqref="AU3:AU50">
    <cfRule type="expression" dxfId="1579" priority="18" stopIfTrue="1">
      <formula>#REF!="DLN"</formula>
    </cfRule>
  </conditionalFormatting>
  <conditionalFormatting sqref="AW52:AX52">
    <cfRule type="cellIs" dxfId="1578" priority="14" stopIfTrue="1" operator="greaterThanOrEqual">
      <formula>0.801</formula>
    </cfRule>
    <cfRule type="cellIs" dxfId="1577" priority="15" stopIfTrue="1" operator="between">
      <formula>0.61</formula>
      <formula>0.8</formula>
    </cfRule>
    <cfRule type="cellIs" dxfId="1576" priority="16" stopIfTrue="1" operator="between">
      <formula>0</formula>
      <formula>0.6</formula>
    </cfRule>
  </conditionalFormatting>
  <conditionalFormatting sqref="AW52:AX52">
    <cfRule type="expression" dxfId="1575" priority="17" stopIfTrue="1">
      <formula>#REF!="DLN"</formula>
    </cfRule>
  </conditionalFormatting>
  <conditionalFormatting sqref="F3:F7">
    <cfRule type="expression" dxfId="1574" priority="13" stopIfTrue="1">
      <formula>#REF!="DLN"</formula>
    </cfRule>
  </conditionalFormatting>
  <conditionalFormatting sqref="F3:F7">
    <cfRule type="expression" dxfId="1573" priority="12" stopIfTrue="1">
      <formula>#REF!="DLN"</formula>
    </cfRule>
  </conditionalFormatting>
  <conditionalFormatting sqref="F8">
    <cfRule type="expression" dxfId="1572" priority="11" stopIfTrue="1">
      <formula>#REF!="DLN"</formula>
    </cfRule>
  </conditionalFormatting>
  <conditionalFormatting sqref="F8">
    <cfRule type="expression" dxfId="1571" priority="10" stopIfTrue="1">
      <formula>#REF!="DLN"</formula>
    </cfRule>
  </conditionalFormatting>
  <conditionalFormatting sqref="F29:F30">
    <cfRule type="expression" dxfId="1570" priority="8" stopIfTrue="1">
      <formula>#REF!="DLN"</formula>
    </cfRule>
  </conditionalFormatting>
  <conditionalFormatting sqref="F29:F30">
    <cfRule type="expression" dxfId="1569" priority="9" stopIfTrue="1">
      <formula>#REF!="DLN"</formula>
    </cfRule>
  </conditionalFormatting>
  <conditionalFormatting sqref="F17:F18">
    <cfRule type="expression" dxfId="1568" priority="7" stopIfTrue="1">
      <formula>#REF!="DLN"</formula>
    </cfRule>
  </conditionalFormatting>
  <conditionalFormatting sqref="F21:F22">
    <cfRule type="expression" dxfId="1567" priority="6" stopIfTrue="1">
      <formula>#REF!="DLN"</formula>
    </cfRule>
  </conditionalFormatting>
  <conditionalFormatting sqref="F25:F28">
    <cfRule type="expression" dxfId="1566" priority="4" stopIfTrue="1">
      <formula>#REF!="DLN"</formula>
    </cfRule>
  </conditionalFormatting>
  <conditionalFormatting sqref="F25:F28">
    <cfRule type="expression" dxfId="1565" priority="5" stopIfTrue="1">
      <formula>#REF!="DLN"</formula>
    </cfRule>
  </conditionalFormatting>
  <conditionalFormatting sqref="F9:F16">
    <cfRule type="expression" dxfId="1564" priority="3" stopIfTrue="1">
      <formula>#REF!="DLN"</formula>
    </cfRule>
  </conditionalFormatting>
  <conditionalFormatting sqref="F19:F20">
    <cfRule type="expression" dxfId="1563" priority="2" stopIfTrue="1">
      <formula>#REF!="DLN"</formula>
    </cfRule>
  </conditionalFormatting>
  <conditionalFormatting sqref="F23:F24">
    <cfRule type="expression" dxfId="1562" priority="1" stopIfTrue="1">
      <formula>#REF!="DLN"</formula>
    </cfRule>
  </conditionalFormatting>
  <dataValidations count="1">
    <dataValidation type="list" allowBlank="1" showInputMessage="1" showErrorMessage="1" sqref="A3:A50" xr:uid="{F8CF331B-1B76-4D82-B03C-E22BC8315EC6}">
      <formula1>INDIRECT(B3)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4549AD-2E3C-4582-A891-B0390CFEF878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B761-17B6-4D2B-82DB-EF590C289385}">
  <sheetPr codeName="Sheet7"/>
  <dimension ref="A1:AX62"/>
  <sheetViews>
    <sheetView workbookViewId="0">
      <selection activeCell="C9" sqref="C9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286</v>
      </c>
      <c r="B3" s="24" t="s">
        <v>432</v>
      </c>
      <c r="C3" s="20" t="str">
        <f>IFERROR(VLOOKUP(A3,'Parts List and Volumes'!C2:D194,2,FALSE),"")</f>
        <v>NFAA0208ABF20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25">
        <v>47</v>
      </c>
      <c r="G3" s="40">
        <f>IFERROR(VLOOKUP($A3,'Parts List and Volumes'!$C$2:$W194,5,FALSE),"")</f>
        <v>11588</v>
      </c>
      <c r="H3" s="41">
        <f>IFERROR(VLOOKUP($A3,'Parts List and Volumes'!$C$2:$W194,6,FALSE),"")</f>
        <v>214359</v>
      </c>
      <c r="I3" s="42">
        <f t="shared" ref="I3:J50" si="0">IFERROR((($F3*G3)/FourHeadAssumption),"")</f>
        <v>4.0086851557439795E-2</v>
      </c>
      <c r="J3" s="43">
        <f t="shared" si="0"/>
        <v>0.74154102632043806</v>
      </c>
      <c r="K3" s="44">
        <f>IFERROR(VLOOKUP($A3,'Parts List and Volumes'!$C$2:$W194,7,FALSE),"")</f>
        <v>214359</v>
      </c>
      <c r="L3" s="45">
        <f>IFERROR(VLOOKUP($A3,'Parts List and Volumes'!$C$2:$W194,8,FALSE),"")</f>
        <v>214359</v>
      </c>
      <c r="M3" s="46">
        <f t="shared" ref="M3:N50" si="1">IFERROR((($F3*K3)/FourHeadAssumption),"")</f>
        <v>0.74154102632043806</v>
      </c>
      <c r="N3" s="47">
        <f t="shared" si="1"/>
        <v>0.74154102632043806</v>
      </c>
      <c r="O3" s="41">
        <f>IFERROR(VLOOKUP($A3,'Parts List and Volumes'!$C$2:$W194,9,FALSE),"")</f>
        <v>0</v>
      </c>
      <c r="P3" s="41">
        <f>IFERROR(VLOOKUP($A3,'Parts List and Volumes'!$C$2:$W194,10,FALSE),"")</f>
        <v>238306</v>
      </c>
      <c r="Q3" s="48">
        <f t="shared" ref="Q3:R50" si="2">IFERROR((($F3*O3)/FourHeadAssumption),"")</f>
        <v>0</v>
      </c>
      <c r="R3" s="43">
        <f t="shared" si="2"/>
        <v>0.82438188188188188</v>
      </c>
      <c r="S3" s="44">
        <f>IFERROR(VLOOKUP($A3,'Parts List and Volumes'!$C$2:$W194,11,FALSE),"")</f>
        <v>0</v>
      </c>
      <c r="T3" s="45">
        <f>IFERROR(VLOOKUP($A3,'Parts List and Volumes'!$C$2:$W194,12,FALSE),"")</f>
        <v>238306</v>
      </c>
      <c r="U3" s="46">
        <f t="shared" ref="U3:V50" si="3">IFERROR((($F3*S3)/FourHeadAssumption),"")</f>
        <v>0</v>
      </c>
      <c r="V3" s="47">
        <f t="shared" si="3"/>
        <v>0.82438188188188188</v>
      </c>
      <c r="W3" s="40">
        <f>IFERROR(VLOOKUP($A3,'Parts List and Volumes'!$C$2:$W194,13,FALSE),"")</f>
        <v>0</v>
      </c>
      <c r="X3" s="41">
        <f>IFERROR(VLOOKUP($A3,'Parts List and Volumes'!$C$2:$W194,14,FALSE),"")</f>
        <v>0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 t="s">
        <v>292</v>
      </c>
      <c r="B4" s="24" t="s">
        <v>432</v>
      </c>
      <c r="C4" s="20" t="str">
        <f>IFERROR(VLOOKUP(A4,'Parts List and Volumes'!C3:D195,2,FALSE),"")</f>
        <v>NFAA0211AAF20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26">
        <v>61</v>
      </c>
      <c r="G4" s="40">
        <f>IFERROR(VLOOKUP($A4,'Parts List and Volumes'!$C$2:$W195,5,FALSE),"")</f>
        <v>24260</v>
      </c>
      <c r="H4" s="41">
        <f>IFERROR(VLOOKUP($A4,'Parts List and Volumes'!$C$2:$W195,6,FALSE),"")</f>
        <v>22368</v>
      </c>
      <c r="I4" s="42">
        <f t="shared" si="0"/>
        <v>0.10892215745156922</v>
      </c>
      <c r="J4" s="43">
        <f t="shared" si="0"/>
        <v>0.10042748630983925</v>
      </c>
      <c r="K4" s="44">
        <f>IFERROR(VLOOKUP($A4,'Parts List and Volumes'!$C$2:$W195,7,FALSE),"")</f>
        <v>22368</v>
      </c>
      <c r="L4" s="45">
        <f>IFERROR(VLOOKUP($A4,'Parts List and Volumes'!$C$2:$W195,8,FALSE),"")</f>
        <v>22368</v>
      </c>
      <c r="M4" s="46">
        <f t="shared" si="1"/>
        <v>0.10042748630983925</v>
      </c>
      <c r="N4" s="47">
        <f t="shared" si="1"/>
        <v>0.10042748630983925</v>
      </c>
      <c r="O4" s="41">
        <f>IFERROR(VLOOKUP($A4,'Parts List and Volumes'!$C$2:$W195,9,FALSE),"")</f>
        <v>0</v>
      </c>
      <c r="P4" s="41">
        <f>IFERROR(VLOOKUP($A4,'Parts List and Volumes'!$C$2:$W195,10,FALSE),"")</f>
        <v>24773</v>
      </c>
      <c r="Q4" s="48">
        <f t="shared" si="2"/>
        <v>0</v>
      </c>
      <c r="R4" s="43">
        <f t="shared" si="2"/>
        <v>0.11122541659306365</v>
      </c>
      <c r="S4" s="44">
        <f>IFERROR(VLOOKUP($A4,'Parts List and Volumes'!$C$2:$W195,11,FALSE),"")</f>
        <v>0</v>
      </c>
      <c r="T4" s="45">
        <f>IFERROR(VLOOKUP($A4,'Parts List and Volumes'!$C$2:$W195,12,FALSE),"")</f>
        <v>24773</v>
      </c>
      <c r="U4" s="46">
        <f t="shared" si="3"/>
        <v>0</v>
      </c>
      <c r="V4" s="47">
        <f t="shared" si="3"/>
        <v>0.11122541659306365</v>
      </c>
      <c r="W4" s="40">
        <f>IFERROR(VLOOKUP($A4,'Parts List and Volumes'!$C$2:$W195,13,FALSE),"")</f>
        <v>0</v>
      </c>
      <c r="X4" s="41">
        <f>IFERROR(VLOOKUP($A4,'Parts List and Volumes'!$C$2:$W195,14,FALSE),"")</f>
        <v>0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 t="s">
        <v>306</v>
      </c>
      <c r="B5" s="24" t="s">
        <v>441</v>
      </c>
      <c r="C5" s="20" t="str">
        <f>IFERROR(VLOOKUP(A5,'Parts List and Volumes'!C4:D196,2,FALSE),"")</f>
        <v>NFAA0218ADF20</v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>
        <v>37</v>
      </c>
      <c r="G5" s="40">
        <f>IFERROR(VLOOKUP($A5,'Parts List and Volumes'!$C$2:$W196,5,FALSE),"")</f>
        <v>55902</v>
      </c>
      <c r="H5" s="41">
        <f>IFERROR(VLOOKUP($A5,'Parts List and Volumes'!$C$2:$W196,6,FALSE),"")</f>
        <v>52310</v>
      </c>
      <c r="I5" s="42">
        <f t="shared" si="0"/>
        <v>0.15223856209150327</v>
      </c>
      <c r="J5" s="43">
        <f t="shared" si="0"/>
        <v>0.14245642701525055</v>
      </c>
      <c r="K5" s="44">
        <f>IFERROR(VLOOKUP($A5,'Parts List and Volumes'!$C$2:$W196,7,FALSE),"")</f>
        <v>52310</v>
      </c>
      <c r="L5" s="45">
        <f>IFERROR(VLOOKUP($A5,'Parts List and Volumes'!$C$2:$W196,8,FALSE),"")</f>
        <v>52310</v>
      </c>
      <c r="M5" s="46">
        <f t="shared" si="1"/>
        <v>0.14245642701525055</v>
      </c>
      <c r="N5" s="47">
        <f t="shared" si="1"/>
        <v>0.14245642701525055</v>
      </c>
      <c r="O5" s="41">
        <f>IFERROR(VLOOKUP($A5,'Parts List and Volumes'!$C$2:$W196,9,FALSE),"")</f>
        <v>0</v>
      </c>
      <c r="P5" s="41">
        <f>IFERROR(VLOOKUP($A5,'Parts List and Volumes'!$C$2:$W196,10,FALSE),"")</f>
        <v>43979</v>
      </c>
      <c r="Q5" s="48">
        <f t="shared" si="2"/>
        <v>0</v>
      </c>
      <c r="R5" s="43">
        <f t="shared" si="2"/>
        <v>0.11976851851851852</v>
      </c>
      <c r="S5" s="44">
        <f>IFERROR(VLOOKUP($A5,'Parts List and Volumes'!$C$2:$W196,11,FALSE),"")</f>
        <v>0</v>
      </c>
      <c r="T5" s="45">
        <f>IFERROR(VLOOKUP($A5,'Parts List and Volumes'!$C$2:$W196,12,FALSE),"")</f>
        <v>43979</v>
      </c>
      <c r="U5" s="46">
        <f t="shared" si="3"/>
        <v>0</v>
      </c>
      <c r="V5" s="47">
        <f t="shared" si="3"/>
        <v>0.11976851851851852</v>
      </c>
      <c r="W5" s="40">
        <f>IFERROR(VLOOKUP($A5,'Parts List and Volumes'!$C$2:$W196,13,FALSE),"")</f>
        <v>0</v>
      </c>
      <c r="X5" s="41">
        <f>IFERROR(VLOOKUP($A5,'Parts List and Volumes'!$C$2:$W196,14,FALSE),"")</f>
        <v>0</v>
      </c>
      <c r="Y5" s="48">
        <f t="shared" si="4"/>
        <v>0</v>
      </c>
      <c r="Z5" s="43">
        <f t="shared" si="4"/>
        <v>0</v>
      </c>
      <c r="AA5" s="49">
        <f>IFERROR(VLOOKUP($A5,'Parts List and Volumes'!$C$2:$W196,15,FALSE),"")</f>
        <v>0</v>
      </c>
      <c r="AB5" s="50">
        <f>IFERROR(VLOOKUP($A5,'Parts List and Volumes'!$C$2:$W196,16,FALSE),"")</f>
        <v>0</v>
      </c>
      <c r="AC5" s="51">
        <f t="shared" si="5"/>
        <v>0</v>
      </c>
      <c r="AD5" s="52">
        <f t="shared" si="5"/>
        <v>0</v>
      </c>
      <c r="AE5" s="40">
        <f>IFERROR(VLOOKUP($A5,'Parts List and Volumes'!$C$2:$W196,17,FALSE),"")</f>
        <v>0</v>
      </c>
      <c r="AF5" s="41">
        <f>IFERROR(VLOOKUP($A5,'Parts List and Volumes'!$C$2:$W196,18,FALSE),"")</f>
        <v>0</v>
      </c>
      <c r="AG5" s="48">
        <f t="shared" si="6"/>
        <v>0</v>
      </c>
      <c r="AH5" s="43">
        <f t="shared" si="6"/>
        <v>0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 t="s">
        <v>428</v>
      </c>
      <c r="B6" s="24" t="s">
        <v>430</v>
      </c>
      <c r="C6" s="20" t="str">
        <f>IFERROR(VLOOKUP(A6,'Parts List and Volumes'!C5:D197,2,FALSE),"")</f>
        <v>NFAA1611AAF20</v>
      </c>
      <c r="D6" s="39">
        <f>IFERROR(IF(VLOOKUP($A6,'Parts List and Volumes'!$C5:$F266,3,FALSE)=0,"",VLOOKUP(A6,'Parts List and Volumes'!C5:F266,3,FALSE)),"")</f>
        <v>4.76</v>
      </c>
      <c r="E6" s="39" t="str">
        <f>IFERROR(IF(VLOOKUP($A6,'Parts List and Volumes'!$C5:$F266,4,FALSE)=0,"",VLOOKUP(B6,'Parts List and Volumes'!D5:G266,3,FALSE)),"")</f>
        <v/>
      </c>
      <c r="F6" s="26">
        <v>49.55</v>
      </c>
      <c r="G6" s="40">
        <f>IFERROR(VLOOKUP($A6,'Parts List and Volumes'!$C$2:$W197,5,FALSE),"")</f>
        <v>0</v>
      </c>
      <c r="H6" s="41">
        <f>IFERROR(VLOOKUP($A6,'Parts List and Volumes'!$C$2:$W197,6,FALSE),"")</f>
        <v>22637</v>
      </c>
      <c r="I6" s="42">
        <f t="shared" si="0"/>
        <v>0</v>
      </c>
      <c r="J6" s="43">
        <f t="shared" si="0"/>
        <v>8.2557804127657064E-2</v>
      </c>
      <c r="K6" s="58">
        <f>IFERROR(VLOOKUP($A6,'Parts List and Volumes'!$C$2:$W197,7,FALSE),"")</f>
        <v>22637</v>
      </c>
      <c r="L6" s="45">
        <f>IFERROR(VLOOKUP($A6,'Parts List and Volumes'!$C$2:$W197,8,FALSE),"")</f>
        <v>22637</v>
      </c>
      <c r="M6" s="46">
        <f t="shared" si="1"/>
        <v>8.2557804127657064E-2</v>
      </c>
      <c r="N6" s="47">
        <f t="shared" si="1"/>
        <v>8.2557804127657064E-2</v>
      </c>
      <c r="O6" s="41">
        <f>IFERROR(VLOOKUP($A6,'Parts List and Volumes'!$C$2:$W197,9,FALSE),"")</f>
        <v>0</v>
      </c>
      <c r="P6" s="41">
        <f>IFERROR(VLOOKUP($A6,'Parts List and Volumes'!$C$2:$W197,10,FALSE),"")</f>
        <v>238306</v>
      </c>
      <c r="Q6" s="48">
        <f t="shared" si="2"/>
        <v>0</v>
      </c>
      <c r="R6" s="43">
        <f t="shared" si="2"/>
        <v>0.86910898398398395</v>
      </c>
      <c r="S6" s="44">
        <f>IFERROR(VLOOKUP($A6,'Parts List and Volumes'!$C$2:$W197,11,FALSE),"")</f>
        <v>0</v>
      </c>
      <c r="T6" s="45">
        <f>IFERROR(VLOOKUP($A6,'Parts List and Volumes'!$C$2:$W197,12,FALSE),"")</f>
        <v>238306</v>
      </c>
      <c r="U6" s="46">
        <f t="shared" si="3"/>
        <v>0</v>
      </c>
      <c r="V6" s="47">
        <f t="shared" si="3"/>
        <v>0.86910898398398395</v>
      </c>
      <c r="W6" s="40">
        <f>IFERROR(VLOOKUP($A6,'Parts List and Volumes'!$C$2:$W197,13,FALSE),"")</f>
        <v>0</v>
      </c>
      <c r="X6" s="41">
        <f>IFERROR(VLOOKUP($A6,'Parts List and Volumes'!$C$2:$W197,14,FALSE),"")</f>
        <v>0</v>
      </c>
      <c r="Y6" s="48">
        <f t="shared" si="4"/>
        <v>0</v>
      </c>
      <c r="Z6" s="43">
        <f t="shared" si="4"/>
        <v>0</v>
      </c>
      <c r="AA6" s="49">
        <f>IFERROR(VLOOKUP($A6,'Parts List and Volumes'!$C$2:$W197,15,FALSE),"")</f>
        <v>0</v>
      </c>
      <c r="AB6" s="50">
        <f>IFERROR(VLOOKUP($A6,'Parts List and Volumes'!$C$2:$W197,16,FALSE),"")</f>
        <v>0</v>
      </c>
      <c r="AC6" s="51">
        <f t="shared" si="5"/>
        <v>0</v>
      </c>
      <c r="AD6" s="52">
        <f t="shared" si="5"/>
        <v>0</v>
      </c>
      <c r="AE6" s="40">
        <f>IFERROR(VLOOKUP($A6,'Parts List and Volumes'!$C$2:$W197,17,FALSE),"")</f>
        <v>0</v>
      </c>
      <c r="AF6" s="41">
        <f>IFERROR(VLOOKUP($A6,'Parts List and Volumes'!$C$2:$W197,18,FALSE),"")</f>
        <v>0</v>
      </c>
      <c r="AG6" s="48">
        <f t="shared" si="6"/>
        <v>0</v>
      </c>
      <c r="AH6" s="43">
        <f t="shared" si="6"/>
        <v>0</v>
      </c>
      <c r="AI6" s="49">
        <f>IFERROR(VLOOKUP($A6,'Parts List and Volumes'!$C$2:$W197,19,FALSE),"")</f>
        <v>0</v>
      </c>
      <c r="AJ6" s="50">
        <f>IFERROR(VLOOKUP($A6,'Parts List and Volumes'!$C$2:$W197,20,FALSE),"")</f>
        <v>0</v>
      </c>
      <c r="AK6" s="51">
        <f t="shared" si="7"/>
        <v>0</v>
      </c>
      <c r="AL6" s="52">
        <f t="shared" si="7"/>
        <v>0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8">
        <f t="shared" si="8"/>
        <v>0</v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 t="s">
        <v>259</v>
      </c>
      <c r="B7" s="24" t="s">
        <v>430</v>
      </c>
      <c r="C7" s="20" t="str">
        <f>IFERROR(VLOOKUP(A7,'Parts List and Volumes'!C6:D198,2,FALSE),"")</f>
        <v>NFAA1618AAF20</v>
      </c>
      <c r="D7" s="39">
        <f>IFERROR(IF(VLOOKUP($A7,'Parts List and Volumes'!$C6:$F266,3,FALSE)=0,"",VLOOKUP(A7,'Parts List and Volumes'!C6:F266,3,FALSE)),"")</f>
        <v>4.76</v>
      </c>
      <c r="E7" s="39" t="str">
        <f>IFERROR(IF(VLOOKUP($A7,'Parts List and Volumes'!$C6:$F266,4,FALSE)=0,"",VLOOKUP(B7,'Parts List and Volumes'!D6:G266,3,FALSE)),"")</f>
        <v/>
      </c>
      <c r="F7" s="26">
        <v>54.64</v>
      </c>
      <c r="G7" s="40">
        <f>IFERROR(VLOOKUP($A7,'Parts List and Volumes'!$C$2:$W198,5,FALSE),"")</f>
        <v>1036</v>
      </c>
      <c r="H7" s="41">
        <f>IFERROR(VLOOKUP($A7,'Parts List and Volumes'!$C$2:$W198,6,FALSE),"")</f>
        <v>1014</v>
      </c>
      <c r="I7" s="42">
        <f t="shared" si="0"/>
        <v>4.1664488017429191E-3</v>
      </c>
      <c r="J7" s="43">
        <f t="shared" si="0"/>
        <v>4.0779720897367953E-3</v>
      </c>
      <c r="K7" s="58">
        <f>IFERROR(VLOOKUP($A7,'Parts List and Volumes'!$C$2:$W198,7,FALSE),"")</f>
        <v>1014</v>
      </c>
      <c r="L7" s="45">
        <f>IFERROR(VLOOKUP($A7,'Parts List and Volumes'!$C$2:$W198,8,FALSE),"")</f>
        <v>1014</v>
      </c>
      <c r="M7" s="46">
        <f t="shared" si="1"/>
        <v>4.0779720897367953E-3</v>
      </c>
      <c r="N7" s="47">
        <f t="shared" si="1"/>
        <v>4.0779720897367953E-3</v>
      </c>
      <c r="O7" s="41">
        <f>IFERROR(VLOOKUP($A7,'Parts List and Volumes'!$C$2:$W198,9,FALSE),"")</f>
        <v>0</v>
      </c>
      <c r="P7" s="41">
        <f>IFERROR(VLOOKUP($A7,'Parts List and Volumes'!$C$2:$W198,10,FALSE),"")</f>
        <v>24773</v>
      </c>
      <c r="Q7" s="48">
        <f t="shared" si="2"/>
        <v>0</v>
      </c>
      <c r="R7" s="43">
        <f t="shared" si="2"/>
        <v>9.962879938762291E-2</v>
      </c>
      <c r="S7" s="44">
        <f>IFERROR(VLOOKUP($A7,'Parts List and Volumes'!$C$2:$W198,11,FALSE),"")</f>
        <v>0</v>
      </c>
      <c r="T7" s="45">
        <f>IFERROR(VLOOKUP($A7,'Parts List and Volumes'!$C$2:$W198,12,FALSE),"")</f>
        <v>24773</v>
      </c>
      <c r="U7" s="46">
        <f t="shared" si="3"/>
        <v>0</v>
      </c>
      <c r="V7" s="47">
        <f t="shared" si="3"/>
        <v>9.962879938762291E-2</v>
      </c>
      <c r="W7" s="40">
        <f>IFERROR(VLOOKUP($A7,'Parts List and Volumes'!$C$2:$W198,13,FALSE),"")</f>
        <v>0</v>
      </c>
      <c r="X7" s="41">
        <f>IFERROR(VLOOKUP($A7,'Parts List and Volumes'!$C$2:$W198,14,FALSE),"")</f>
        <v>0</v>
      </c>
      <c r="Y7" s="48">
        <f t="shared" si="4"/>
        <v>0</v>
      </c>
      <c r="Z7" s="43">
        <f t="shared" si="4"/>
        <v>0</v>
      </c>
      <c r="AA7" s="49">
        <f>IFERROR(VLOOKUP($A7,'Parts List and Volumes'!$C$2:$W198,15,FALSE),"")</f>
        <v>0</v>
      </c>
      <c r="AB7" s="50">
        <f>IFERROR(VLOOKUP($A7,'Parts List and Volumes'!$C$2:$W198,16,FALSE),"")</f>
        <v>0</v>
      </c>
      <c r="AC7" s="51">
        <f t="shared" si="5"/>
        <v>0</v>
      </c>
      <c r="AD7" s="52">
        <f t="shared" si="5"/>
        <v>0</v>
      </c>
      <c r="AE7" s="40">
        <f>IFERROR(VLOOKUP($A7,'Parts List and Volumes'!$C$2:$W198,17,FALSE),"")</f>
        <v>0</v>
      </c>
      <c r="AF7" s="41">
        <f>IFERROR(VLOOKUP($A7,'Parts List and Volumes'!$C$2:$W198,18,FALSE),"")</f>
        <v>0</v>
      </c>
      <c r="AG7" s="48">
        <f t="shared" si="6"/>
        <v>0</v>
      </c>
      <c r="AH7" s="43">
        <f t="shared" si="6"/>
        <v>0</v>
      </c>
      <c r="AI7" s="49">
        <f>IFERROR(VLOOKUP($A7,'Parts List and Volumes'!$C$2:$W198,19,FALSE),"")</f>
        <v>0</v>
      </c>
      <c r="AJ7" s="50">
        <f>IFERROR(VLOOKUP($A7,'Parts List and Volumes'!$C$2:$W198,20,FALSE),"")</f>
        <v>0</v>
      </c>
      <c r="AK7" s="51">
        <f t="shared" si="7"/>
        <v>0</v>
      </c>
      <c r="AL7" s="52">
        <f t="shared" si="7"/>
        <v>0</v>
      </c>
      <c r="AM7" s="40">
        <f>IFERROR(VLOOKUP($A7,'Parts List and Volumes'!$C$2:$W198,21,FALSE),"")</f>
        <v>0</v>
      </c>
      <c r="AN7" s="41" t="str">
        <f>IFERROR(VLOOKUP($A7,'Parts List and Volumes'!$C$2:$W198,22,FALSE),"")</f>
        <v/>
      </c>
      <c r="AO7" s="48">
        <f t="shared" si="8"/>
        <v>0</v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 t="s">
        <v>302</v>
      </c>
      <c r="B8" s="24" t="s">
        <v>433</v>
      </c>
      <c r="C8" s="20" t="str">
        <f>IFERROR(VLOOKUP(A8,'Parts List and Volumes'!C7:D199,2,FALSE),"")</f>
        <v>NFAA0216ACF20</v>
      </c>
      <c r="D8" s="39">
        <f>IFERROR(IF(VLOOKUP($A8,'Parts List and Volumes'!$C7:$F266,3,FALSE)=0,"",VLOOKUP(A8,'Parts List and Volumes'!C7:F266,3,FALSE)),"")</f>
        <v>4.76</v>
      </c>
      <c r="E8" s="39" t="str">
        <f>IFERROR(IF(VLOOKUP($A8,'Parts List and Volumes'!$C7:$F266,4,FALSE)=0,"",VLOOKUP(B8,'Parts List and Volumes'!D7:G266,3,FALSE)),"")</f>
        <v/>
      </c>
      <c r="F8" s="26"/>
      <c r="G8" s="40">
        <f>IFERROR(VLOOKUP($A8,'Parts List and Volumes'!$C$2:$W199,5,FALSE),"")</f>
        <v>210632</v>
      </c>
      <c r="H8" s="41">
        <f>IFERROR(VLOOKUP($A8,'Parts List and Volumes'!$C$2:$W199,6,FALSE),"")</f>
        <v>205421</v>
      </c>
      <c r="I8" s="42">
        <f t="shared" si="0"/>
        <v>0</v>
      </c>
      <c r="J8" s="43">
        <f t="shared" si="0"/>
        <v>0</v>
      </c>
      <c r="K8" s="58">
        <f>IFERROR(VLOOKUP($A8,'Parts List and Volumes'!$C$2:$W199,7,FALSE),"")</f>
        <v>205421</v>
      </c>
      <c r="L8" s="45">
        <f>IFERROR(VLOOKUP($A8,'Parts List and Volumes'!$C$2:$W199,8,FALSE),"")</f>
        <v>205421</v>
      </c>
      <c r="M8" s="46">
        <f t="shared" si="1"/>
        <v>0</v>
      </c>
      <c r="N8" s="47">
        <f t="shared" si="1"/>
        <v>0</v>
      </c>
      <c r="O8" s="41">
        <f>IFERROR(VLOOKUP($A8,'Parts List and Volumes'!$C$2:$W199,9,FALSE),"")</f>
        <v>0</v>
      </c>
      <c r="P8" s="41">
        <f>IFERROR(VLOOKUP($A8,'Parts List and Volumes'!$C$2:$W199,10,FALSE),"")</f>
        <v>208293</v>
      </c>
      <c r="Q8" s="48">
        <f t="shared" si="2"/>
        <v>0</v>
      </c>
      <c r="R8" s="43">
        <f t="shared" si="2"/>
        <v>0</v>
      </c>
      <c r="S8" s="44">
        <f>IFERROR(VLOOKUP($A8,'Parts List and Volumes'!$C$2:$W199,11,FALSE),"")</f>
        <v>0</v>
      </c>
      <c r="T8" s="45">
        <f>IFERROR(VLOOKUP($A8,'Parts List and Volumes'!$C$2:$W199,12,FALSE),"")</f>
        <v>208293</v>
      </c>
      <c r="U8" s="46">
        <f t="shared" si="3"/>
        <v>0</v>
      </c>
      <c r="V8" s="47">
        <f t="shared" si="3"/>
        <v>0</v>
      </c>
      <c r="W8" s="40">
        <f>IFERROR(VLOOKUP($A8,'Parts List and Volumes'!$C$2:$W199,13,FALSE),"")</f>
        <v>0</v>
      </c>
      <c r="X8" s="41">
        <f>IFERROR(VLOOKUP($A8,'Parts List and Volumes'!$C$2:$W199,14,FALSE),"")</f>
        <v>0</v>
      </c>
      <c r="Y8" s="48">
        <f t="shared" si="4"/>
        <v>0</v>
      </c>
      <c r="Z8" s="43">
        <f t="shared" si="4"/>
        <v>0</v>
      </c>
      <c r="AA8" s="49">
        <f>IFERROR(VLOOKUP($A8,'Parts List and Volumes'!$C$2:$W199,15,FALSE),"")</f>
        <v>0</v>
      </c>
      <c r="AB8" s="50">
        <f>IFERROR(VLOOKUP($A8,'Parts List and Volumes'!$C$2:$W199,16,FALSE),"")</f>
        <v>0</v>
      </c>
      <c r="AC8" s="51">
        <f t="shared" si="5"/>
        <v>0</v>
      </c>
      <c r="AD8" s="52">
        <f t="shared" si="5"/>
        <v>0</v>
      </c>
      <c r="AE8" s="40">
        <f>IFERROR(VLOOKUP($A8,'Parts List and Volumes'!$C$2:$W199,17,FALSE),"")</f>
        <v>0</v>
      </c>
      <c r="AF8" s="41">
        <f>IFERROR(VLOOKUP($A8,'Parts List and Volumes'!$C$2:$W199,18,FALSE),"")</f>
        <v>0</v>
      </c>
      <c r="AG8" s="48">
        <f t="shared" si="6"/>
        <v>0</v>
      </c>
      <c r="AH8" s="43">
        <f t="shared" si="6"/>
        <v>0</v>
      </c>
      <c r="AI8" s="49">
        <f>IFERROR(VLOOKUP($A8,'Parts List and Volumes'!$C$2:$W199,19,FALSE),"")</f>
        <v>0</v>
      </c>
      <c r="AJ8" s="50">
        <f>IFERROR(VLOOKUP($A8,'Parts List and Volumes'!$C$2:$W199,20,FALSE),"")</f>
        <v>0</v>
      </c>
      <c r="AK8" s="51">
        <f t="shared" si="7"/>
        <v>0</v>
      </c>
      <c r="AL8" s="52">
        <f t="shared" si="7"/>
        <v>0</v>
      </c>
      <c r="AM8" s="40">
        <f>IFERROR(VLOOKUP($A8,'Parts List and Volumes'!$C$2:$W199,21,FALSE),"")</f>
        <v>0</v>
      </c>
      <c r="AN8" s="41" t="str">
        <f>IFERROR(VLOOKUP($A8,'Parts List and Volumes'!$C$2:$W199,22,FALSE),"")</f>
        <v/>
      </c>
      <c r="AO8" s="48">
        <f t="shared" si="8"/>
        <v>0</v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0.3054140199022552</v>
      </c>
      <c r="J52" s="53">
        <f>SUM(J3:J50)</f>
        <v>1.0710607158629217</v>
      </c>
      <c r="M52" s="53">
        <f>SUM(M3:M50)</f>
        <v>1.0710607158629217</v>
      </c>
      <c r="N52" s="53">
        <f>SUM(N3:N50)</f>
        <v>1.0710607158629217</v>
      </c>
      <c r="Q52" s="53">
        <f>SUM(Q3:Q50)</f>
        <v>0</v>
      </c>
      <c r="R52" s="53">
        <f>SUM(R3:R50)</f>
        <v>2.0241136003650708</v>
      </c>
      <c r="U52" s="53">
        <f>SUM(U3:U50)</f>
        <v>0</v>
      </c>
      <c r="V52" s="53">
        <f>SUM(V3:V50)</f>
        <v>2.0241136003650708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A3 D3:F50">
    <cfRule type="expression" dxfId="2030" priority="108" stopIfTrue="1">
      <formula>#REF!="DLN"</formula>
    </cfRule>
  </conditionalFormatting>
  <conditionalFormatting sqref="F3:F7 A3 D3:E50">
    <cfRule type="expression" dxfId="2029" priority="107" stopIfTrue="1">
      <formula>#REF!="DLN"</formula>
    </cfRule>
  </conditionalFormatting>
  <conditionalFormatting sqref="L3:L50">
    <cfRule type="expression" dxfId="2028" priority="106" stopIfTrue="1">
      <formula>#REF!="DLN"</formula>
    </cfRule>
  </conditionalFormatting>
  <conditionalFormatting sqref="L3:L50">
    <cfRule type="expression" dxfId="2027" priority="105" stopIfTrue="1">
      <formula>#REF!="DLN"</formula>
    </cfRule>
  </conditionalFormatting>
  <conditionalFormatting sqref="T3:T50">
    <cfRule type="expression" dxfId="2026" priority="104" stopIfTrue="1">
      <formula>#REF!="DLN"</formula>
    </cfRule>
  </conditionalFormatting>
  <conditionalFormatting sqref="T3:T50">
    <cfRule type="expression" dxfId="2025" priority="103" stopIfTrue="1">
      <formula>#REF!="DLN"</formula>
    </cfRule>
  </conditionalFormatting>
  <conditionalFormatting sqref="X3:X50">
    <cfRule type="expression" dxfId="2024" priority="102" stopIfTrue="1">
      <formula>#REF!="DLN"</formula>
    </cfRule>
  </conditionalFormatting>
  <conditionalFormatting sqref="X3:X50">
    <cfRule type="expression" dxfId="2023" priority="101" stopIfTrue="1">
      <formula>#REF!="DLN"</formula>
    </cfRule>
  </conditionalFormatting>
  <conditionalFormatting sqref="G2">
    <cfRule type="expression" dxfId="2022" priority="100" stopIfTrue="1">
      <formula>#REF!="DLN"</formula>
    </cfRule>
  </conditionalFormatting>
  <conditionalFormatting sqref="G2">
    <cfRule type="expression" dxfId="2021" priority="99" stopIfTrue="1">
      <formula>#REF!="DLN"</formula>
    </cfRule>
  </conditionalFormatting>
  <conditionalFormatting sqref="K2">
    <cfRule type="expression" dxfId="2020" priority="98" stopIfTrue="1">
      <formula>#REF!="DLN"</formula>
    </cfRule>
  </conditionalFormatting>
  <conditionalFormatting sqref="K2">
    <cfRule type="expression" dxfId="2019" priority="97" stopIfTrue="1">
      <formula>#REF!="DLN"</formula>
    </cfRule>
  </conditionalFormatting>
  <conditionalFormatting sqref="O2">
    <cfRule type="expression" dxfId="2018" priority="96" stopIfTrue="1">
      <formula>#REF!="DLN"</formula>
    </cfRule>
  </conditionalFormatting>
  <conditionalFormatting sqref="O2">
    <cfRule type="expression" dxfId="2017" priority="95" stopIfTrue="1">
      <formula>#REF!="DLN"</formula>
    </cfRule>
  </conditionalFormatting>
  <conditionalFormatting sqref="S2">
    <cfRule type="expression" dxfId="2016" priority="94" stopIfTrue="1">
      <formula>#REF!="DLN"</formula>
    </cfRule>
  </conditionalFormatting>
  <conditionalFormatting sqref="S2">
    <cfRule type="expression" dxfId="2015" priority="93" stopIfTrue="1">
      <formula>#REF!="DLN"</formula>
    </cfRule>
  </conditionalFormatting>
  <conditionalFormatting sqref="W2">
    <cfRule type="expression" dxfId="2014" priority="92" stopIfTrue="1">
      <formula>#REF!="DLN"</formula>
    </cfRule>
  </conditionalFormatting>
  <conditionalFormatting sqref="W2">
    <cfRule type="expression" dxfId="2013" priority="91" stopIfTrue="1">
      <formula>#REF!="DLN"</formula>
    </cfRule>
  </conditionalFormatting>
  <conditionalFormatting sqref="AF3:AF50">
    <cfRule type="expression" dxfId="2012" priority="43" stopIfTrue="1">
      <formula>#REF!="DLN"</formula>
    </cfRule>
  </conditionalFormatting>
  <conditionalFormatting sqref="W3:W50">
    <cfRule type="expression" dxfId="2011" priority="90" stopIfTrue="1">
      <formula>#REF!="DLN"</formula>
    </cfRule>
  </conditionalFormatting>
  <conditionalFormatting sqref="W3:W50">
    <cfRule type="expression" dxfId="2010" priority="89" stopIfTrue="1">
      <formula>#REF!="DLN"</formula>
    </cfRule>
  </conditionalFormatting>
  <conditionalFormatting sqref="S3:S50">
    <cfRule type="expression" dxfId="2009" priority="88" stopIfTrue="1">
      <formula>#REF!="DLN"</formula>
    </cfRule>
  </conditionalFormatting>
  <conditionalFormatting sqref="S3:S50">
    <cfRule type="expression" dxfId="2008" priority="87" stopIfTrue="1">
      <formula>#REF!="DLN"</formula>
    </cfRule>
  </conditionalFormatting>
  <conditionalFormatting sqref="K3:K50">
    <cfRule type="expression" dxfId="2007" priority="86" stopIfTrue="1">
      <formula>#REF!="DLN"</formula>
    </cfRule>
  </conditionalFormatting>
  <conditionalFormatting sqref="K3:K50">
    <cfRule type="expression" dxfId="2006" priority="85" stopIfTrue="1">
      <formula>#REF!="DLN"</formula>
    </cfRule>
  </conditionalFormatting>
  <conditionalFormatting sqref="AF3:AF50">
    <cfRule type="expression" dxfId="2005" priority="44" stopIfTrue="1">
      <formula>#REF!="DLN"</formula>
    </cfRule>
  </conditionalFormatting>
  <conditionalFormatting sqref="J52">
    <cfRule type="cellIs" dxfId="2004" priority="81" stopIfTrue="1" operator="greaterThanOrEqual">
      <formula>0.801</formula>
    </cfRule>
    <cfRule type="cellIs" dxfId="2003" priority="82" stopIfTrue="1" operator="between">
      <formula>0.61</formula>
      <formula>0.8</formula>
    </cfRule>
    <cfRule type="cellIs" dxfId="2002" priority="83" stopIfTrue="1" operator="between">
      <formula>0</formula>
      <formula>0.6</formula>
    </cfRule>
  </conditionalFormatting>
  <conditionalFormatting sqref="J52">
    <cfRule type="expression" dxfId="2001" priority="84" stopIfTrue="1">
      <formula>#REF!="DLN"</formula>
    </cfRule>
  </conditionalFormatting>
  <conditionalFormatting sqref="I52">
    <cfRule type="cellIs" dxfId="2000" priority="77" stopIfTrue="1" operator="greaterThanOrEqual">
      <formula>0.801</formula>
    </cfRule>
    <cfRule type="cellIs" dxfId="1999" priority="78" stopIfTrue="1" operator="between">
      <formula>0.61</formula>
      <formula>0.8</formula>
    </cfRule>
    <cfRule type="cellIs" dxfId="1998" priority="79" stopIfTrue="1" operator="between">
      <formula>0</formula>
      <formula>0.6</formula>
    </cfRule>
  </conditionalFormatting>
  <conditionalFormatting sqref="I52">
    <cfRule type="expression" dxfId="1997" priority="80" stopIfTrue="1">
      <formula>#REF!="DLN"</formula>
    </cfRule>
  </conditionalFormatting>
  <conditionalFormatting sqref="M52:N52">
    <cfRule type="cellIs" dxfId="1996" priority="73" stopIfTrue="1" operator="greaterThanOrEqual">
      <formula>0.801</formula>
    </cfRule>
    <cfRule type="cellIs" dxfId="1995" priority="74" stopIfTrue="1" operator="between">
      <formula>0.61</formula>
      <formula>0.8</formula>
    </cfRule>
    <cfRule type="cellIs" dxfId="1994" priority="75" stopIfTrue="1" operator="between">
      <formula>0</formula>
      <formula>0.6</formula>
    </cfRule>
  </conditionalFormatting>
  <conditionalFormatting sqref="M52:N52">
    <cfRule type="expression" dxfId="1993" priority="76" stopIfTrue="1">
      <formula>#REF!="DLN"</formula>
    </cfRule>
  </conditionalFormatting>
  <conditionalFormatting sqref="Q52:R52">
    <cfRule type="cellIs" dxfId="1992" priority="69" stopIfTrue="1" operator="greaterThanOrEqual">
      <formula>0.801</formula>
    </cfRule>
    <cfRule type="cellIs" dxfId="1991" priority="70" stopIfTrue="1" operator="between">
      <formula>0.61</formula>
      <formula>0.8</formula>
    </cfRule>
    <cfRule type="cellIs" dxfId="1990" priority="71" stopIfTrue="1" operator="between">
      <formula>0</formula>
      <formula>0.6</formula>
    </cfRule>
  </conditionalFormatting>
  <conditionalFormatting sqref="Q52:R52">
    <cfRule type="expression" dxfId="1989" priority="72" stopIfTrue="1">
      <formula>#REF!="DLN"</formula>
    </cfRule>
  </conditionalFormatting>
  <conditionalFormatting sqref="U52:V52">
    <cfRule type="cellIs" dxfId="1988" priority="65" stopIfTrue="1" operator="greaterThanOrEqual">
      <formula>0.801</formula>
    </cfRule>
    <cfRule type="cellIs" dxfId="1987" priority="66" stopIfTrue="1" operator="between">
      <formula>0.61</formula>
      <formula>0.8</formula>
    </cfRule>
    <cfRule type="cellIs" dxfId="1986" priority="67" stopIfTrue="1" operator="between">
      <formula>0</formula>
      <formula>0.6</formula>
    </cfRule>
  </conditionalFormatting>
  <conditionalFormatting sqref="U52:V52">
    <cfRule type="expression" dxfId="1985" priority="68" stopIfTrue="1">
      <formula>#REF!="DLN"</formula>
    </cfRule>
  </conditionalFormatting>
  <conditionalFormatting sqref="Y52:Z52">
    <cfRule type="cellIs" dxfId="1984" priority="61" stopIfTrue="1" operator="greaterThanOrEqual">
      <formula>0.801</formula>
    </cfRule>
    <cfRule type="cellIs" dxfId="1983" priority="62" stopIfTrue="1" operator="between">
      <formula>0.61</formula>
      <formula>0.8</formula>
    </cfRule>
    <cfRule type="cellIs" dxfId="1982" priority="63" stopIfTrue="1" operator="between">
      <formula>0</formula>
      <formula>0.6</formula>
    </cfRule>
  </conditionalFormatting>
  <conditionalFormatting sqref="Y52:Z52">
    <cfRule type="expression" dxfId="1981" priority="64" stopIfTrue="1">
      <formula>#REF!="DLN"</formula>
    </cfRule>
  </conditionalFormatting>
  <conditionalFormatting sqref="AC52:AD52">
    <cfRule type="cellIs" dxfId="1980" priority="57" stopIfTrue="1" operator="greaterThanOrEqual">
      <formula>0.801</formula>
    </cfRule>
    <cfRule type="cellIs" dxfId="1979" priority="58" stopIfTrue="1" operator="between">
      <formula>0.61</formula>
      <formula>0.8</formula>
    </cfRule>
    <cfRule type="cellIs" dxfId="1978" priority="59" stopIfTrue="1" operator="between">
      <formula>0</formula>
      <formula>0.6</formula>
    </cfRule>
  </conditionalFormatting>
  <conditionalFormatting sqref="AC52:AD52">
    <cfRule type="expression" dxfId="1977" priority="60" stopIfTrue="1">
      <formula>#REF!="DLN"</formula>
    </cfRule>
  </conditionalFormatting>
  <conditionalFormatting sqref="G3:G50">
    <cfRule type="expression" dxfId="1976" priority="55" stopIfTrue="1">
      <formula>#REF!="DLN"</formula>
    </cfRule>
  </conditionalFormatting>
  <conditionalFormatting sqref="G3:G50">
    <cfRule type="expression" dxfId="1975" priority="56" stopIfTrue="1">
      <formula>#REF!="DLN"</formula>
    </cfRule>
  </conditionalFormatting>
  <conditionalFormatting sqref="P3:P50">
    <cfRule type="expression" dxfId="1974" priority="54" stopIfTrue="1">
      <formula>#REF!="DLN"</formula>
    </cfRule>
  </conditionalFormatting>
  <conditionalFormatting sqref="P3:P50">
    <cfRule type="expression" dxfId="1973" priority="53" stopIfTrue="1">
      <formula>#REF!="DLN"</formula>
    </cfRule>
  </conditionalFormatting>
  <conditionalFormatting sqref="O3:O50">
    <cfRule type="expression" dxfId="1972" priority="52" stopIfTrue="1">
      <formula>#REF!="DLN"</formula>
    </cfRule>
  </conditionalFormatting>
  <conditionalFormatting sqref="O3:O50">
    <cfRule type="expression" dxfId="1971" priority="51" stopIfTrue="1">
      <formula>#REF!="DLN"</formula>
    </cfRule>
  </conditionalFormatting>
  <conditionalFormatting sqref="H3:H50">
    <cfRule type="expression" dxfId="1970" priority="50" stopIfTrue="1">
      <formula>#REF!="DLN"</formula>
    </cfRule>
  </conditionalFormatting>
  <conditionalFormatting sqref="H3:H50">
    <cfRule type="expression" dxfId="1969" priority="49" stopIfTrue="1">
      <formula>#REF!="DLN"</formula>
    </cfRule>
  </conditionalFormatting>
  <conditionalFormatting sqref="A4">
    <cfRule type="expression" dxfId="1968" priority="48" stopIfTrue="1">
      <formula>#REF!="DLN"</formula>
    </cfRule>
  </conditionalFormatting>
  <conditionalFormatting sqref="A4">
    <cfRule type="expression" dxfId="1967" priority="47" stopIfTrue="1">
      <formula>#REF!="DLN"</formula>
    </cfRule>
  </conditionalFormatting>
  <conditionalFormatting sqref="A8:A50">
    <cfRule type="expression" dxfId="1966" priority="46" stopIfTrue="1">
      <formula>#REF!="DLN"</formula>
    </cfRule>
  </conditionalFormatting>
  <conditionalFormatting sqref="A8:A50">
    <cfRule type="expression" dxfId="1965" priority="45" stopIfTrue="1">
      <formula>#REF!="DLN"</formula>
    </cfRule>
  </conditionalFormatting>
  <conditionalFormatting sqref="AE2">
    <cfRule type="expression" dxfId="1964" priority="42" stopIfTrue="1">
      <formula>#REF!="DLN"</formula>
    </cfRule>
  </conditionalFormatting>
  <conditionalFormatting sqref="AE2">
    <cfRule type="expression" dxfId="1963" priority="41" stopIfTrue="1">
      <formula>#REF!="DLN"</formula>
    </cfRule>
  </conditionalFormatting>
  <conditionalFormatting sqref="AE3:AE50">
    <cfRule type="expression" dxfId="1962" priority="40" stopIfTrue="1">
      <formula>#REF!="DLN"</formula>
    </cfRule>
  </conditionalFormatting>
  <conditionalFormatting sqref="AE3:AE50">
    <cfRule type="expression" dxfId="1961" priority="39" stopIfTrue="1">
      <formula>#REF!="DLN"</formula>
    </cfRule>
  </conditionalFormatting>
  <conditionalFormatting sqref="AG52:AH52">
    <cfRule type="cellIs" dxfId="1960" priority="35" stopIfTrue="1" operator="greaterThanOrEqual">
      <formula>0.801</formula>
    </cfRule>
    <cfRule type="cellIs" dxfId="1959" priority="36" stopIfTrue="1" operator="between">
      <formula>0.61</formula>
      <formula>0.8</formula>
    </cfRule>
    <cfRule type="cellIs" dxfId="1958" priority="37" stopIfTrue="1" operator="between">
      <formula>0</formula>
      <formula>0.6</formula>
    </cfRule>
  </conditionalFormatting>
  <conditionalFormatting sqref="AG52:AH52">
    <cfRule type="expression" dxfId="1957" priority="38" stopIfTrue="1">
      <formula>#REF!="DLN"</formula>
    </cfRule>
  </conditionalFormatting>
  <conditionalFormatting sqref="AK52:AL52">
    <cfRule type="cellIs" dxfId="1956" priority="31" stopIfTrue="1" operator="greaterThanOrEqual">
      <formula>0.801</formula>
    </cfRule>
    <cfRule type="cellIs" dxfId="1955" priority="32" stopIfTrue="1" operator="between">
      <formula>0.61</formula>
      <formula>0.8</formula>
    </cfRule>
    <cfRule type="cellIs" dxfId="1954" priority="33" stopIfTrue="1" operator="between">
      <formula>0</formula>
      <formula>0.6</formula>
    </cfRule>
  </conditionalFormatting>
  <conditionalFormatting sqref="AK52:AL52">
    <cfRule type="expression" dxfId="1953" priority="34" stopIfTrue="1">
      <formula>#REF!="DLN"</formula>
    </cfRule>
  </conditionalFormatting>
  <conditionalFormatting sqref="AN3:AN50">
    <cfRule type="expression" dxfId="1952" priority="30" stopIfTrue="1">
      <formula>#REF!="DLN"</formula>
    </cfRule>
  </conditionalFormatting>
  <conditionalFormatting sqref="AN3:AN50">
    <cfRule type="expression" dxfId="1951" priority="29" stopIfTrue="1">
      <formula>#REF!="DLN"</formula>
    </cfRule>
  </conditionalFormatting>
  <conditionalFormatting sqref="AM2">
    <cfRule type="expression" dxfId="1950" priority="28" stopIfTrue="1">
      <formula>#REF!="DLN"</formula>
    </cfRule>
  </conditionalFormatting>
  <conditionalFormatting sqref="AM2">
    <cfRule type="expression" dxfId="1949" priority="27" stopIfTrue="1">
      <formula>#REF!="DLN"</formula>
    </cfRule>
  </conditionalFormatting>
  <conditionalFormatting sqref="AM3:AM50">
    <cfRule type="expression" dxfId="1948" priority="26" stopIfTrue="1">
      <formula>#REF!="DLN"</formula>
    </cfRule>
  </conditionalFormatting>
  <conditionalFormatting sqref="AM3:AM50">
    <cfRule type="expression" dxfId="1947" priority="25" stopIfTrue="1">
      <formula>#REF!="DLN"</formula>
    </cfRule>
  </conditionalFormatting>
  <conditionalFormatting sqref="AO52:AP52">
    <cfRule type="cellIs" dxfId="1946" priority="21" stopIfTrue="1" operator="greaterThanOrEqual">
      <formula>0.801</formula>
    </cfRule>
    <cfRule type="cellIs" dxfId="1945" priority="22" stopIfTrue="1" operator="between">
      <formula>0.61</formula>
      <formula>0.8</formula>
    </cfRule>
    <cfRule type="cellIs" dxfId="1944" priority="23" stopIfTrue="1" operator="between">
      <formula>0</formula>
      <formula>0.6</formula>
    </cfRule>
  </conditionalFormatting>
  <conditionalFormatting sqref="AO52:AP52">
    <cfRule type="expression" dxfId="1943" priority="24" stopIfTrue="1">
      <formula>#REF!="DLN"</formula>
    </cfRule>
  </conditionalFormatting>
  <conditionalFormatting sqref="AS52:AT52">
    <cfRule type="cellIs" dxfId="1942" priority="17" stopIfTrue="1" operator="greaterThanOrEqual">
      <formula>0.801</formula>
    </cfRule>
    <cfRule type="cellIs" dxfId="1941" priority="18" stopIfTrue="1" operator="between">
      <formula>0.61</formula>
      <formula>0.8</formula>
    </cfRule>
    <cfRule type="cellIs" dxfId="1940" priority="19" stopIfTrue="1" operator="between">
      <formula>0</formula>
      <formula>0.6</formula>
    </cfRule>
  </conditionalFormatting>
  <conditionalFormatting sqref="AS52:AT52">
    <cfRule type="expression" dxfId="1939" priority="20" stopIfTrue="1">
      <formula>#REF!="DLN"</formula>
    </cfRule>
  </conditionalFormatting>
  <conditionalFormatting sqref="AV3:AV50">
    <cfRule type="expression" dxfId="1938" priority="16" stopIfTrue="1">
      <formula>#REF!="DLN"</formula>
    </cfRule>
  </conditionalFormatting>
  <conditionalFormatting sqref="AV3:AV50">
    <cfRule type="expression" dxfId="1937" priority="15" stopIfTrue="1">
      <formula>#REF!="DLN"</formula>
    </cfRule>
  </conditionalFormatting>
  <conditionalFormatting sqref="AU2">
    <cfRule type="expression" dxfId="1936" priority="14" stopIfTrue="1">
      <formula>#REF!="DLN"</formula>
    </cfRule>
  </conditionalFormatting>
  <conditionalFormatting sqref="AU2">
    <cfRule type="expression" dxfId="1935" priority="13" stopIfTrue="1">
      <formula>#REF!="DLN"</formula>
    </cfRule>
  </conditionalFormatting>
  <conditionalFormatting sqref="AU3:AU50">
    <cfRule type="expression" dxfId="1934" priority="12" stopIfTrue="1">
      <formula>#REF!="DLN"</formula>
    </cfRule>
  </conditionalFormatting>
  <conditionalFormatting sqref="AU3:AU50">
    <cfRule type="expression" dxfId="1933" priority="11" stopIfTrue="1">
      <formula>#REF!="DLN"</formula>
    </cfRule>
  </conditionalFormatting>
  <conditionalFormatting sqref="AW52:AX52">
    <cfRule type="cellIs" dxfId="1932" priority="7" stopIfTrue="1" operator="greaterThanOrEqual">
      <formula>0.801</formula>
    </cfRule>
    <cfRule type="cellIs" dxfId="1931" priority="8" stopIfTrue="1" operator="between">
      <formula>0.61</formula>
      <formula>0.8</formula>
    </cfRule>
    <cfRule type="cellIs" dxfId="1930" priority="9" stopIfTrue="1" operator="between">
      <formula>0</formula>
      <formula>0.6</formula>
    </cfRule>
  </conditionalFormatting>
  <conditionalFormatting sqref="AW52:AX52">
    <cfRule type="expression" dxfId="1929" priority="10" stopIfTrue="1">
      <formula>#REF!="DLN"</formula>
    </cfRule>
  </conditionalFormatting>
  <conditionalFormatting sqref="A5">
    <cfRule type="expression" dxfId="1928" priority="6" stopIfTrue="1">
      <formula>#REF!="DLN"</formula>
    </cfRule>
  </conditionalFormatting>
  <conditionalFormatting sqref="A5">
    <cfRule type="expression" dxfId="1927" priority="5" stopIfTrue="1">
      <formula>#REF!="DLN"</formula>
    </cfRule>
  </conditionalFormatting>
  <conditionalFormatting sqref="A6">
    <cfRule type="expression" dxfId="1926" priority="4" stopIfTrue="1">
      <formula>#REF!="DLN"</formula>
    </cfRule>
  </conditionalFormatting>
  <conditionalFormatting sqref="A6">
    <cfRule type="expression" dxfId="1925" priority="3" stopIfTrue="1">
      <formula>#REF!="DLN"</formula>
    </cfRule>
  </conditionalFormatting>
  <conditionalFormatting sqref="A7">
    <cfRule type="expression" dxfId="1924" priority="2" stopIfTrue="1">
      <formula>#REF!="DLN"</formula>
    </cfRule>
  </conditionalFormatting>
  <conditionalFormatting sqref="A7">
    <cfRule type="expression" dxfId="1923" priority="1" stopIfTrue="1">
      <formula>#REF!="DLN"</formula>
    </cfRule>
  </conditionalFormatting>
  <dataValidations count="1">
    <dataValidation type="list" allowBlank="1" showInputMessage="1" showErrorMessage="1" sqref="A3:A50" xr:uid="{3FE9140B-411E-4648-BC52-1D34C90C76E0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17F178-6209-410B-A784-78A4C3600F2A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95AB-57E5-4D6E-BBD1-0E8243585F4B}">
  <sheetPr codeName="Sheet8"/>
  <dimension ref="A1:AX62"/>
  <sheetViews>
    <sheetView workbookViewId="0">
      <selection activeCell="A11" sqref="A11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284</v>
      </c>
      <c r="B3" s="24" t="s">
        <v>431</v>
      </c>
      <c r="C3" s="20" t="str">
        <f>IFERROR(VLOOKUP(A3,'Parts List and Volumes'!C2:D194,2,FALSE),"")</f>
        <v>NFAA0300AAF20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25">
        <v>38</v>
      </c>
      <c r="G3" s="40">
        <f>IFERROR(VLOOKUP($A3,'Parts List and Volumes'!$C$2:$W194,5,FALSE),"")</f>
        <v>170405</v>
      </c>
      <c r="H3" s="41">
        <f>IFERROR(VLOOKUP($A3,'Parts List and Volumes'!$C$2:$W194,6,FALSE),"")</f>
        <v>169521</v>
      </c>
      <c r="I3" s="42">
        <f t="shared" ref="I3:J50" si="0">IFERROR((($F3*G3)/FourHeadAssumption),"")</f>
        <v>0.47660822587293178</v>
      </c>
      <c r="J3" s="43">
        <f t="shared" si="0"/>
        <v>0.47413575340045927</v>
      </c>
      <c r="K3" s="44">
        <f>IFERROR(VLOOKUP($A3,'Parts List and Volumes'!$C$2:$W194,7,FALSE),"")</f>
        <v>169521</v>
      </c>
      <c r="L3" s="45">
        <f>IFERROR(VLOOKUP($A3,'Parts List and Volumes'!$C$2:$W194,8,FALSE),"")</f>
        <v>169521</v>
      </c>
      <c r="M3" s="46">
        <f t="shared" ref="M3:N50" si="1">IFERROR((($F3*K3)/FourHeadAssumption),"")</f>
        <v>0.47413575340045927</v>
      </c>
      <c r="N3" s="47">
        <f t="shared" si="1"/>
        <v>0.47413575340045927</v>
      </c>
      <c r="O3" s="41">
        <f>IFERROR(VLOOKUP($A3,'Parts List and Volumes'!$C$2:$W194,9,FALSE),"")</f>
        <v>0</v>
      </c>
      <c r="P3" s="41">
        <f>IFERROR(VLOOKUP($A3,'Parts List and Volumes'!$C$2:$W194,10,FALSE),"")</f>
        <v>85956</v>
      </c>
      <c r="Q3" s="48">
        <f t="shared" ref="Q3:R50" si="2">IFERROR((($F3*O3)/FourHeadAssumption),"")</f>
        <v>0</v>
      </c>
      <c r="R3" s="43">
        <f t="shared" si="2"/>
        <v>0.24041158805864687</v>
      </c>
      <c r="S3" s="44">
        <f>IFERROR(VLOOKUP($A3,'Parts List and Volumes'!$C$2:$W194,11,FALSE),"")</f>
        <v>0</v>
      </c>
      <c r="T3" s="45">
        <f>IFERROR(VLOOKUP($A3,'Parts List and Volumes'!$C$2:$W194,12,FALSE),"")</f>
        <v>0</v>
      </c>
      <c r="U3" s="46">
        <f t="shared" ref="U3:V50" si="3">IFERROR((($F3*S3)/FourHeadAssumption),"")</f>
        <v>0</v>
      </c>
      <c r="V3" s="47">
        <f t="shared" si="3"/>
        <v>0</v>
      </c>
      <c r="W3" s="40">
        <f>IFERROR(VLOOKUP($A3,'Parts List and Volumes'!$C$2:$W194,13,FALSE),"")</f>
        <v>0</v>
      </c>
      <c r="X3" s="41">
        <f>IFERROR(VLOOKUP($A3,'Parts List and Volumes'!$C$2:$W194,14,FALSE),"")</f>
        <v>0</v>
      </c>
      <c r="Y3" s="48">
        <f t="shared" ref="Y3:Z50" si="4">IFERROR((($F3*W3)/FourHeadAssumption),"")</f>
        <v>0</v>
      </c>
      <c r="Z3" s="43">
        <f t="shared" si="4"/>
        <v>0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 t="s">
        <v>269</v>
      </c>
      <c r="B4" s="24" t="s">
        <v>431</v>
      </c>
      <c r="C4" s="20" t="str">
        <f>IFERROR(VLOOKUP(A4,'Parts List and Volumes'!C3:D195,2,FALSE),"")</f>
        <v>NFAA0189ACF20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26">
        <v>31</v>
      </c>
      <c r="G4" s="40">
        <f>IFERROR(VLOOKUP($A4,'Parts List and Volumes'!$C$2:$W195,5,FALSE),"")</f>
        <v>170373</v>
      </c>
      <c r="H4" s="41">
        <f>IFERROR(VLOOKUP($A4,'Parts List and Volumes'!$C$2:$W195,6,FALSE),"")</f>
        <v>169500</v>
      </c>
      <c r="I4" s="42">
        <f t="shared" si="0"/>
        <v>0.38873895954778309</v>
      </c>
      <c r="J4" s="43">
        <f t="shared" si="0"/>
        <v>0.38674704115880587</v>
      </c>
      <c r="K4" s="44">
        <f>IFERROR(VLOOKUP($A4,'Parts List and Volumes'!$C$2:$W195,7,FALSE),"")</f>
        <v>169500</v>
      </c>
      <c r="L4" s="45">
        <f>IFERROR(VLOOKUP($A4,'Parts List and Volumes'!$C$2:$W195,8,FALSE),"")</f>
        <v>169500</v>
      </c>
      <c r="M4" s="46">
        <f t="shared" si="1"/>
        <v>0.38674704115880587</v>
      </c>
      <c r="N4" s="47">
        <f t="shared" si="1"/>
        <v>0.38674704115880587</v>
      </c>
      <c r="O4" s="41">
        <f>IFERROR(VLOOKUP($A4,'Parts List and Volumes'!$C$2:$W195,9,FALSE),"")</f>
        <v>0</v>
      </c>
      <c r="P4" s="41">
        <f>IFERROR(VLOOKUP($A4,'Parts List and Volumes'!$C$2:$W195,10,FALSE),"")</f>
        <v>85956</v>
      </c>
      <c r="Q4" s="48">
        <f t="shared" si="2"/>
        <v>0</v>
      </c>
      <c r="R4" s="43">
        <f t="shared" si="2"/>
        <v>0.19612524288994876</v>
      </c>
      <c r="S4" s="44">
        <f>IFERROR(VLOOKUP($A4,'Parts List and Volumes'!$C$2:$W195,11,FALSE),"")</f>
        <v>0</v>
      </c>
      <c r="T4" s="45">
        <f>IFERROR(VLOOKUP($A4,'Parts List and Volumes'!$C$2:$W195,12,FALSE),"")</f>
        <v>0</v>
      </c>
      <c r="U4" s="46">
        <f t="shared" si="3"/>
        <v>0</v>
      </c>
      <c r="V4" s="47">
        <f t="shared" si="3"/>
        <v>0</v>
      </c>
      <c r="W4" s="40">
        <f>IFERROR(VLOOKUP($A4,'Parts List and Volumes'!$C$2:$W195,13,FALSE),"")</f>
        <v>0</v>
      </c>
      <c r="X4" s="41">
        <f>IFERROR(VLOOKUP($A4,'Parts List and Volumes'!$C$2:$W195,14,FALSE),"")</f>
        <v>0</v>
      </c>
      <c r="Y4" s="48">
        <f t="shared" si="4"/>
        <v>0</v>
      </c>
      <c r="Z4" s="43">
        <f t="shared" si="4"/>
        <v>0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 t="s">
        <v>278</v>
      </c>
      <c r="B5" s="24" t="s">
        <v>431</v>
      </c>
      <c r="C5" s="20" t="str">
        <f>IFERROR(VLOOKUP(A5,'Parts List and Volumes'!C4:D196,2,FALSE),"")</f>
        <v>NFAA0287AAF20</v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>
        <v>24.2</v>
      </c>
      <c r="G5" s="40">
        <f>IFERROR(VLOOKUP($A5,'Parts List and Volumes'!$C$2:$W196,5,FALSE),"")</f>
        <v>11702</v>
      </c>
      <c r="H5" s="41">
        <f>IFERROR(VLOOKUP($A5,'Parts List and Volumes'!$C$2:$W196,6,FALSE),"")</f>
        <v>12084</v>
      </c>
      <c r="I5" s="42">
        <f t="shared" si="0"/>
        <v>2.0843519990578811E-2</v>
      </c>
      <c r="J5" s="43">
        <f t="shared" si="0"/>
        <v>2.152393570040629E-2</v>
      </c>
      <c r="K5" s="44">
        <f>IFERROR(VLOOKUP($A5,'Parts List and Volumes'!$C$2:$W196,7,FALSE),"")</f>
        <v>12084</v>
      </c>
      <c r="L5" s="45">
        <f>IFERROR(VLOOKUP($A5,'Parts List and Volumes'!$C$2:$W196,8,FALSE),"")</f>
        <v>12084</v>
      </c>
      <c r="M5" s="46">
        <f t="shared" si="1"/>
        <v>2.152393570040629E-2</v>
      </c>
      <c r="N5" s="47">
        <f t="shared" si="1"/>
        <v>2.152393570040629E-2</v>
      </c>
      <c r="O5" s="41">
        <f>IFERROR(VLOOKUP($A5,'Parts List and Volumes'!$C$2:$W196,9,FALSE),"")</f>
        <v>0</v>
      </c>
      <c r="P5" s="41">
        <f>IFERROR(VLOOKUP($A5,'Parts List and Volumes'!$C$2:$W196,10,FALSE),"")</f>
        <v>17191</v>
      </c>
      <c r="Q5" s="48">
        <f t="shared" si="2"/>
        <v>0</v>
      </c>
      <c r="R5" s="43">
        <f t="shared" si="2"/>
        <v>3.0620488135194017E-2</v>
      </c>
      <c r="S5" s="44">
        <f>IFERROR(VLOOKUP($A5,'Parts List and Volumes'!$C$2:$W196,11,FALSE),"")</f>
        <v>0</v>
      </c>
      <c r="T5" s="45">
        <f>IFERROR(VLOOKUP($A5,'Parts List and Volumes'!$C$2:$W196,12,FALSE),"")</f>
        <v>0</v>
      </c>
      <c r="U5" s="46">
        <f t="shared" si="3"/>
        <v>0</v>
      </c>
      <c r="V5" s="47">
        <f t="shared" si="3"/>
        <v>0</v>
      </c>
      <c r="W5" s="40">
        <f>IFERROR(VLOOKUP($A5,'Parts List and Volumes'!$C$2:$W196,13,FALSE),"")</f>
        <v>0</v>
      </c>
      <c r="X5" s="41">
        <f>IFERROR(VLOOKUP($A5,'Parts List and Volumes'!$C$2:$W196,14,FALSE),"")</f>
        <v>0</v>
      </c>
      <c r="Y5" s="48">
        <f t="shared" si="4"/>
        <v>0</v>
      </c>
      <c r="Z5" s="43">
        <f t="shared" si="4"/>
        <v>0</v>
      </c>
      <c r="AA5" s="49">
        <f>IFERROR(VLOOKUP($A5,'Parts List and Volumes'!$C$2:$W196,15,FALSE),"")</f>
        <v>0</v>
      </c>
      <c r="AB5" s="50">
        <f>IFERROR(VLOOKUP($A5,'Parts List and Volumes'!$C$2:$W196,16,FALSE),"")</f>
        <v>0</v>
      </c>
      <c r="AC5" s="51">
        <f t="shared" si="5"/>
        <v>0</v>
      </c>
      <c r="AD5" s="52">
        <f t="shared" si="5"/>
        <v>0</v>
      </c>
      <c r="AE5" s="40">
        <f>IFERROR(VLOOKUP($A5,'Parts List and Volumes'!$C$2:$W196,17,FALSE),"")</f>
        <v>0</v>
      </c>
      <c r="AF5" s="41">
        <f>IFERROR(VLOOKUP($A5,'Parts List and Volumes'!$C$2:$W196,18,FALSE),"")</f>
        <v>0</v>
      </c>
      <c r="AG5" s="48">
        <f t="shared" si="6"/>
        <v>0</v>
      </c>
      <c r="AH5" s="43">
        <f t="shared" si="6"/>
        <v>0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 t="s">
        <v>296</v>
      </c>
      <c r="B6" s="24" t="s">
        <v>432</v>
      </c>
      <c r="C6" s="20" t="str">
        <f>IFERROR(VLOOKUP(A6,'Parts List and Volumes'!C5:D197,2,FALSE),"")</f>
        <v>NFAA0213AAF20</v>
      </c>
      <c r="D6" s="39">
        <f>IFERROR(IF(VLOOKUP($A6,'Parts List and Volumes'!$C5:$F266,3,FALSE)=0,"",VLOOKUP(A6,'Parts List and Volumes'!C5:F266,3,FALSE)),"")</f>
        <v>4.76</v>
      </c>
      <c r="E6" s="39" t="str">
        <f>IFERROR(IF(VLOOKUP($A6,'Parts List and Volumes'!$C5:$F266,4,FALSE)=0,"",VLOOKUP(B6,'Parts List and Volumes'!D5:G266,3,FALSE)),"")</f>
        <v/>
      </c>
      <c r="F6" s="26">
        <v>28</v>
      </c>
      <c r="G6" s="40">
        <f>IFERROR(VLOOKUP($A6,'Parts List and Volumes'!$C$2:$W197,5,FALSE),"")</f>
        <v>24222</v>
      </c>
      <c r="H6" s="41">
        <f>IFERROR(VLOOKUP($A6,'Parts List and Volumes'!$C$2:$W197,6,FALSE),"")</f>
        <v>22327</v>
      </c>
      <c r="I6" s="42">
        <f t="shared" si="0"/>
        <v>4.9918742271683449E-2</v>
      </c>
      <c r="J6" s="43">
        <f t="shared" si="0"/>
        <v>4.6013366307483955E-2</v>
      </c>
      <c r="K6" s="58">
        <f>IFERROR(VLOOKUP($A6,'Parts List and Volumes'!$C$2:$W197,7,FALSE),"")</f>
        <v>22327</v>
      </c>
      <c r="L6" s="45">
        <f>IFERROR(VLOOKUP($A6,'Parts List and Volumes'!$C$2:$W197,8,FALSE),"")</f>
        <v>22327</v>
      </c>
      <c r="M6" s="46">
        <f t="shared" si="1"/>
        <v>4.6013366307483955E-2</v>
      </c>
      <c r="N6" s="47">
        <f t="shared" si="1"/>
        <v>4.6013366307483955E-2</v>
      </c>
      <c r="O6" s="41">
        <f>IFERROR(VLOOKUP($A6,'Parts List and Volumes'!$C$2:$W197,9,FALSE),"")</f>
        <v>0</v>
      </c>
      <c r="P6" s="41">
        <f>IFERROR(VLOOKUP($A6,'Parts List and Volumes'!$C$2:$W197,10,FALSE),"")</f>
        <v>24773</v>
      </c>
      <c r="Q6" s="48">
        <f t="shared" si="2"/>
        <v>0</v>
      </c>
      <c r="R6" s="43">
        <f t="shared" si="2"/>
        <v>5.1054289583701347E-2</v>
      </c>
      <c r="S6" s="44">
        <f>IFERROR(VLOOKUP($A6,'Parts List and Volumes'!$C$2:$W197,11,FALSE),"")</f>
        <v>0</v>
      </c>
      <c r="T6" s="45">
        <f>IFERROR(VLOOKUP($A6,'Parts List and Volumes'!$C$2:$W197,12,FALSE),"")</f>
        <v>24773</v>
      </c>
      <c r="U6" s="46">
        <f t="shared" si="3"/>
        <v>0</v>
      </c>
      <c r="V6" s="47">
        <f t="shared" si="3"/>
        <v>5.1054289583701347E-2</v>
      </c>
      <c r="W6" s="40">
        <f>IFERROR(VLOOKUP($A6,'Parts List and Volumes'!$C$2:$W197,13,FALSE),"")</f>
        <v>0</v>
      </c>
      <c r="X6" s="41">
        <f>IFERROR(VLOOKUP($A6,'Parts List and Volumes'!$C$2:$W197,14,FALSE),"")</f>
        <v>0</v>
      </c>
      <c r="Y6" s="48">
        <f t="shared" si="4"/>
        <v>0</v>
      </c>
      <c r="Z6" s="43">
        <f t="shared" si="4"/>
        <v>0</v>
      </c>
      <c r="AA6" s="49">
        <f>IFERROR(VLOOKUP($A6,'Parts List and Volumes'!$C$2:$W197,15,FALSE),"")</f>
        <v>0</v>
      </c>
      <c r="AB6" s="50">
        <f>IFERROR(VLOOKUP($A6,'Parts List and Volumes'!$C$2:$W197,16,FALSE),"")</f>
        <v>0</v>
      </c>
      <c r="AC6" s="51">
        <f t="shared" si="5"/>
        <v>0</v>
      </c>
      <c r="AD6" s="52">
        <f t="shared" si="5"/>
        <v>0</v>
      </c>
      <c r="AE6" s="40">
        <f>IFERROR(VLOOKUP($A6,'Parts List and Volumes'!$C$2:$W197,17,FALSE),"")</f>
        <v>0</v>
      </c>
      <c r="AF6" s="41">
        <f>IFERROR(VLOOKUP($A6,'Parts List and Volumes'!$C$2:$W197,18,FALSE),"")</f>
        <v>0</v>
      </c>
      <c r="AG6" s="48">
        <f t="shared" si="6"/>
        <v>0</v>
      </c>
      <c r="AH6" s="43">
        <f t="shared" si="6"/>
        <v>0</v>
      </c>
      <c r="AI6" s="49">
        <f>IFERROR(VLOOKUP($A6,'Parts List and Volumes'!$C$2:$W197,19,FALSE),"")</f>
        <v>0</v>
      </c>
      <c r="AJ6" s="50">
        <f>IFERROR(VLOOKUP($A6,'Parts List and Volumes'!$C$2:$W197,20,FALSE),"")</f>
        <v>0</v>
      </c>
      <c r="AK6" s="51">
        <f t="shared" si="7"/>
        <v>0</v>
      </c>
      <c r="AL6" s="52">
        <f t="shared" si="7"/>
        <v>0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8">
        <f t="shared" si="8"/>
        <v>0</v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 t="s">
        <v>298</v>
      </c>
      <c r="B7" s="24" t="s">
        <v>432</v>
      </c>
      <c r="C7" s="20" t="str">
        <f>IFERROR(VLOOKUP(A7,'Parts List and Volumes'!C6:D198,2,FALSE),"")</f>
        <v>NFAA0214AAF20</v>
      </c>
      <c r="D7" s="39">
        <f>IFERROR(IF(VLOOKUP($A7,'Parts List and Volumes'!$C6:$F266,3,FALSE)=0,"",VLOOKUP(A7,'Parts List and Volumes'!C6:F266,3,FALSE)),"")</f>
        <v>4.76</v>
      </c>
      <c r="E7" s="39" t="str">
        <f>IFERROR(IF(VLOOKUP($A7,'Parts List and Volumes'!$C6:$F266,4,FALSE)=0,"",VLOOKUP(B7,'Parts List and Volumes'!D6:G266,3,FALSE)),"")</f>
        <v/>
      </c>
      <c r="F7" s="26">
        <v>30.7</v>
      </c>
      <c r="G7" s="40">
        <f>IFERROR(VLOOKUP($A7,'Parts List and Volumes'!$C$2:$W198,5,FALSE),"")</f>
        <v>24282</v>
      </c>
      <c r="H7" s="41">
        <f>IFERROR(VLOOKUP($A7,'Parts List and Volumes'!$C$2:$W198,6,FALSE),"")</f>
        <v>22393</v>
      </c>
      <c r="I7" s="42">
        <f t="shared" si="0"/>
        <v>5.4867912029676738E-2</v>
      </c>
      <c r="J7" s="43">
        <f t="shared" si="0"/>
        <v>5.0599503915680383E-2</v>
      </c>
      <c r="K7" s="58">
        <f>IFERROR(VLOOKUP($A7,'Parts List and Volumes'!$C$2:$W198,7,FALSE),"")</f>
        <v>22393</v>
      </c>
      <c r="L7" s="45">
        <f>IFERROR(VLOOKUP($A7,'Parts List and Volumes'!$C$2:$W198,8,FALSE),"")</f>
        <v>22393</v>
      </c>
      <c r="M7" s="46">
        <f t="shared" si="1"/>
        <v>5.0599503915680383E-2</v>
      </c>
      <c r="N7" s="47">
        <f t="shared" si="1"/>
        <v>5.0599503915680383E-2</v>
      </c>
      <c r="O7" s="41">
        <f>IFERROR(VLOOKUP($A7,'Parts List and Volumes'!$C$2:$W198,9,FALSE),"")</f>
        <v>0</v>
      </c>
      <c r="P7" s="41">
        <f>IFERROR(VLOOKUP($A7,'Parts List and Volumes'!$C$2:$W198,10,FALSE),"")</f>
        <v>24773</v>
      </c>
      <c r="Q7" s="48">
        <f t="shared" si="2"/>
        <v>0</v>
      </c>
      <c r="R7" s="43">
        <f t="shared" si="2"/>
        <v>5.597738179355826E-2</v>
      </c>
      <c r="S7" s="44">
        <f>IFERROR(VLOOKUP($A7,'Parts List and Volumes'!$C$2:$W198,11,FALSE),"")</f>
        <v>0</v>
      </c>
      <c r="T7" s="45">
        <f>IFERROR(VLOOKUP($A7,'Parts List and Volumes'!$C$2:$W198,12,FALSE),"")</f>
        <v>24773</v>
      </c>
      <c r="U7" s="46">
        <f t="shared" si="3"/>
        <v>0</v>
      </c>
      <c r="V7" s="47">
        <f t="shared" si="3"/>
        <v>5.597738179355826E-2</v>
      </c>
      <c r="W7" s="40">
        <f>IFERROR(VLOOKUP($A7,'Parts List and Volumes'!$C$2:$W198,13,FALSE),"")</f>
        <v>0</v>
      </c>
      <c r="X7" s="41">
        <f>IFERROR(VLOOKUP($A7,'Parts List and Volumes'!$C$2:$W198,14,FALSE),"")</f>
        <v>0</v>
      </c>
      <c r="Y7" s="48">
        <f t="shared" si="4"/>
        <v>0</v>
      </c>
      <c r="Z7" s="43">
        <f t="shared" si="4"/>
        <v>0</v>
      </c>
      <c r="AA7" s="49">
        <f>IFERROR(VLOOKUP($A7,'Parts List and Volumes'!$C$2:$W198,15,FALSE),"")</f>
        <v>0</v>
      </c>
      <c r="AB7" s="50">
        <f>IFERROR(VLOOKUP($A7,'Parts List and Volumes'!$C$2:$W198,16,FALSE),"")</f>
        <v>0</v>
      </c>
      <c r="AC7" s="51">
        <f t="shared" si="5"/>
        <v>0</v>
      </c>
      <c r="AD7" s="52">
        <f t="shared" si="5"/>
        <v>0</v>
      </c>
      <c r="AE7" s="40">
        <f>IFERROR(VLOOKUP($A7,'Parts List and Volumes'!$C$2:$W198,17,FALSE),"")</f>
        <v>0</v>
      </c>
      <c r="AF7" s="41">
        <f>IFERROR(VLOOKUP($A7,'Parts List and Volumes'!$C$2:$W198,18,FALSE),"")</f>
        <v>0</v>
      </c>
      <c r="AG7" s="48">
        <f t="shared" si="6"/>
        <v>0</v>
      </c>
      <c r="AH7" s="43">
        <f t="shared" si="6"/>
        <v>0</v>
      </c>
      <c r="AI7" s="49">
        <f>IFERROR(VLOOKUP($A7,'Parts List and Volumes'!$C$2:$W198,19,FALSE),"")</f>
        <v>0</v>
      </c>
      <c r="AJ7" s="50">
        <f>IFERROR(VLOOKUP($A7,'Parts List and Volumes'!$C$2:$W198,20,FALSE),"")</f>
        <v>0</v>
      </c>
      <c r="AK7" s="51">
        <f t="shared" si="7"/>
        <v>0</v>
      </c>
      <c r="AL7" s="52">
        <f t="shared" si="7"/>
        <v>0</v>
      </c>
      <c r="AM7" s="40">
        <f>IFERROR(VLOOKUP($A7,'Parts List and Volumes'!$C$2:$W198,21,FALSE),"")</f>
        <v>0</v>
      </c>
      <c r="AN7" s="41" t="str">
        <f>IFERROR(VLOOKUP($A7,'Parts List and Volumes'!$C$2:$W198,22,FALSE),"")</f>
        <v/>
      </c>
      <c r="AO7" s="48">
        <f t="shared" si="8"/>
        <v>0</v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 t="s">
        <v>263</v>
      </c>
      <c r="B8" s="24" t="s">
        <v>430</v>
      </c>
      <c r="C8" s="20" t="str">
        <f>IFERROR(VLOOKUP(A8,'Parts List and Volumes'!C7:D199,2,FALSE),"")</f>
        <v>NFAA1620AAF20</v>
      </c>
      <c r="D8" s="39">
        <f>IFERROR(IF(VLOOKUP($A8,'Parts List and Volumes'!$C7:$F266,3,FALSE)=0,"",VLOOKUP(A8,'Parts List and Volumes'!C7:F266,3,FALSE)),"")</f>
        <v>4.76</v>
      </c>
      <c r="E8" s="39" t="str">
        <f>IFERROR(IF(VLOOKUP($A8,'Parts List and Volumes'!$C7:$F266,4,FALSE)=0,"",VLOOKUP(B8,'Parts List and Volumes'!D7:G266,3,FALSE)),"")</f>
        <v/>
      </c>
      <c r="F8" s="26">
        <v>38.119999999999997</v>
      </c>
      <c r="G8" s="40">
        <f>IFERROR(VLOOKUP($A8,'Parts List and Volumes'!$C$2:$W199,5,FALSE),"")</f>
        <v>1036</v>
      </c>
      <c r="H8" s="41">
        <f>IFERROR(VLOOKUP($A8,'Parts List and Volumes'!$C$2:$W199,6,FALSE),"")</f>
        <v>1014</v>
      </c>
      <c r="I8" s="42">
        <f t="shared" si="0"/>
        <v>2.9067538126361656E-3</v>
      </c>
      <c r="J8" s="43">
        <f t="shared" si="0"/>
        <v>2.8450273803214978E-3</v>
      </c>
      <c r="K8" s="58">
        <f>IFERROR(VLOOKUP($A8,'Parts List and Volumes'!$C$2:$W199,7,FALSE),"")</f>
        <v>1014</v>
      </c>
      <c r="L8" s="45">
        <f>IFERROR(VLOOKUP($A8,'Parts List and Volumes'!$C$2:$W199,8,FALSE),"")</f>
        <v>1014</v>
      </c>
      <c r="M8" s="46">
        <f t="shared" si="1"/>
        <v>2.8450273803214978E-3</v>
      </c>
      <c r="N8" s="47">
        <f t="shared" si="1"/>
        <v>2.8450273803214978E-3</v>
      </c>
      <c r="O8" s="41">
        <f>IFERROR(VLOOKUP($A8,'Parts List and Volumes'!$C$2:$W199,9,FALSE),"")</f>
        <v>0</v>
      </c>
      <c r="P8" s="41">
        <f>IFERROR(VLOOKUP($A8,'Parts List and Volumes'!$C$2:$W199,10,FALSE),"")</f>
        <v>24773</v>
      </c>
      <c r="Q8" s="48">
        <f t="shared" si="2"/>
        <v>0</v>
      </c>
      <c r="R8" s="43">
        <f t="shared" si="2"/>
        <v>6.9506768533239116E-2</v>
      </c>
      <c r="S8" s="44">
        <f>IFERROR(VLOOKUP($A8,'Parts List and Volumes'!$C$2:$W199,11,FALSE),"")</f>
        <v>0</v>
      </c>
      <c r="T8" s="45">
        <f>IFERROR(VLOOKUP($A8,'Parts List and Volumes'!$C$2:$W199,12,FALSE),"")</f>
        <v>24773</v>
      </c>
      <c r="U8" s="46">
        <f t="shared" si="3"/>
        <v>0</v>
      </c>
      <c r="V8" s="47">
        <f t="shared" si="3"/>
        <v>6.9506768533239116E-2</v>
      </c>
      <c r="W8" s="40">
        <f>IFERROR(VLOOKUP($A8,'Parts List and Volumes'!$C$2:$W199,13,FALSE),"")</f>
        <v>0</v>
      </c>
      <c r="X8" s="41">
        <f>IFERROR(VLOOKUP($A8,'Parts List and Volumes'!$C$2:$W199,14,FALSE),"")</f>
        <v>0</v>
      </c>
      <c r="Y8" s="48">
        <f t="shared" si="4"/>
        <v>0</v>
      </c>
      <c r="Z8" s="43">
        <f t="shared" si="4"/>
        <v>0</v>
      </c>
      <c r="AA8" s="49">
        <f>IFERROR(VLOOKUP($A8,'Parts List and Volumes'!$C$2:$W199,15,FALSE),"")</f>
        <v>0</v>
      </c>
      <c r="AB8" s="50">
        <f>IFERROR(VLOOKUP($A8,'Parts List and Volumes'!$C$2:$W199,16,FALSE),"")</f>
        <v>0</v>
      </c>
      <c r="AC8" s="51">
        <f t="shared" si="5"/>
        <v>0</v>
      </c>
      <c r="AD8" s="52">
        <f t="shared" si="5"/>
        <v>0</v>
      </c>
      <c r="AE8" s="40">
        <f>IFERROR(VLOOKUP($A8,'Parts List and Volumes'!$C$2:$W199,17,FALSE),"")</f>
        <v>0</v>
      </c>
      <c r="AF8" s="41">
        <f>IFERROR(VLOOKUP($A8,'Parts List and Volumes'!$C$2:$W199,18,FALSE),"")</f>
        <v>0</v>
      </c>
      <c r="AG8" s="48">
        <f t="shared" si="6"/>
        <v>0</v>
      </c>
      <c r="AH8" s="43">
        <f t="shared" si="6"/>
        <v>0</v>
      </c>
      <c r="AI8" s="49">
        <f>IFERROR(VLOOKUP($A8,'Parts List and Volumes'!$C$2:$W199,19,FALSE),"")</f>
        <v>0</v>
      </c>
      <c r="AJ8" s="50">
        <f>IFERROR(VLOOKUP($A8,'Parts List and Volumes'!$C$2:$W199,20,FALSE),"")</f>
        <v>0</v>
      </c>
      <c r="AK8" s="51">
        <f t="shared" si="7"/>
        <v>0</v>
      </c>
      <c r="AL8" s="52">
        <f t="shared" si="7"/>
        <v>0</v>
      </c>
      <c r="AM8" s="40">
        <f>IFERROR(VLOOKUP($A8,'Parts List and Volumes'!$C$2:$W199,21,FALSE),"")</f>
        <v>0</v>
      </c>
      <c r="AN8" s="41" t="str">
        <f>IFERROR(VLOOKUP($A8,'Parts List and Volumes'!$C$2:$W199,22,FALSE),"")</f>
        <v/>
      </c>
      <c r="AO8" s="48">
        <f t="shared" si="8"/>
        <v>0</v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 t="s">
        <v>265</v>
      </c>
      <c r="B9" s="24" t="s">
        <v>430</v>
      </c>
      <c r="C9" s="20" t="str">
        <f>IFERROR(VLOOKUP(A9,'Parts List and Volumes'!C8:D200,2,FALSE),"")</f>
        <v>NFAA1621AAF20</v>
      </c>
      <c r="D9" s="39">
        <f>IFERROR(IF(VLOOKUP($A9,'Parts List and Volumes'!$C8:$F266,3,FALSE)=0,"",VLOOKUP(A9,'Parts List and Volumes'!C8:F266,3,FALSE)),"")</f>
        <v>4.76</v>
      </c>
      <c r="E9" s="39" t="str">
        <f>IFERROR(IF(VLOOKUP($A9,'Parts List and Volumes'!$C8:$F266,4,FALSE)=0,"",VLOOKUP(B9,'Parts List and Volumes'!D8:G266,3,FALSE)),"")</f>
        <v/>
      </c>
      <c r="F9" s="26">
        <v>33.04</v>
      </c>
      <c r="G9" s="40">
        <f>IFERROR(VLOOKUP($A9,'Parts List and Volumes'!$C$2:$W200,5,FALSE),"")</f>
        <v>1036</v>
      </c>
      <c r="H9" s="41">
        <f>IFERROR(VLOOKUP($A9,'Parts List and Volumes'!$C$2:$W200,6,FALSE),"")</f>
        <v>1014</v>
      </c>
      <c r="I9" s="42">
        <f t="shared" si="0"/>
        <v>2.5193899782135079E-3</v>
      </c>
      <c r="J9" s="43">
        <f t="shared" si="0"/>
        <v>2.465889418830595E-3</v>
      </c>
      <c r="K9" s="58">
        <f>IFERROR(VLOOKUP($A9,'Parts List and Volumes'!$C$2:$W200,7,FALSE),"")</f>
        <v>1014</v>
      </c>
      <c r="L9" s="45">
        <f>IFERROR(VLOOKUP($A9,'Parts List and Volumes'!$C$2:$W200,8,FALSE),"")</f>
        <v>1014</v>
      </c>
      <c r="M9" s="46">
        <f t="shared" si="1"/>
        <v>2.465889418830595E-3</v>
      </c>
      <c r="N9" s="47">
        <f t="shared" si="1"/>
        <v>2.465889418830595E-3</v>
      </c>
      <c r="O9" s="41">
        <f>IFERROR(VLOOKUP($A9,'Parts List and Volumes'!$C$2:$W200,9,FALSE),"")</f>
        <v>0</v>
      </c>
      <c r="P9" s="41">
        <f>IFERROR(VLOOKUP($A9,'Parts List and Volumes'!$C$2:$W200,10,FALSE),"")</f>
        <v>24773</v>
      </c>
      <c r="Q9" s="48">
        <f t="shared" si="2"/>
        <v>0</v>
      </c>
      <c r="R9" s="43">
        <f t="shared" si="2"/>
        <v>6.0244061708767588E-2</v>
      </c>
      <c r="S9" s="44">
        <f>IFERROR(VLOOKUP($A9,'Parts List and Volumes'!$C$2:$W200,11,FALSE),"")</f>
        <v>0</v>
      </c>
      <c r="T9" s="45">
        <f>IFERROR(VLOOKUP($A9,'Parts List and Volumes'!$C$2:$W200,12,FALSE),"")</f>
        <v>24773</v>
      </c>
      <c r="U9" s="46">
        <f t="shared" si="3"/>
        <v>0</v>
      </c>
      <c r="V9" s="47">
        <f t="shared" si="3"/>
        <v>6.0244061708767588E-2</v>
      </c>
      <c r="W9" s="40">
        <f>IFERROR(VLOOKUP($A9,'Parts List and Volumes'!$C$2:$W200,13,FALSE),"")</f>
        <v>0</v>
      </c>
      <c r="X9" s="41">
        <f>IFERROR(VLOOKUP($A9,'Parts List and Volumes'!$C$2:$W200,14,FALSE),"")</f>
        <v>0</v>
      </c>
      <c r="Y9" s="48">
        <f t="shared" si="4"/>
        <v>0</v>
      </c>
      <c r="Z9" s="43">
        <f t="shared" si="4"/>
        <v>0</v>
      </c>
      <c r="AA9" s="49">
        <f>IFERROR(VLOOKUP($A9,'Parts List and Volumes'!$C$2:$W200,15,FALSE),"")</f>
        <v>0</v>
      </c>
      <c r="AB9" s="50">
        <f>IFERROR(VLOOKUP($A9,'Parts List and Volumes'!$C$2:$W200,16,FALSE),"")</f>
        <v>0</v>
      </c>
      <c r="AC9" s="51">
        <f t="shared" si="5"/>
        <v>0</v>
      </c>
      <c r="AD9" s="52">
        <f t="shared" si="5"/>
        <v>0</v>
      </c>
      <c r="AE9" s="40">
        <f>IFERROR(VLOOKUP($A9,'Parts List and Volumes'!$C$2:$W200,17,FALSE),"")</f>
        <v>0</v>
      </c>
      <c r="AF9" s="41">
        <f>IFERROR(VLOOKUP($A9,'Parts List and Volumes'!$C$2:$W200,18,FALSE),"")</f>
        <v>0</v>
      </c>
      <c r="AG9" s="48">
        <f t="shared" si="6"/>
        <v>0</v>
      </c>
      <c r="AH9" s="43">
        <f t="shared" si="6"/>
        <v>0</v>
      </c>
      <c r="AI9" s="49">
        <f>IFERROR(VLOOKUP($A9,'Parts List and Volumes'!$C$2:$W200,19,FALSE),"")</f>
        <v>0</v>
      </c>
      <c r="AJ9" s="50">
        <f>IFERROR(VLOOKUP($A9,'Parts List and Volumes'!$C$2:$W200,20,FALSE),"")</f>
        <v>0</v>
      </c>
      <c r="AK9" s="51">
        <f t="shared" si="7"/>
        <v>0</v>
      </c>
      <c r="AL9" s="52">
        <f t="shared" si="7"/>
        <v>0</v>
      </c>
      <c r="AM9" s="40">
        <f>IFERROR(VLOOKUP($A9,'Parts List and Volumes'!$C$2:$W200,21,FALSE),"")</f>
        <v>0</v>
      </c>
      <c r="AN9" s="41" t="str">
        <f>IFERROR(VLOOKUP($A9,'Parts List and Volumes'!$C$2:$W200,22,FALSE),"")</f>
        <v/>
      </c>
      <c r="AO9" s="48">
        <f t="shared" si="8"/>
        <v>0</v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0.9964035035035036</v>
      </c>
      <c r="J52" s="53">
        <f>SUM(J3:J50)</f>
        <v>0.98433051728198806</v>
      </c>
      <c r="M52" s="53">
        <f>SUM(M3:M50)</f>
        <v>0.98433051728198806</v>
      </c>
      <c r="N52" s="53">
        <f>SUM(N3:N50)</f>
        <v>0.98433051728198806</v>
      </c>
      <c r="Q52" s="53">
        <f>SUM(Q3:Q50)</f>
        <v>0</v>
      </c>
      <c r="R52" s="53">
        <f>SUM(R3:R50)</f>
        <v>0.70393982070305605</v>
      </c>
      <c r="U52" s="53">
        <f>SUM(U3:U50)</f>
        <v>0</v>
      </c>
      <c r="V52" s="53">
        <f>SUM(V3:V50)</f>
        <v>0.23678250161926631</v>
      </c>
      <c r="Y52" s="53">
        <f>SUM(Y3:Y50)</f>
        <v>0</v>
      </c>
      <c r="Z52" s="53">
        <f>SUM(Z3:Z50)</f>
        <v>0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A3 D3:F50">
    <cfRule type="expression" dxfId="1916" priority="108" stopIfTrue="1">
      <formula>#REF!="DLN"</formula>
    </cfRule>
  </conditionalFormatting>
  <conditionalFormatting sqref="F3:F7 A3 D3:E50">
    <cfRule type="expression" dxfId="1915" priority="107" stopIfTrue="1">
      <formula>#REF!="DLN"</formula>
    </cfRule>
  </conditionalFormatting>
  <conditionalFormatting sqref="L3:L50">
    <cfRule type="expression" dxfId="1914" priority="106" stopIfTrue="1">
      <formula>#REF!="DLN"</formula>
    </cfRule>
  </conditionalFormatting>
  <conditionalFormatting sqref="L3:L50">
    <cfRule type="expression" dxfId="1913" priority="105" stopIfTrue="1">
      <formula>#REF!="DLN"</formula>
    </cfRule>
  </conditionalFormatting>
  <conditionalFormatting sqref="T3:T50">
    <cfRule type="expression" dxfId="1912" priority="104" stopIfTrue="1">
      <formula>#REF!="DLN"</formula>
    </cfRule>
  </conditionalFormatting>
  <conditionalFormatting sqref="T3:T50">
    <cfRule type="expression" dxfId="1911" priority="103" stopIfTrue="1">
      <formula>#REF!="DLN"</formula>
    </cfRule>
  </conditionalFormatting>
  <conditionalFormatting sqref="X3:X50">
    <cfRule type="expression" dxfId="1910" priority="102" stopIfTrue="1">
      <formula>#REF!="DLN"</formula>
    </cfRule>
  </conditionalFormatting>
  <conditionalFormatting sqref="X3:X50">
    <cfRule type="expression" dxfId="1909" priority="101" stopIfTrue="1">
      <formula>#REF!="DLN"</formula>
    </cfRule>
  </conditionalFormatting>
  <conditionalFormatting sqref="G2">
    <cfRule type="expression" dxfId="1908" priority="100" stopIfTrue="1">
      <formula>#REF!="DLN"</formula>
    </cfRule>
  </conditionalFormatting>
  <conditionalFormatting sqref="G2">
    <cfRule type="expression" dxfId="1907" priority="99" stopIfTrue="1">
      <formula>#REF!="DLN"</formula>
    </cfRule>
  </conditionalFormatting>
  <conditionalFormatting sqref="K2">
    <cfRule type="expression" dxfId="1906" priority="98" stopIfTrue="1">
      <formula>#REF!="DLN"</formula>
    </cfRule>
  </conditionalFormatting>
  <conditionalFormatting sqref="K2">
    <cfRule type="expression" dxfId="1905" priority="97" stopIfTrue="1">
      <formula>#REF!="DLN"</formula>
    </cfRule>
  </conditionalFormatting>
  <conditionalFormatting sqref="O2">
    <cfRule type="expression" dxfId="1904" priority="96" stopIfTrue="1">
      <formula>#REF!="DLN"</formula>
    </cfRule>
  </conditionalFormatting>
  <conditionalFormatting sqref="O2">
    <cfRule type="expression" dxfId="1903" priority="95" stopIfTrue="1">
      <formula>#REF!="DLN"</formula>
    </cfRule>
  </conditionalFormatting>
  <conditionalFormatting sqref="S2">
    <cfRule type="expression" dxfId="1902" priority="94" stopIfTrue="1">
      <formula>#REF!="DLN"</formula>
    </cfRule>
  </conditionalFormatting>
  <conditionalFormatting sqref="S2">
    <cfRule type="expression" dxfId="1901" priority="93" stopIfTrue="1">
      <formula>#REF!="DLN"</formula>
    </cfRule>
  </conditionalFormatting>
  <conditionalFormatting sqref="W2">
    <cfRule type="expression" dxfId="1900" priority="92" stopIfTrue="1">
      <formula>#REF!="DLN"</formula>
    </cfRule>
  </conditionalFormatting>
  <conditionalFormatting sqref="W2">
    <cfRule type="expression" dxfId="1899" priority="91" stopIfTrue="1">
      <formula>#REF!="DLN"</formula>
    </cfRule>
  </conditionalFormatting>
  <conditionalFormatting sqref="AF3:AF50">
    <cfRule type="expression" dxfId="1898" priority="43" stopIfTrue="1">
      <formula>#REF!="DLN"</formula>
    </cfRule>
  </conditionalFormatting>
  <conditionalFormatting sqref="W3:W50">
    <cfRule type="expression" dxfId="1897" priority="90" stopIfTrue="1">
      <formula>#REF!="DLN"</formula>
    </cfRule>
  </conditionalFormatting>
  <conditionalFormatting sqref="W3:W50">
    <cfRule type="expression" dxfId="1896" priority="89" stopIfTrue="1">
      <formula>#REF!="DLN"</formula>
    </cfRule>
  </conditionalFormatting>
  <conditionalFormatting sqref="S3:S50">
    <cfRule type="expression" dxfId="1895" priority="88" stopIfTrue="1">
      <formula>#REF!="DLN"</formula>
    </cfRule>
  </conditionalFormatting>
  <conditionalFormatting sqref="S3:S50">
    <cfRule type="expression" dxfId="1894" priority="87" stopIfTrue="1">
      <formula>#REF!="DLN"</formula>
    </cfRule>
  </conditionalFormatting>
  <conditionalFormatting sqref="K3:K50">
    <cfRule type="expression" dxfId="1893" priority="86" stopIfTrue="1">
      <formula>#REF!="DLN"</formula>
    </cfRule>
  </conditionalFormatting>
  <conditionalFormatting sqref="K3:K50">
    <cfRule type="expression" dxfId="1892" priority="85" stopIfTrue="1">
      <formula>#REF!="DLN"</formula>
    </cfRule>
  </conditionalFormatting>
  <conditionalFormatting sqref="AF3:AF50">
    <cfRule type="expression" dxfId="1891" priority="44" stopIfTrue="1">
      <formula>#REF!="DLN"</formula>
    </cfRule>
  </conditionalFormatting>
  <conditionalFormatting sqref="J52">
    <cfRule type="cellIs" dxfId="1890" priority="81" stopIfTrue="1" operator="greaterThanOrEqual">
      <formula>0.801</formula>
    </cfRule>
    <cfRule type="cellIs" dxfId="1889" priority="82" stopIfTrue="1" operator="between">
      <formula>0.61</formula>
      <formula>0.8</formula>
    </cfRule>
    <cfRule type="cellIs" dxfId="1888" priority="83" stopIfTrue="1" operator="between">
      <formula>0</formula>
      <formula>0.6</formula>
    </cfRule>
  </conditionalFormatting>
  <conditionalFormatting sqref="J52">
    <cfRule type="expression" dxfId="1887" priority="84" stopIfTrue="1">
      <formula>#REF!="DLN"</formula>
    </cfRule>
  </conditionalFormatting>
  <conditionalFormatting sqref="I52">
    <cfRule type="cellIs" dxfId="1886" priority="77" stopIfTrue="1" operator="greaterThanOrEqual">
      <formula>0.801</formula>
    </cfRule>
    <cfRule type="cellIs" dxfId="1885" priority="78" stopIfTrue="1" operator="between">
      <formula>0.61</formula>
      <formula>0.8</formula>
    </cfRule>
    <cfRule type="cellIs" dxfId="1884" priority="79" stopIfTrue="1" operator="between">
      <formula>0</formula>
      <formula>0.6</formula>
    </cfRule>
  </conditionalFormatting>
  <conditionalFormatting sqref="I52">
    <cfRule type="expression" dxfId="1883" priority="80" stopIfTrue="1">
      <formula>#REF!="DLN"</formula>
    </cfRule>
  </conditionalFormatting>
  <conditionalFormatting sqref="M52:N52">
    <cfRule type="cellIs" dxfId="1882" priority="73" stopIfTrue="1" operator="greaterThanOrEqual">
      <formula>0.801</formula>
    </cfRule>
    <cfRule type="cellIs" dxfId="1881" priority="74" stopIfTrue="1" operator="between">
      <formula>0.61</formula>
      <formula>0.8</formula>
    </cfRule>
    <cfRule type="cellIs" dxfId="1880" priority="75" stopIfTrue="1" operator="between">
      <formula>0</formula>
      <formula>0.6</formula>
    </cfRule>
  </conditionalFormatting>
  <conditionalFormatting sqref="M52:N52">
    <cfRule type="expression" dxfId="1879" priority="76" stopIfTrue="1">
      <formula>#REF!="DLN"</formula>
    </cfRule>
  </conditionalFormatting>
  <conditionalFormatting sqref="Q52:R52">
    <cfRule type="cellIs" dxfId="1878" priority="69" stopIfTrue="1" operator="greaterThanOrEqual">
      <formula>0.801</formula>
    </cfRule>
    <cfRule type="cellIs" dxfId="1877" priority="70" stopIfTrue="1" operator="between">
      <formula>0.61</formula>
      <formula>0.8</formula>
    </cfRule>
    <cfRule type="cellIs" dxfId="1876" priority="71" stopIfTrue="1" operator="between">
      <formula>0</formula>
      <formula>0.6</formula>
    </cfRule>
  </conditionalFormatting>
  <conditionalFormatting sqref="Q52:R52">
    <cfRule type="expression" dxfId="1875" priority="72" stopIfTrue="1">
      <formula>#REF!="DLN"</formula>
    </cfRule>
  </conditionalFormatting>
  <conditionalFormatting sqref="U52:V52">
    <cfRule type="cellIs" dxfId="1874" priority="65" stopIfTrue="1" operator="greaterThanOrEqual">
      <formula>0.801</formula>
    </cfRule>
    <cfRule type="cellIs" dxfId="1873" priority="66" stopIfTrue="1" operator="between">
      <formula>0.61</formula>
      <formula>0.8</formula>
    </cfRule>
    <cfRule type="cellIs" dxfId="1872" priority="67" stopIfTrue="1" operator="between">
      <formula>0</formula>
      <formula>0.6</formula>
    </cfRule>
  </conditionalFormatting>
  <conditionalFormatting sqref="U52:V52">
    <cfRule type="expression" dxfId="1871" priority="68" stopIfTrue="1">
      <formula>#REF!="DLN"</formula>
    </cfRule>
  </conditionalFormatting>
  <conditionalFormatting sqref="Y52:Z52">
    <cfRule type="cellIs" dxfId="1870" priority="61" stopIfTrue="1" operator="greaterThanOrEqual">
      <formula>0.801</formula>
    </cfRule>
    <cfRule type="cellIs" dxfId="1869" priority="62" stopIfTrue="1" operator="between">
      <formula>0.61</formula>
      <formula>0.8</formula>
    </cfRule>
    <cfRule type="cellIs" dxfId="1868" priority="63" stopIfTrue="1" operator="between">
      <formula>0</formula>
      <formula>0.6</formula>
    </cfRule>
  </conditionalFormatting>
  <conditionalFormatting sqref="Y52:Z52">
    <cfRule type="expression" dxfId="1867" priority="64" stopIfTrue="1">
      <formula>#REF!="DLN"</formula>
    </cfRule>
  </conditionalFormatting>
  <conditionalFormatting sqref="AC52:AD52">
    <cfRule type="cellIs" dxfId="1866" priority="57" stopIfTrue="1" operator="greaterThanOrEqual">
      <formula>0.801</formula>
    </cfRule>
    <cfRule type="cellIs" dxfId="1865" priority="58" stopIfTrue="1" operator="between">
      <formula>0.61</formula>
      <formula>0.8</formula>
    </cfRule>
    <cfRule type="cellIs" dxfId="1864" priority="59" stopIfTrue="1" operator="between">
      <formula>0</formula>
      <formula>0.6</formula>
    </cfRule>
  </conditionalFormatting>
  <conditionalFormatting sqref="AC52:AD52">
    <cfRule type="expression" dxfId="1863" priority="60" stopIfTrue="1">
      <formula>#REF!="DLN"</formula>
    </cfRule>
  </conditionalFormatting>
  <conditionalFormatting sqref="G3:G50">
    <cfRule type="expression" dxfId="1862" priority="55" stopIfTrue="1">
      <formula>#REF!="DLN"</formula>
    </cfRule>
  </conditionalFormatting>
  <conditionalFormatting sqref="G3:G50">
    <cfRule type="expression" dxfId="1861" priority="56" stopIfTrue="1">
      <formula>#REF!="DLN"</formula>
    </cfRule>
  </conditionalFormatting>
  <conditionalFormatting sqref="P3:P50">
    <cfRule type="expression" dxfId="1860" priority="54" stopIfTrue="1">
      <formula>#REF!="DLN"</formula>
    </cfRule>
  </conditionalFormatting>
  <conditionalFormatting sqref="P3:P50">
    <cfRule type="expression" dxfId="1859" priority="53" stopIfTrue="1">
      <formula>#REF!="DLN"</formula>
    </cfRule>
  </conditionalFormatting>
  <conditionalFormatting sqref="O3:O50">
    <cfRule type="expression" dxfId="1858" priority="52" stopIfTrue="1">
      <formula>#REF!="DLN"</formula>
    </cfRule>
  </conditionalFormatting>
  <conditionalFormatting sqref="O3:O50">
    <cfRule type="expression" dxfId="1857" priority="51" stopIfTrue="1">
      <formula>#REF!="DLN"</formula>
    </cfRule>
  </conditionalFormatting>
  <conditionalFormatting sqref="H3:H50">
    <cfRule type="expression" dxfId="1856" priority="50" stopIfTrue="1">
      <formula>#REF!="DLN"</formula>
    </cfRule>
  </conditionalFormatting>
  <conditionalFormatting sqref="H3:H50">
    <cfRule type="expression" dxfId="1855" priority="49" stopIfTrue="1">
      <formula>#REF!="DLN"</formula>
    </cfRule>
  </conditionalFormatting>
  <conditionalFormatting sqref="A4">
    <cfRule type="expression" dxfId="1854" priority="48" stopIfTrue="1">
      <formula>#REF!="DLN"</formula>
    </cfRule>
  </conditionalFormatting>
  <conditionalFormatting sqref="A4">
    <cfRule type="expression" dxfId="1853" priority="47" stopIfTrue="1">
      <formula>#REF!="DLN"</formula>
    </cfRule>
  </conditionalFormatting>
  <conditionalFormatting sqref="A8:A50">
    <cfRule type="expression" dxfId="1852" priority="46" stopIfTrue="1">
      <formula>#REF!="DLN"</formula>
    </cfRule>
  </conditionalFormatting>
  <conditionalFormatting sqref="A8:A50">
    <cfRule type="expression" dxfId="1851" priority="45" stopIfTrue="1">
      <formula>#REF!="DLN"</formula>
    </cfRule>
  </conditionalFormatting>
  <conditionalFormatting sqref="AE2">
    <cfRule type="expression" dxfId="1850" priority="42" stopIfTrue="1">
      <formula>#REF!="DLN"</formula>
    </cfRule>
  </conditionalFormatting>
  <conditionalFormatting sqref="AE2">
    <cfRule type="expression" dxfId="1849" priority="41" stopIfTrue="1">
      <formula>#REF!="DLN"</formula>
    </cfRule>
  </conditionalFormatting>
  <conditionalFormatting sqref="AE3:AE50">
    <cfRule type="expression" dxfId="1848" priority="40" stopIfTrue="1">
      <formula>#REF!="DLN"</formula>
    </cfRule>
  </conditionalFormatting>
  <conditionalFormatting sqref="AE3:AE50">
    <cfRule type="expression" dxfId="1847" priority="39" stopIfTrue="1">
      <formula>#REF!="DLN"</formula>
    </cfRule>
  </conditionalFormatting>
  <conditionalFormatting sqref="AG52:AH52">
    <cfRule type="cellIs" dxfId="1846" priority="35" stopIfTrue="1" operator="greaterThanOrEqual">
      <formula>0.801</formula>
    </cfRule>
    <cfRule type="cellIs" dxfId="1845" priority="36" stopIfTrue="1" operator="between">
      <formula>0.61</formula>
      <formula>0.8</formula>
    </cfRule>
    <cfRule type="cellIs" dxfId="1844" priority="37" stopIfTrue="1" operator="between">
      <formula>0</formula>
      <formula>0.6</formula>
    </cfRule>
  </conditionalFormatting>
  <conditionalFormatting sqref="AG52:AH52">
    <cfRule type="expression" dxfId="1843" priority="38" stopIfTrue="1">
      <formula>#REF!="DLN"</formula>
    </cfRule>
  </conditionalFormatting>
  <conditionalFormatting sqref="AK52:AL52">
    <cfRule type="cellIs" dxfId="1842" priority="31" stopIfTrue="1" operator="greaterThanOrEqual">
      <formula>0.801</formula>
    </cfRule>
    <cfRule type="cellIs" dxfId="1841" priority="32" stopIfTrue="1" operator="between">
      <formula>0.61</formula>
      <formula>0.8</formula>
    </cfRule>
    <cfRule type="cellIs" dxfId="1840" priority="33" stopIfTrue="1" operator="between">
      <formula>0</formula>
      <formula>0.6</formula>
    </cfRule>
  </conditionalFormatting>
  <conditionalFormatting sqref="AK52:AL52">
    <cfRule type="expression" dxfId="1839" priority="34" stopIfTrue="1">
      <formula>#REF!="DLN"</formula>
    </cfRule>
  </conditionalFormatting>
  <conditionalFormatting sqref="AN3:AN50">
    <cfRule type="expression" dxfId="1838" priority="30" stopIfTrue="1">
      <formula>#REF!="DLN"</formula>
    </cfRule>
  </conditionalFormatting>
  <conditionalFormatting sqref="AN3:AN50">
    <cfRule type="expression" dxfId="1837" priority="29" stopIfTrue="1">
      <formula>#REF!="DLN"</formula>
    </cfRule>
  </conditionalFormatting>
  <conditionalFormatting sqref="AM2">
    <cfRule type="expression" dxfId="1836" priority="28" stopIfTrue="1">
      <formula>#REF!="DLN"</formula>
    </cfRule>
  </conditionalFormatting>
  <conditionalFormatting sqref="AM2">
    <cfRule type="expression" dxfId="1835" priority="27" stopIfTrue="1">
      <formula>#REF!="DLN"</formula>
    </cfRule>
  </conditionalFormatting>
  <conditionalFormatting sqref="AM3:AM50">
    <cfRule type="expression" dxfId="1834" priority="26" stopIfTrue="1">
      <formula>#REF!="DLN"</formula>
    </cfRule>
  </conditionalFormatting>
  <conditionalFormatting sqref="AM3:AM50">
    <cfRule type="expression" dxfId="1833" priority="25" stopIfTrue="1">
      <formula>#REF!="DLN"</formula>
    </cfRule>
  </conditionalFormatting>
  <conditionalFormatting sqref="AO52:AP52">
    <cfRule type="cellIs" dxfId="1832" priority="21" stopIfTrue="1" operator="greaterThanOrEqual">
      <formula>0.801</formula>
    </cfRule>
    <cfRule type="cellIs" dxfId="1831" priority="22" stopIfTrue="1" operator="between">
      <formula>0.61</formula>
      <formula>0.8</formula>
    </cfRule>
    <cfRule type="cellIs" dxfId="1830" priority="23" stopIfTrue="1" operator="between">
      <formula>0</formula>
      <formula>0.6</formula>
    </cfRule>
  </conditionalFormatting>
  <conditionalFormatting sqref="AO52:AP52">
    <cfRule type="expression" dxfId="1829" priority="24" stopIfTrue="1">
      <formula>#REF!="DLN"</formula>
    </cfRule>
  </conditionalFormatting>
  <conditionalFormatting sqref="AS52:AT52">
    <cfRule type="cellIs" dxfId="1828" priority="17" stopIfTrue="1" operator="greaterThanOrEqual">
      <formula>0.801</formula>
    </cfRule>
    <cfRule type="cellIs" dxfId="1827" priority="18" stopIfTrue="1" operator="between">
      <formula>0.61</formula>
      <formula>0.8</formula>
    </cfRule>
    <cfRule type="cellIs" dxfId="1826" priority="19" stopIfTrue="1" operator="between">
      <formula>0</formula>
      <formula>0.6</formula>
    </cfRule>
  </conditionalFormatting>
  <conditionalFormatting sqref="AS52:AT52">
    <cfRule type="expression" dxfId="1825" priority="20" stopIfTrue="1">
      <formula>#REF!="DLN"</formula>
    </cfRule>
  </conditionalFormatting>
  <conditionalFormatting sqref="AV3:AV50">
    <cfRule type="expression" dxfId="1824" priority="16" stopIfTrue="1">
      <formula>#REF!="DLN"</formula>
    </cfRule>
  </conditionalFormatting>
  <conditionalFormatting sqref="AV3:AV50">
    <cfRule type="expression" dxfId="1823" priority="15" stopIfTrue="1">
      <formula>#REF!="DLN"</formula>
    </cfRule>
  </conditionalFormatting>
  <conditionalFormatting sqref="AU2">
    <cfRule type="expression" dxfId="1822" priority="14" stopIfTrue="1">
      <formula>#REF!="DLN"</formula>
    </cfRule>
  </conditionalFormatting>
  <conditionalFormatting sqref="AU2">
    <cfRule type="expression" dxfId="1821" priority="13" stopIfTrue="1">
      <formula>#REF!="DLN"</formula>
    </cfRule>
  </conditionalFormatting>
  <conditionalFormatting sqref="AU3:AU50">
    <cfRule type="expression" dxfId="1820" priority="12" stopIfTrue="1">
      <formula>#REF!="DLN"</formula>
    </cfRule>
  </conditionalFormatting>
  <conditionalFormatting sqref="AU3:AU50">
    <cfRule type="expression" dxfId="1819" priority="11" stopIfTrue="1">
      <formula>#REF!="DLN"</formula>
    </cfRule>
  </conditionalFormatting>
  <conditionalFormatting sqref="AW52:AX52">
    <cfRule type="cellIs" dxfId="1818" priority="7" stopIfTrue="1" operator="greaterThanOrEqual">
      <formula>0.801</formula>
    </cfRule>
    <cfRule type="cellIs" dxfId="1817" priority="8" stopIfTrue="1" operator="between">
      <formula>0.61</formula>
      <formula>0.8</formula>
    </cfRule>
    <cfRule type="cellIs" dxfId="1816" priority="9" stopIfTrue="1" operator="between">
      <formula>0</formula>
      <formula>0.6</formula>
    </cfRule>
  </conditionalFormatting>
  <conditionalFormatting sqref="AW52:AX52">
    <cfRule type="expression" dxfId="1815" priority="10" stopIfTrue="1">
      <formula>#REF!="DLN"</formula>
    </cfRule>
  </conditionalFormatting>
  <conditionalFormatting sqref="A5">
    <cfRule type="expression" dxfId="1814" priority="6" stopIfTrue="1">
      <formula>#REF!="DLN"</formula>
    </cfRule>
  </conditionalFormatting>
  <conditionalFormatting sqref="A5">
    <cfRule type="expression" dxfId="1813" priority="5" stopIfTrue="1">
      <formula>#REF!="DLN"</formula>
    </cfRule>
  </conditionalFormatting>
  <conditionalFormatting sqref="A6">
    <cfRule type="expression" dxfId="1812" priority="4" stopIfTrue="1">
      <formula>#REF!="DLN"</formula>
    </cfRule>
  </conditionalFormatting>
  <conditionalFormatting sqref="A6">
    <cfRule type="expression" dxfId="1811" priority="3" stopIfTrue="1">
      <formula>#REF!="DLN"</formula>
    </cfRule>
  </conditionalFormatting>
  <conditionalFormatting sqref="A7">
    <cfRule type="expression" dxfId="1810" priority="2" stopIfTrue="1">
      <formula>#REF!="DLN"</formula>
    </cfRule>
  </conditionalFormatting>
  <conditionalFormatting sqref="A7">
    <cfRule type="expression" dxfId="1809" priority="1" stopIfTrue="1">
      <formula>#REF!="DLN"</formula>
    </cfRule>
  </conditionalFormatting>
  <dataValidations count="1">
    <dataValidation type="list" allowBlank="1" showInputMessage="1" showErrorMessage="1" sqref="A3:A50" xr:uid="{B69947B0-1D16-44BB-B93B-D704B124BBB4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54372D-5CB7-4018-8363-71F18D7FF3CF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9D31-B010-4925-AA85-598EAAA746B0}">
  <sheetPr codeName="Sheet13"/>
  <dimension ref="A1:AX62"/>
  <sheetViews>
    <sheetView workbookViewId="0">
      <selection activeCell="F3" sqref="F3:F6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146</v>
      </c>
      <c r="B3" s="24" t="s">
        <v>444</v>
      </c>
      <c r="C3" s="20" t="str">
        <f>IFERROR(VLOOKUP(A3,'Parts List and Volumes'!C2:D194,2,FALSE),"")</f>
        <v>NBAA0021CAF20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>
        <v>34.159999999999997</v>
      </c>
      <c r="G3" s="40">
        <f>IFERROR(VLOOKUP($A3,'Parts List and Volumes'!$C$2:$W194,5,FALSE),"")</f>
        <v>243961</v>
      </c>
      <c r="H3" s="41">
        <f>IFERROR(VLOOKUP($A3,'Parts List and Volumes'!$C$2:$W194,6,FALSE),"")</f>
        <v>294304.8</v>
      </c>
      <c r="I3" s="42">
        <f t="shared" ref="I3:J50" si="0">IFERROR((($F3*G3)/FourHeadAssumption),"")</f>
        <v>0.61338601542719184</v>
      </c>
      <c r="J3" s="43">
        <f t="shared" si="0"/>
        <v>0.73996437378555013</v>
      </c>
      <c r="K3" s="44">
        <f>IFERROR(VLOOKUP($A3,'Parts List and Volumes'!$C$2:$W194,7,FALSE),"")</f>
        <v>0</v>
      </c>
      <c r="L3" s="45">
        <f>IFERROR(VLOOKUP($A3,'Parts List and Volumes'!$C$2:$W194,8,FALSE),"")</f>
        <v>268240.8</v>
      </c>
      <c r="M3" s="46">
        <f t="shared" ref="M3:N50" si="1">IFERROR((($F3*K3)/FourHeadAssumption),"")</f>
        <v>0</v>
      </c>
      <c r="N3" s="47">
        <f t="shared" si="1"/>
        <v>0.67443220632397094</v>
      </c>
      <c r="O3" s="41">
        <f>IFERROR(VLOOKUP($A3,'Parts List and Volumes'!$C$2:$W194,9,FALSE),"")</f>
        <v>0</v>
      </c>
      <c r="P3" s="41">
        <f>IFERROR(VLOOKUP($A3,'Parts List and Volumes'!$C$2:$W194,10,FALSE),"")</f>
        <v>237000</v>
      </c>
      <c r="Q3" s="48">
        <f t="shared" ref="Q3:R50" si="2">IFERROR((($F3*O3)/FourHeadAssumption),"")</f>
        <v>0</v>
      </c>
      <c r="R3" s="43">
        <f t="shared" si="2"/>
        <v>0.59588411941353114</v>
      </c>
      <c r="S3" s="44">
        <f>IFERROR(VLOOKUP($A3,'Parts List and Volumes'!$C$2:$W194,11,FALSE),"")</f>
        <v>0</v>
      </c>
      <c r="T3" s="45">
        <f>IFERROR(VLOOKUP($A3,'Parts List and Volumes'!$C$2:$W194,12,FALSE),"")</f>
        <v>195441.6</v>
      </c>
      <c r="U3" s="46">
        <f t="shared" ref="U3:V50" si="3">IFERROR((($F3*S3)/FourHeadAssumption),"")</f>
        <v>0</v>
      </c>
      <c r="V3" s="47">
        <f t="shared" si="3"/>
        <v>0.49139470764882531</v>
      </c>
      <c r="W3" s="40">
        <f>IFERROR(VLOOKUP($A3,'Parts List and Volumes'!$C$2:$W194,13,FALSE),"")</f>
        <v>0</v>
      </c>
      <c r="X3" s="41">
        <f>IFERROR(VLOOKUP($A3,'Parts List and Volumes'!$C$2:$W194,14,FALSE),"")</f>
        <v>40497.599999999999</v>
      </c>
      <c r="Y3" s="48">
        <f t="shared" ref="Y3:Z50" si="4">IFERROR((($F3*W3)/FourHeadAssumption),"")</f>
        <v>0</v>
      </c>
      <c r="Z3" s="43">
        <f t="shared" si="4"/>
        <v>0.10182226461755872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 t="s">
        <v>150</v>
      </c>
      <c r="B4" s="24" t="s">
        <v>444</v>
      </c>
      <c r="C4" s="20" t="str">
        <f>IFERROR(VLOOKUP(A4,'Parts List and Volumes'!C3:D195,2,FALSE),"")</f>
        <v>NBAA0023BAF20</v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>
        <v>22.39</v>
      </c>
      <c r="G4" s="40">
        <f>IFERROR(VLOOKUP($A4,'Parts List and Volumes'!$C$2:$W195,5,FALSE),"")</f>
        <v>20500</v>
      </c>
      <c r="H4" s="41">
        <f>IFERROR(VLOOKUP($A4,'Parts List and Volumes'!$C$2:$W195,6,FALSE),"")</f>
        <v>38029.688611576908</v>
      </c>
      <c r="I4" s="42">
        <f t="shared" si="0"/>
        <v>3.3783415768709885E-2</v>
      </c>
      <c r="J4" s="43">
        <f t="shared" si="0"/>
        <v>6.2671843020462151E-2</v>
      </c>
      <c r="K4" s="44">
        <f>IFERROR(VLOOKUP($A4,'Parts List and Volumes'!$C$2:$W195,7,FALSE),"")</f>
        <v>0</v>
      </c>
      <c r="L4" s="45">
        <f>IFERROR(VLOOKUP($A4,'Parts List and Volumes'!$C$2:$W195,8,FALSE),"")</f>
        <v>34661.731976237832</v>
      </c>
      <c r="M4" s="46">
        <f t="shared" si="1"/>
        <v>0</v>
      </c>
      <c r="N4" s="47">
        <f t="shared" si="1"/>
        <v>5.7121546469113604E-2</v>
      </c>
      <c r="O4" s="41">
        <f>IFERROR(VLOOKUP($A4,'Parts List and Volumes'!$C$2:$W195,9,FALSE),"")</f>
        <v>0</v>
      </c>
      <c r="P4" s="41">
        <f>IFERROR(VLOOKUP($A4,'Parts List and Volumes'!$C$2:$W195,10,FALSE),"")</f>
        <v>30624.835887636655</v>
      </c>
      <c r="Q4" s="48">
        <f t="shared" si="2"/>
        <v>0</v>
      </c>
      <c r="R4" s="43">
        <f t="shared" si="2"/>
        <v>5.0468856762953006E-2</v>
      </c>
      <c r="S4" s="44">
        <f>IFERROR(VLOOKUP($A4,'Parts List and Volumes'!$C$2:$W195,11,FALSE),"")</f>
        <v>0</v>
      </c>
      <c r="T4" s="45">
        <f>IFERROR(VLOOKUP($A4,'Parts List and Volumes'!$C$2:$W195,12,FALSE),"")</f>
        <v>25254.712766316996</v>
      </c>
      <c r="U4" s="46">
        <f t="shared" si="3"/>
        <v>0</v>
      </c>
      <c r="V4" s="47">
        <f t="shared" si="3"/>
        <v>4.1619046902625974E-2</v>
      </c>
      <c r="W4" s="40">
        <f>IFERROR(VLOOKUP($A4,'Parts List and Volumes'!$C$2:$W195,13,FALSE),"")</f>
        <v>0</v>
      </c>
      <c r="X4" s="41">
        <f>IFERROR(VLOOKUP($A4,'Parts List and Volumes'!$C$2:$W195,14,FALSE),"")</f>
        <v>5233.0479065111986</v>
      </c>
      <c r="Y4" s="48">
        <f t="shared" si="4"/>
        <v>0</v>
      </c>
      <c r="Z4" s="43">
        <f t="shared" si="4"/>
        <v>8.6239138128412045E-3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 t="s">
        <v>152</v>
      </c>
      <c r="B5" s="24" t="s">
        <v>444</v>
      </c>
      <c r="C5" s="20" t="str">
        <f>IFERROR(VLOOKUP(A5,'Parts List and Volumes'!C4:D196,2,FALSE),"")</f>
        <v>NBAA0024BAF20</v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>
        <v>37.6</v>
      </c>
      <c r="G5" s="40">
        <f>IFERROR(VLOOKUP($A5,'Parts List and Volumes'!$C$2:$W196,5,FALSE),"")</f>
        <v>20631</v>
      </c>
      <c r="H5" s="41">
        <f>IFERROR(VLOOKUP($A5,'Parts List and Volumes'!$C$2:$W196,6,FALSE),"")</f>
        <v>38029.688611576908</v>
      </c>
      <c r="I5" s="42">
        <f t="shared" si="0"/>
        <v>5.7095742801625153E-2</v>
      </c>
      <c r="J5" s="43">
        <f t="shared" si="0"/>
        <v>0.10524614995843577</v>
      </c>
      <c r="K5" s="44">
        <f>IFERROR(VLOOKUP($A5,'Parts List and Volumes'!$C$2:$W196,7,FALSE),"")</f>
        <v>0</v>
      </c>
      <c r="L5" s="45">
        <f>IFERROR(VLOOKUP($A5,'Parts List and Volumes'!$C$2:$W196,8,FALSE),"")</f>
        <v>34661.731976237832</v>
      </c>
      <c r="M5" s="46">
        <f t="shared" si="1"/>
        <v>0</v>
      </c>
      <c r="N5" s="47">
        <f t="shared" si="1"/>
        <v>9.5925419706952716E-2</v>
      </c>
      <c r="O5" s="41">
        <f>IFERROR(VLOOKUP($A5,'Parts List and Volumes'!$C$2:$W196,9,FALSE),"")</f>
        <v>0</v>
      </c>
      <c r="P5" s="41">
        <f>IFERROR(VLOOKUP($A5,'Parts List and Volumes'!$C$2:$W196,10,FALSE),"")</f>
        <v>30624.835887636655</v>
      </c>
      <c r="Q5" s="48">
        <f t="shared" si="2"/>
        <v>0</v>
      </c>
      <c r="R5" s="43">
        <f t="shared" si="2"/>
        <v>8.4753417341984508E-2</v>
      </c>
      <c r="S5" s="44">
        <f>IFERROR(VLOOKUP($A5,'Parts List and Volumes'!$C$2:$W196,11,FALSE),"")</f>
        <v>0</v>
      </c>
      <c r="T5" s="45">
        <f>IFERROR(VLOOKUP($A5,'Parts List and Volumes'!$C$2:$W196,12,FALSE),"")</f>
        <v>25254.712766316996</v>
      </c>
      <c r="U5" s="46">
        <f t="shared" si="3"/>
        <v>0</v>
      </c>
      <c r="V5" s="47">
        <f t="shared" si="3"/>
        <v>6.9891744686857368E-2</v>
      </c>
      <c r="W5" s="40">
        <f>IFERROR(VLOOKUP($A5,'Parts List and Volumes'!$C$2:$W196,13,FALSE),"")</f>
        <v>0</v>
      </c>
      <c r="X5" s="41">
        <f>IFERROR(VLOOKUP($A5,'Parts List and Volumes'!$C$2:$W196,14,FALSE),"")</f>
        <v>5233.0479065111986</v>
      </c>
      <c r="Y5" s="48">
        <f t="shared" si="4"/>
        <v>0</v>
      </c>
      <c r="Z5" s="43">
        <f t="shared" si="4"/>
        <v>1.4482320650416672E-2</v>
      </c>
      <c r="AA5" s="49">
        <f>IFERROR(VLOOKUP($A5,'Parts List and Volumes'!$C$2:$W196,15,FALSE),"")</f>
        <v>0</v>
      </c>
      <c r="AB5" s="50">
        <f>IFERROR(VLOOKUP($A5,'Parts List and Volumes'!$C$2:$W196,16,FALSE),"")</f>
        <v>0</v>
      </c>
      <c r="AC5" s="51">
        <f t="shared" si="5"/>
        <v>0</v>
      </c>
      <c r="AD5" s="52">
        <f t="shared" si="5"/>
        <v>0</v>
      </c>
      <c r="AE5" s="40">
        <f>IFERROR(VLOOKUP($A5,'Parts List and Volumes'!$C$2:$W196,17,FALSE),"")</f>
        <v>0</v>
      </c>
      <c r="AF5" s="41">
        <f>IFERROR(VLOOKUP($A5,'Parts List and Volumes'!$C$2:$W196,18,FALSE),"")</f>
        <v>0</v>
      </c>
      <c r="AG5" s="48">
        <f t="shared" si="6"/>
        <v>0</v>
      </c>
      <c r="AH5" s="43">
        <f t="shared" si="6"/>
        <v>0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 t="s">
        <v>148</v>
      </c>
      <c r="B6" s="24" t="s">
        <v>444</v>
      </c>
      <c r="C6" s="20" t="str">
        <f>IFERROR(VLOOKUP(A6,'Parts List and Volumes'!C5:D197,2,FALSE),"")</f>
        <v>NBAA0022BAF20</v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>
        <v>31.22</v>
      </c>
      <c r="G6" s="40">
        <f>IFERROR(VLOOKUP($A6,'Parts List and Volumes'!$C$2:$W197,5,FALSE),"")</f>
        <v>244122</v>
      </c>
      <c r="H6" s="41">
        <f>IFERROR(VLOOKUP($A6,'Parts List and Volumes'!$C$2:$W197,6,FALSE),"")</f>
        <v>294304.8</v>
      </c>
      <c r="I6" s="42">
        <f t="shared" si="0"/>
        <v>0.56096455573220283</v>
      </c>
      <c r="J6" s="43">
        <f t="shared" si="0"/>
        <v>0.67627891538597407</v>
      </c>
      <c r="K6" s="58">
        <f>IFERROR(VLOOKUP($A6,'Parts List and Volumes'!$C$2:$W197,7,FALSE),"")</f>
        <v>0</v>
      </c>
      <c r="L6" s="45">
        <f>IFERROR(VLOOKUP($A6,'Parts List and Volumes'!$C$2:$W197,8,FALSE),"")</f>
        <v>268240.8</v>
      </c>
      <c r="M6" s="46">
        <f t="shared" si="1"/>
        <v>0</v>
      </c>
      <c r="N6" s="47">
        <f t="shared" si="1"/>
        <v>0.61638681151739971</v>
      </c>
      <c r="O6" s="41">
        <f>IFERROR(VLOOKUP($A6,'Parts List and Volumes'!$C$2:$W197,9,FALSE),"")</f>
        <v>0</v>
      </c>
      <c r="P6" s="41">
        <f>IFERROR(VLOOKUP($A6,'Parts List and Volumes'!$C$2:$W197,10,FALSE),"")</f>
        <v>237000</v>
      </c>
      <c r="Q6" s="48">
        <f t="shared" si="2"/>
        <v>0</v>
      </c>
      <c r="R6" s="43">
        <f t="shared" si="2"/>
        <v>0.54459901077548134</v>
      </c>
      <c r="S6" s="44">
        <f>IFERROR(VLOOKUP($A6,'Parts List and Volumes'!$C$2:$W197,11,FALSE),"")</f>
        <v>0</v>
      </c>
      <c r="T6" s="45">
        <f>IFERROR(VLOOKUP($A6,'Parts List and Volumes'!$C$2:$W197,12,FALSE),"")</f>
        <v>195441.6</v>
      </c>
      <c r="U6" s="46">
        <f t="shared" si="3"/>
        <v>0</v>
      </c>
      <c r="V6" s="47">
        <f t="shared" si="3"/>
        <v>0.4491025401872461</v>
      </c>
      <c r="W6" s="40">
        <f>IFERROR(VLOOKUP($A6,'Parts List and Volumes'!$C$2:$W197,13,FALSE),"")</f>
        <v>0</v>
      </c>
      <c r="X6" s="41">
        <f>IFERROR(VLOOKUP($A6,'Parts List and Volumes'!$C$2:$W197,14,FALSE),"")</f>
        <v>40497.599999999999</v>
      </c>
      <c r="Y6" s="48">
        <f t="shared" si="4"/>
        <v>0</v>
      </c>
      <c r="Z6" s="43">
        <f t="shared" si="4"/>
        <v>9.3058872990637698E-2</v>
      </c>
      <c r="AA6" s="49">
        <f>IFERROR(VLOOKUP($A6,'Parts List and Volumes'!$C$2:$W197,15,FALSE),"")</f>
        <v>0</v>
      </c>
      <c r="AB6" s="50">
        <f>IFERROR(VLOOKUP($A6,'Parts List and Volumes'!$C$2:$W197,16,FALSE),"")</f>
        <v>0</v>
      </c>
      <c r="AC6" s="51">
        <f t="shared" si="5"/>
        <v>0</v>
      </c>
      <c r="AD6" s="52">
        <f t="shared" si="5"/>
        <v>0</v>
      </c>
      <c r="AE6" s="40">
        <f>IFERROR(VLOOKUP($A6,'Parts List and Volumes'!$C$2:$W197,17,FALSE),"")</f>
        <v>0</v>
      </c>
      <c r="AF6" s="41">
        <f>IFERROR(VLOOKUP($A6,'Parts List and Volumes'!$C$2:$W197,18,FALSE),"")</f>
        <v>0</v>
      </c>
      <c r="AG6" s="48">
        <f t="shared" si="6"/>
        <v>0</v>
      </c>
      <c r="AH6" s="43">
        <f t="shared" si="6"/>
        <v>0</v>
      </c>
      <c r="AI6" s="49">
        <f>IFERROR(VLOOKUP($A6,'Parts List and Volumes'!$C$2:$W197,19,FALSE),"")</f>
        <v>0</v>
      </c>
      <c r="AJ6" s="50">
        <f>IFERROR(VLOOKUP($A6,'Parts List and Volumes'!$C$2:$W197,20,FALSE),"")</f>
        <v>0</v>
      </c>
      <c r="AK6" s="51">
        <f t="shared" si="7"/>
        <v>0</v>
      </c>
      <c r="AL6" s="52">
        <f t="shared" si="7"/>
        <v>0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8">
        <f t="shared" si="8"/>
        <v>0</v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1.2652297297297297</v>
      </c>
      <c r="J52" s="53">
        <f>SUM(J3:J50)</f>
        <v>1.5841612821504221</v>
      </c>
      <c r="M52" s="53">
        <f>SUM(M3:M50)</f>
        <v>0</v>
      </c>
      <c r="N52" s="53">
        <f>SUM(N3:N50)</f>
        <v>1.443865984017437</v>
      </c>
      <c r="Q52" s="53">
        <f>SUM(Q3:Q50)</f>
        <v>0</v>
      </c>
      <c r="R52" s="53">
        <f>SUM(R3:R50)</f>
        <v>1.27570540429395</v>
      </c>
      <c r="U52" s="53">
        <f>SUM(U3:U50)</f>
        <v>0</v>
      </c>
      <c r="V52" s="53">
        <f>SUM(V3:V50)</f>
        <v>1.0520080394255547</v>
      </c>
      <c r="Y52" s="53">
        <f>SUM(Y3:Y50)</f>
        <v>0</v>
      </c>
      <c r="Z52" s="53">
        <f>SUM(Z3:Z50)</f>
        <v>0.2179873720714543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7:F50 D3:E6">
    <cfRule type="expression" dxfId="1319" priority="118" stopIfTrue="1">
      <formula>#REF!="DLN"</formula>
    </cfRule>
  </conditionalFormatting>
  <conditionalFormatting sqref="F7 D3:E50">
    <cfRule type="expression" dxfId="1318" priority="117" stopIfTrue="1">
      <formula>#REF!="DLN"</formula>
    </cfRule>
  </conditionalFormatting>
  <conditionalFormatting sqref="L3:L50">
    <cfRule type="expression" dxfId="1317" priority="116" stopIfTrue="1">
      <formula>#REF!="DLN"</formula>
    </cfRule>
  </conditionalFormatting>
  <conditionalFormatting sqref="L3:L50">
    <cfRule type="expression" dxfId="1316" priority="115" stopIfTrue="1">
      <formula>#REF!="DLN"</formula>
    </cfRule>
  </conditionalFormatting>
  <conditionalFormatting sqref="T3:T50">
    <cfRule type="expression" dxfId="1315" priority="114" stopIfTrue="1">
      <formula>#REF!="DLN"</formula>
    </cfRule>
  </conditionalFormatting>
  <conditionalFormatting sqref="T3:T50">
    <cfRule type="expression" dxfId="1314" priority="113" stopIfTrue="1">
      <formula>#REF!="DLN"</formula>
    </cfRule>
  </conditionalFormatting>
  <conditionalFormatting sqref="X3:X50">
    <cfRule type="expression" dxfId="1313" priority="112" stopIfTrue="1">
      <formula>#REF!="DLN"</formula>
    </cfRule>
  </conditionalFormatting>
  <conditionalFormatting sqref="X3:X50">
    <cfRule type="expression" dxfId="1312" priority="111" stopIfTrue="1">
      <formula>#REF!="DLN"</formula>
    </cfRule>
  </conditionalFormatting>
  <conditionalFormatting sqref="G2">
    <cfRule type="expression" dxfId="1311" priority="110" stopIfTrue="1">
      <formula>#REF!="DLN"</formula>
    </cfRule>
  </conditionalFormatting>
  <conditionalFormatting sqref="G2">
    <cfRule type="expression" dxfId="1310" priority="109" stopIfTrue="1">
      <formula>#REF!="DLN"</formula>
    </cfRule>
  </conditionalFormatting>
  <conditionalFormatting sqref="K2">
    <cfRule type="expression" dxfId="1309" priority="108" stopIfTrue="1">
      <formula>#REF!="DLN"</formula>
    </cfRule>
  </conditionalFormatting>
  <conditionalFormatting sqref="K2">
    <cfRule type="expression" dxfId="1308" priority="107" stopIfTrue="1">
      <formula>#REF!="DLN"</formula>
    </cfRule>
  </conditionalFormatting>
  <conditionalFormatting sqref="O2">
    <cfRule type="expression" dxfId="1307" priority="106" stopIfTrue="1">
      <formula>#REF!="DLN"</formula>
    </cfRule>
  </conditionalFormatting>
  <conditionalFormatting sqref="O2">
    <cfRule type="expression" dxfId="1306" priority="105" stopIfTrue="1">
      <formula>#REF!="DLN"</formula>
    </cfRule>
  </conditionalFormatting>
  <conditionalFormatting sqref="S2">
    <cfRule type="expression" dxfId="1305" priority="104" stopIfTrue="1">
      <formula>#REF!="DLN"</formula>
    </cfRule>
  </conditionalFormatting>
  <conditionalFormatting sqref="S2">
    <cfRule type="expression" dxfId="1304" priority="103" stopIfTrue="1">
      <formula>#REF!="DLN"</formula>
    </cfRule>
  </conditionalFormatting>
  <conditionalFormatting sqref="W2">
    <cfRule type="expression" dxfId="1303" priority="102" stopIfTrue="1">
      <formula>#REF!="DLN"</formula>
    </cfRule>
  </conditionalFormatting>
  <conditionalFormatting sqref="W2">
    <cfRule type="expression" dxfId="1302" priority="101" stopIfTrue="1">
      <formula>#REF!="DLN"</formula>
    </cfRule>
  </conditionalFormatting>
  <conditionalFormatting sqref="AF3:AF50">
    <cfRule type="expression" dxfId="1301" priority="53" stopIfTrue="1">
      <formula>#REF!="DLN"</formula>
    </cfRule>
  </conditionalFormatting>
  <conditionalFormatting sqref="W3:W50">
    <cfRule type="expression" dxfId="1300" priority="100" stopIfTrue="1">
      <formula>#REF!="DLN"</formula>
    </cfRule>
  </conditionalFormatting>
  <conditionalFormatting sqref="W3:W50">
    <cfRule type="expression" dxfId="1299" priority="99" stopIfTrue="1">
      <formula>#REF!="DLN"</formula>
    </cfRule>
  </conditionalFormatting>
  <conditionalFormatting sqref="S3:S50">
    <cfRule type="expression" dxfId="1298" priority="98" stopIfTrue="1">
      <formula>#REF!="DLN"</formula>
    </cfRule>
  </conditionalFormatting>
  <conditionalFormatting sqref="S3:S50">
    <cfRule type="expression" dxfId="1297" priority="97" stopIfTrue="1">
      <formula>#REF!="DLN"</formula>
    </cfRule>
  </conditionalFormatting>
  <conditionalFormatting sqref="K3:K50">
    <cfRule type="expression" dxfId="1296" priority="96" stopIfTrue="1">
      <formula>#REF!="DLN"</formula>
    </cfRule>
  </conditionalFormatting>
  <conditionalFormatting sqref="K3:K50">
    <cfRule type="expression" dxfId="1295" priority="95" stopIfTrue="1">
      <formula>#REF!="DLN"</formula>
    </cfRule>
  </conditionalFormatting>
  <conditionalFormatting sqref="AF3:AF50">
    <cfRule type="expression" dxfId="1294" priority="54" stopIfTrue="1">
      <formula>#REF!="DLN"</formula>
    </cfRule>
  </conditionalFormatting>
  <conditionalFormatting sqref="J52">
    <cfRule type="cellIs" dxfId="1293" priority="91" stopIfTrue="1" operator="greaterThanOrEqual">
      <formula>0.801</formula>
    </cfRule>
    <cfRule type="cellIs" dxfId="1292" priority="92" stopIfTrue="1" operator="between">
      <formula>0.61</formula>
      <formula>0.8</formula>
    </cfRule>
    <cfRule type="cellIs" dxfId="1291" priority="93" stopIfTrue="1" operator="between">
      <formula>0</formula>
      <formula>0.6</formula>
    </cfRule>
  </conditionalFormatting>
  <conditionalFormatting sqref="J52">
    <cfRule type="expression" dxfId="1290" priority="94" stopIfTrue="1">
      <formula>#REF!="DLN"</formula>
    </cfRule>
  </conditionalFormatting>
  <conditionalFormatting sqref="I52">
    <cfRule type="cellIs" dxfId="1289" priority="87" stopIfTrue="1" operator="greaterThanOrEqual">
      <formula>0.801</formula>
    </cfRule>
    <cfRule type="cellIs" dxfId="1288" priority="88" stopIfTrue="1" operator="between">
      <formula>0.61</formula>
      <formula>0.8</formula>
    </cfRule>
    <cfRule type="cellIs" dxfId="1287" priority="89" stopIfTrue="1" operator="between">
      <formula>0</formula>
      <formula>0.6</formula>
    </cfRule>
  </conditionalFormatting>
  <conditionalFormatting sqref="I52">
    <cfRule type="expression" dxfId="1286" priority="90" stopIfTrue="1">
      <formula>#REF!="DLN"</formula>
    </cfRule>
  </conditionalFormatting>
  <conditionalFormatting sqref="M52:N52">
    <cfRule type="cellIs" dxfId="1285" priority="83" stopIfTrue="1" operator="greaterThanOrEqual">
      <formula>0.801</formula>
    </cfRule>
    <cfRule type="cellIs" dxfId="1284" priority="84" stopIfTrue="1" operator="between">
      <formula>0.61</formula>
      <formula>0.8</formula>
    </cfRule>
    <cfRule type="cellIs" dxfId="1283" priority="85" stopIfTrue="1" operator="between">
      <formula>0</formula>
      <formula>0.6</formula>
    </cfRule>
  </conditionalFormatting>
  <conditionalFormatting sqref="M52:N52">
    <cfRule type="expression" dxfId="1282" priority="86" stopIfTrue="1">
      <formula>#REF!="DLN"</formula>
    </cfRule>
  </conditionalFormatting>
  <conditionalFormatting sqref="Q52:R52">
    <cfRule type="cellIs" dxfId="1281" priority="79" stopIfTrue="1" operator="greaterThanOrEqual">
      <formula>0.801</formula>
    </cfRule>
    <cfRule type="cellIs" dxfId="1280" priority="80" stopIfTrue="1" operator="between">
      <formula>0.61</formula>
      <formula>0.8</formula>
    </cfRule>
    <cfRule type="cellIs" dxfId="1279" priority="81" stopIfTrue="1" operator="between">
      <formula>0</formula>
      <formula>0.6</formula>
    </cfRule>
  </conditionalFormatting>
  <conditionalFormatting sqref="Q52:R52">
    <cfRule type="expression" dxfId="1278" priority="82" stopIfTrue="1">
      <formula>#REF!="DLN"</formula>
    </cfRule>
  </conditionalFormatting>
  <conditionalFormatting sqref="U52:V52">
    <cfRule type="cellIs" dxfId="1277" priority="75" stopIfTrue="1" operator="greaterThanOrEqual">
      <formula>0.801</formula>
    </cfRule>
    <cfRule type="cellIs" dxfId="1276" priority="76" stopIfTrue="1" operator="between">
      <formula>0.61</formula>
      <formula>0.8</formula>
    </cfRule>
    <cfRule type="cellIs" dxfId="1275" priority="77" stopIfTrue="1" operator="between">
      <formula>0</formula>
      <formula>0.6</formula>
    </cfRule>
  </conditionalFormatting>
  <conditionalFormatting sqref="U52:V52">
    <cfRule type="expression" dxfId="1274" priority="78" stopIfTrue="1">
      <formula>#REF!="DLN"</formula>
    </cfRule>
  </conditionalFormatting>
  <conditionalFormatting sqref="Y52:Z52">
    <cfRule type="cellIs" dxfId="1273" priority="71" stopIfTrue="1" operator="greaterThanOrEqual">
      <formula>0.801</formula>
    </cfRule>
    <cfRule type="cellIs" dxfId="1272" priority="72" stopIfTrue="1" operator="between">
      <formula>0.61</formula>
      <formula>0.8</formula>
    </cfRule>
    <cfRule type="cellIs" dxfId="1271" priority="73" stopIfTrue="1" operator="between">
      <formula>0</formula>
      <formula>0.6</formula>
    </cfRule>
  </conditionalFormatting>
  <conditionalFormatting sqref="Y52:Z52">
    <cfRule type="expression" dxfId="1270" priority="74" stopIfTrue="1">
      <formula>#REF!="DLN"</formula>
    </cfRule>
  </conditionalFormatting>
  <conditionalFormatting sqref="AC52:AD52">
    <cfRule type="cellIs" dxfId="1269" priority="67" stopIfTrue="1" operator="greaterThanOrEqual">
      <formula>0.801</formula>
    </cfRule>
    <cfRule type="cellIs" dxfId="1268" priority="68" stopIfTrue="1" operator="between">
      <formula>0.61</formula>
      <formula>0.8</formula>
    </cfRule>
    <cfRule type="cellIs" dxfId="1267" priority="69" stopIfTrue="1" operator="between">
      <formula>0</formula>
      <formula>0.6</formula>
    </cfRule>
  </conditionalFormatting>
  <conditionalFormatting sqref="AC52:AD52">
    <cfRule type="expression" dxfId="1266" priority="70" stopIfTrue="1">
      <formula>#REF!="DLN"</formula>
    </cfRule>
  </conditionalFormatting>
  <conditionalFormatting sqref="G3:G50">
    <cfRule type="expression" dxfId="1265" priority="65" stopIfTrue="1">
      <formula>#REF!="DLN"</formula>
    </cfRule>
  </conditionalFormatting>
  <conditionalFormatting sqref="G3:G50">
    <cfRule type="expression" dxfId="1264" priority="66" stopIfTrue="1">
      <formula>#REF!="DLN"</formula>
    </cfRule>
  </conditionalFormatting>
  <conditionalFormatting sqref="P3:P50">
    <cfRule type="expression" dxfId="1263" priority="64" stopIfTrue="1">
      <formula>#REF!="DLN"</formula>
    </cfRule>
  </conditionalFormatting>
  <conditionalFormatting sqref="P3:P50">
    <cfRule type="expression" dxfId="1262" priority="63" stopIfTrue="1">
      <formula>#REF!="DLN"</formula>
    </cfRule>
  </conditionalFormatting>
  <conditionalFormatting sqref="O3:O50">
    <cfRule type="expression" dxfId="1261" priority="62" stopIfTrue="1">
      <formula>#REF!="DLN"</formula>
    </cfRule>
  </conditionalFormatting>
  <conditionalFormatting sqref="O3:O50">
    <cfRule type="expression" dxfId="1260" priority="61" stopIfTrue="1">
      <formula>#REF!="DLN"</formula>
    </cfRule>
  </conditionalFormatting>
  <conditionalFormatting sqref="H3:H50">
    <cfRule type="expression" dxfId="1259" priority="60" stopIfTrue="1">
      <formula>#REF!="DLN"</formula>
    </cfRule>
  </conditionalFormatting>
  <conditionalFormatting sqref="H3:H50">
    <cfRule type="expression" dxfId="1258" priority="59" stopIfTrue="1">
      <formula>#REF!="DLN"</formula>
    </cfRule>
  </conditionalFormatting>
  <conditionalFormatting sqref="A8:A50">
    <cfRule type="expression" dxfId="1255" priority="56" stopIfTrue="1">
      <formula>#REF!="DLN"</formula>
    </cfRule>
  </conditionalFormatting>
  <conditionalFormatting sqref="A8:A50">
    <cfRule type="expression" dxfId="1254" priority="55" stopIfTrue="1">
      <formula>#REF!="DLN"</formula>
    </cfRule>
  </conditionalFormatting>
  <conditionalFormatting sqref="AE2">
    <cfRule type="expression" dxfId="1253" priority="52" stopIfTrue="1">
      <formula>#REF!="DLN"</formula>
    </cfRule>
  </conditionalFormatting>
  <conditionalFormatting sqref="AE2">
    <cfRule type="expression" dxfId="1252" priority="51" stopIfTrue="1">
      <formula>#REF!="DLN"</formula>
    </cfRule>
  </conditionalFormatting>
  <conditionalFormatting sqref="AE3:AE50">
    <cfRule type="expression" dxfId="1251" priority="50" stopIfTrue="1">
      <formula>#REF!="DLN"</formula>
    </cfRule>
  </conditionalFormatting>
  <conditionalFormatting sqref="AE3:AE50">
    <cfRule type="expression" dxfId="1250" priority="49" stopIfTrue="1">
      <formula>#REF!="DLN"</formula>
    </cfRule>
  </conditionalFormatting>
  <conditionalFormatting sqref="AG52:AH52">
    <cfRule type="cellIs" dxfId="1249" priority="45" stopIfTrue="1" operator="greaterThanOrEqual">
      <formula>0.801</formula>
    </cfRule>
    <cfRule type="cellIs" dxfId="1248" priority="46" stopIfTrue="1" operator="between">
      <formula>0.61</formula>
      <formula>0.8</formula>
    </cfRule>
    <cfRule type="cellIs" dxfId="1247" priority="47" stopIfTrue="1" operator="between">
      <formula>0</formula>
      <formula>0.6</formula>
    </cfRule>
  </conditionalFormatting>
  <conditionalFormatting sqref="AG52:AH52">
    <cfRule type="expression" dxfId="1246" priority="48" stopIfTrue="1">
      <formula>#REF!="DLN"</formula>
    </cfRule>
  </conditionalFormatting>
  <conditionalFormatting sqref="AK52:AL52">
    <cfRule type="cellIs" dxfId="1245" priority="41" stopIfTrue="1" operator="greaterThanOrEqual">
      <formula>0.801</formula>
    </cfRule>
    <cfRule type="cellIs" dxfId="1244" priority="42" stopIfTrue="1" operator="between">
      <formula>0.61</formula>
      <formula>0.8</formula>
    </cfRule>
    <cfRule type="cellIs" dxfId="1243" priority="43" stopIfTrue="1" operator="between">
      <formula>0</formula>
      <formula>0.6</formula>
    </cfRule>
  </conditionalFormatting>
  <conditionalFormatting sqref="AK52:AL52">
    <cfRule type="expression" dxfId="1242" priority="44" stopIfTrue="1">
      <formula>#REF!="DLN"</formula>
    </cfRule>
  </conditionalFormatting>
  <conditionalFormatting sqref="AN3:AN50">
    <cfRule type="expression" dxfId="1241" priority="40" stopIfTrue="1">
      <formula>#REF!="DLN"</formula>
    </cfRule>
  </conditionalFormatting>
  <conditionalFormatting sqref="AN3:AN50">
    <cfRule type="expression" dxfId="1240" priority="39" stopIfTrue="1">
      <formula>#REF!="DLN"</formula>
    </cfRule>
  </conditionalFormatting>
  <conditionalFormatting sqref="AM2">
    <cfRule type="expression" dxfId="1239" priority="38" stopIfTrue="1">
      <formula>#REF!="DLN"</formula>
    </cfRule>
  </conditionalFormatting>
  <conditionalFormatting sqref="AM2">
    <cfRule type="expression" dxfId="1238" priority="37" stopIfTrue="1">
      <formula>#REF!="DLN"</formula>
    </cfRule>
  </conditionalFormatting>
  <conditionalFormatting sqref="AM3:AM50">
    <cfRule type="expression" dxfId="1237" priority="36" stopIfTrue="1">
      <formula>#REF!="DLN"</formula>
    </cfRule>
  </conditionalFormatting>
  <conditionalFormatting sqref="AM3:AM50">
    <cfRule type="expression" dxfId="1236" priority="35" stopIfTrue="1">
      <formula>#REF!="DLN"</formula>
    </cfRule>
  </conditionalFormatting>
  <conditionalFormatting sqref="AO52:AP52">
    <cfRule type="cellIs" dxfId="1235" priority="31" stopIfTrue="1" operator="greaterThanOrEqual">
      <formula>0.801</formula>
    </cfRule>
    <cfRule type="cellIs" dxfId="1234" priority="32" stopIfTrue="1" operator="between">
      <formula>0.61</formula>
      <formula>0.8</formula>
    </cfRule>
    <cfRule type="cellIs" dxfId="1233" priority="33" stopIfTrue="1" operator="between">
      <formula>0</formula>
      <formula>0.6</formula>
    </cfRule>
  </conditionalFormatting>
  <conditionalFormatting sqref="AO52:AP52">
    <cfRule type="expression" dxfId="1232" priority="34" stopIfTrue="1">
      <formula>#REF!="DLN"</formula>
    </cfRule>
  </conditionalFormatting>
  <conditionalFormatting sqref="AS52:AT52">
    <cfRule type="cellIs" dxfId="1231" priority="27" stopIfTrue="1" operator="greaterThanOrEqual">
      <formula>0.801</formula>
    </cfRule>
    <cfRule type="cellIs" dxfId="1230" priority="28" stopIfTrue="1" operator="between">
      <formula>0.61</formula>
      <formula>0.8</formula>
    </cfRule>
    <cfRule type="cellIs" dxfId="1229" priority="29" stopIfTrue="1" operator="between">
      <formula>0</formula>
      <formula>0.6</formula>
    </cfRule>
  </conditionalFormatting>
  <conditionalFormatting sqref="AS52:AT52">
    <cfRule type="expression" dxfId="1228" priority="30" stopIfTrue="1">
      <formula>#REF!="DLN"</formula>
    </cfRule>
  </conditionalFormatting>
  <conditionalFormatting sqref="AV3:AV50">
    <cfRule type="expression" dxfId="1227" priority="26" stopIfTrue="1">
      <formula>#REF!="DLN"</formula>
    </cfRule>
  </conditionalFormatting>
  <conditionalFormatting sqref="AV3:AV50">
    <cfRule type="expression" dxfId="1226" priority="25" stopIfTrue="1">
      <formula>#REF!="DLN"</formula>
    </cfRule>
  </conditionalFormatting>
  <conditionalFormatting sqref="AU2">
    <cfRule type="expression" dxfId="1225" priority="24" stopIfTrue="1">
      <formula>#REF!="DLN"</formula>
    </cfRule>
  </conditionalFormatting>
  <conditionalFormatting sqref="AU2">
    <cfRule type="expression" dxfId="1224" priority="23" stopIfTrue="1">
      <formula>#REF!="DLN"</formula>
    </cfRule>
  </conditionalFormatting>
  <conditionalFormatting sqref="AU3:AU50">
    <cfRule type="expression" dxfId="1223" priority="22" stopIfTrue="1">
      <formula>#REF!="DLN"</formula>
    </cfRule>
  </conditionalFormatting>
  <conditionalFormatting sqref="AU3:AU50">
    <cfRule type="expression" dxfId="1222" priority="21" stopIfTrue="1">
      <formula>#REF!="DLN"</formula>
    </cfRule>
  </conditionalFormatting>
  <conditionalFormatting sqref="AW52:AX52">
    <cfRule type="cellIs" dxfId="1221" priority="17" stopIfTrue="1" operator="greaterThanOrEqual">
      <formula>0.801</formula>
    </cfRule>
    <cfRule type="cellIs" dxfId="1220" priority="18" stopIfTrue="1" operator="between">
      <formula>0.61</formula>
      <formula>0.8</formula>
    </cfRule>
    <cfRule type="cellIs" dxfId="1219" priority="19" stopIfTrue="1" operator="between">
      <formula>0</formula>
      <formula>0.6</formula>
    </cfRule>
  </conditionalFormatting>
  <conditionalFormatting sqref="AW52:AX52">
    <cfRule type="expression" dxfId="1218" priority="20" stopIfTrue="1">
      <formula>#REF!="DLN"</formula>
    </cfRule>
  </conditionalFormatting>
  <conditionalFormatting sqref="A7">
    <cfRule type="expression" dxfId="1213" priority="12" stopIfTrue="1">
      <formula>#REF!="DLN"</formula>
    </cfRule>
  </conditionalFormatting>
  <conditionalFormatting sqref="A7">
    <cfRule type="expression" dxfId="1212" priority="11" stopIfTrue="1">
      <formula>#REF!="DLN"</formula>
    </cfRule>
  </conditionalFormatting>
  <conditionalFormatting sqref="A3">
    <cfRule type="expression" dxfId="1103" priority="10" stopIfTrue="1">
      <formula>#REF!="DLN"</formula>
    </cfRule>
  </conditionalFormatting>
  <conditionalFormatting sqref="A3">
    <cfRule type="expression" dxfId="1102" priority="9" stopIfTrue="1">
      <formula>#REF!="DLN"</formula>
    </cfRule>
  </conditionalFormatting>
  <conditionalFormatting sqref="A4">
    <cfRule type="expression" dxfId="1101" priority="8" stopIfTrue="1">
      <formula>#REF!="DLN"</formula>
    </cfRule>
  </conditionalFormatting>
  <conditionalFormatting sqref="A4">
    <cfRule type="expression" dxfId="1100" priority="7" stopIfTrue="1">
      <formula>#REF!="DLN"</formula>
    </cfRule>
  </conditionalFormatting>
  <conditionalFormatting sqref="A5">
    <cfRule type="expression" dxfId="1099" priority="6" stopIfTrue="1">
      <formula>#REF!="DLN"</formula>
    </cfRule>
  </conditionalFormatting>
  <conditionalFormatting sqref="A5">
    <cfRule type="expression" dxfId="1098" priority="5" stopIfTrue="1">
      <formula>#REF!="DLN"</formula>
    </cfRule>
  </conditionalFormatting>
  <conditionalFormatting sqref="A6">
    <cfRule type="expression" dxfId="1097" priority="4" stopIfTrue="1">
      <formula>#REF!="DLN"</formula>
    </cfRule>
  </conditionalFormatting>
  <conditionalFormatting sqref="A6">
    <cfRule type="expression" dxfId="1096" priority="3" stopIfTrue="1">
      <formula>#REF!="DLN"</formula>
    </cfRule>
  </conditionalFormatting>
  <conditionalFormatting sqref="F3:F6">
    <cfRule type="expression" dxfId="1095" priority="2" stopIfTrue="1">
      <formula>#REF!="DLN"</formula>
    </cfRule>
  </conditionalFormatting>
  <conditionalFormatting sqref="F3:F6">
    <cfRule type="expression" dxfId="1094" priority="1" stopIfTrue="1">
      <formula>#REF!="DLN"</formula>
    </cfRule>
  </conditionalFormatting>
  <dataValidations count="1">
    <dataValidation type="list" allowBlank="1" showInputMessage="1" showErrorMessage="1" sqref="A3:A50" xr:uid="{C4DB1BE8-A1EB-44E5-8855-3018423957D8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C2D23C-BBF9-468F-8A8A-393C273B3F47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6F35-BBFA-44F5-A926-BC3EC6B56024}">
  <sheetPr codeName="Sheet14"/>
  <dimension ref="A1:AX62"/>
  <sheetViews>
    <sheetView workbookViewId="0">
      <selection activeCell="F7" sqref="F7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23" t="s">
        <v>195</v>
      </c>
      <c r="B3" s="24" t="s">
        <v>444</v>
      </c>
      <c r="C3" s="20" t="str">
        <f>IFERROR(VLOOKUP(A3,'Parts List and Volumes'!C2:D194,2,FALSE),"")</f>
        <v>NA000039DAF20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>
        <v>21.4</v>
      </c>
      <c r="G3" s="40">
        <f>IFERROR(VLOOKUP($A3,'Parts List and Volumes'!$C$2:$W194,5,FALSE),"")</f>
        <v>250352</v>
      </c>
      <c r="H3" s="41">
        <f>IFERROR(VLOOKUP($A3,'Parts List and Volumes'!$C$2:$W194,6,FALSE),"")</f>
        <v>294304.8</v>
      </c>
      <c r="I3" s="42">
        <f t="shared" ref="I3:J50" si="0">IFERROR((($F3*G3)/FourHeadAssumption),"")</f>
        <v>0.39433056585997761</v>
      </c>
      <c r="J3" s="43">
        <f t="shared" si="0"/>
        <v>0.46356081964317258</v>
      </c>
      <c r="K3" s="44">
        <f>IFERROR(VLOOKUP($A3,'Parts List and Volumes'!$C$2:$W194,7,FALSE),"")</f>
        <v>0</v>
      </c>
      <c r="L3" s="45">
        <f>IFERROR(VLOOKUP($A3,'Parts List and Volumes'!$C$2:$W194,8,FALSE),"")</f>
        <v>268240.8</v>
      </c>
      <c r="M3" s="46">
        <f t="shared" ref="M3:N50" si="1">IFERROR((($F3*K3)/FourHeadAssumption),"")</f>
        <v>0</v>
      </c>
      <c r="N3" s="47">
        <f t="shared" si="1"/>
        <v>0.42250729553082489</v>
      </c>
      <c r="O3" s="41">
        <f>IFERROR(VLOOKUP($A3,'Parts List and Volumes'!$C$2:$W194,9,FALSE),"")</f>
        <v>0</v>
      </c>
      <c r="P3" s="41">
        <f>IFERROR(VLOOKUP($A3,'Parts List and Volumes'!$C$2:$W194,10,FALSE),"")</f>
        <v>237000</v>
      </c>
      <c r="Q3" s="48">
        <f t="shared" ref="Q3:R50" si="2">IFERROR((($F3*O3)/FourHeadAssumption),"")</f>
        <v>0</v>
      </c>
      <c r="R3" s="43">
        <f t="shared" si="2"/>
        <v>0.37329977035859391</v>
      </c>
      <c r="S3" s="44">
        <f>IFERROR(VLOOKUP($A3,'Parts List and Volumes'!$C$2:$W194,11,FALSE),"")</f>
        <v>0</v>
      </c>
      <c r="T3" s="45">
        <f>IFERROR(VLOOKUP($A3,'Parts List and Volumes'!$C$2:$W194,12,FALSE),"")</f>
        <v>195441.6</v>
      </c>
      <c r="U3" s="46">
        <f t="shared" ref="U3:V50" si="3">IFERROR((($F3*S3)/FourHeadAssumption),"")</f>
        <v>0</v>
      </c>
      <c r="V3" s="47">
        <f t="shared" si="3"/>
        <v>0.30784094682918212</v>
      </c>
      <c r="W3" s="40">
        <f>IFERROR(VLOOKUP($A3,'Parts List and Volumes'!$C$2:$W194,13,FALSE),"")</f>
        <v>0</v>
      </c>
      <c r="X3" s="41">
        <f>IFERROR(VLOOKUP($A3,'Parts List and Volumes'!$C$2:$W194,14,FALSE),"")</f>
        <v>40497.599999999999</v>
      </c>
      <c r="Y3" s="48">
        <f t="shared" ref="Y3:Z50" si="4">IFERROR((($F3*W3)/FourHeadAssumption),"")</f>
        <v>0</v>
      </c>
      <c r="Z3" s="43">
        <f t="shared" si="4"/>
        <v>6.3787952658540883E-2</v>
      </c>
      <c r="AA3" s="49">
        <f>IFERROR(VLOOKUP($A3,'Parts List and Volumes'!$C$2:$W194,15,FALSE),"")</f>
        <v>0</v>
      </c>
      <c r="AB3" s="50">
        <f>IFERROR(VLOOKUP($A3,'Parts List and Volumes'!$C$2:$W194,16,FALSE),"")</f>
        <v>0</v>
      </c>
      <c r="AC3" s="51">
        <f t="shared" ref="AC3:AD50" si="5">IFERROR((($F3*AA3)/FourHeadAssumption),"")</f>
        <v>0</v>
      </c>
      <c r="AD3" s="52">
        <f t="shared" si="5"/>
        <v>0</v>
      </c>
      <c r="AE3" s="40">
        <f>IFERROR(VLOOKUP($A3,'Parts List and Volumes'!$C$2:$W194,17,FALSE),"")</f>
        <v>0</v>
      </c>
      <c r="AF3" s="41">
        <f>IFERROR(VLOOKUP($A3,'Parts List and Volumes'!$C$2:$W194,18,FALSE),"")</f>
        <v>0</v>
      </c>
      <c r="AG3" s="48">
        <f t="shared" ref="AG3:AH50" si="6">IFERROR((($F3*AE3)/FourHeadAssumption),"")</f>
        <v>0</v>
      </c>
      <c r="AH3" s="43">
        <f t="shared" si="6"/>
        <v>0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23" t="s">
        <v>197</v>
      </c>
      <c r="B4" s="24" t="s">
        <v>444</v>
      </c>
      <c r="C4" s="20" t="str">
        <f>IFERROR(VLOOKUP(A4,'Parts List and Volumes'!C3:D195,2,FALSE),"")</f>
        <v>NA000040CAF20</v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>
        <v>19.73</v>
      </c>
      <c r="G4" s="40">
        <f>IFERROR(VLOOKUP($A4,'Parts List and Volumes'!$C$2:$W195,5,FALSE),"")</f>
        <v>250411</v>
      </c>
      <c r="H4" s="41">
        <f>IFERROR(VLOOKUP($A4,'Parts List and Volumes'!$C$2:$W195,6,FALSE),"")</f>
        <v>294304.8</v>
      </c>
      <c r="I4" s="42">
        <f t="shared" si="0"/>
        <v>0.36364371945474888</v>
      </c>
      <c r="J4" s="43">
        <f t="shared" si="0"/>
        <v>0.42738574633456988</v>
      </c>
      <c r="K4" s="44">
        <f>IFERROR(VLOOKUP($A4,'Parts List and Volumes'!$C$2:$W195,7,FALSE),"")</f>
        <v>0</v>
      </c>
      <c r="L4" s="45">
        <f>IFERROR(VLOOKUP($A4,'Parts List and Volumes'!$C$2:$W195,8,FALSE),"")</f>
        <v>268240.8</v>
      </c>
      <c r="M4" s="46">
        <f t="shared" si="1"/>
        <v>0</v>
      </c>
      <c r="N4" s="47">
        <f t="shared" si="1"/>
        <v>0.38953593181416712</v>
      </c>
      <c r="O4" s="41">
        <f>IFERROR(VLOOKUP($A4,'Parts List and Volumes'!$C$2:$W195,9,FALSE),"")</f>
        <v>0</v>
      </c>
      <c r="P4" s="41">
        <f>IFERROR(VLOOKUP($A4,'Parts List and Volumes'!$C$2:$W195,10,FALSE),"")</f>
        <v>237000</v>
      </c>
      <c r="Q4" s="48">
        <f t="shared" si="2"/>
        <v>0</v>
      </c>
      <c r="R4" s="43">
        <f t="shared" si="2"/>
        <v>0.3441684331390214</v>
      </c>
      <c r="S4" s="44">
        <f>IFERROR(VLOOKUP($A4,'Parts List and Volumes'!$C$2:$W195,11,FALSE),"")</f>
        <v>0</v>
      </c>
      <c r="T4" s="45">
        <f>IFERROR(VLOOKUP($A4,'Parts List and Volumes'!$C$2:$W195,12,FALSE),"")</f>
        <v>195441.6</v>
      </c>
      <c r="U4" s="46">
        <f t="shared" si="3"/>
        <v>0</v>
      </c>
      <c r="V4" s="47">
        <f t="shared" si="3"/>
        <v>0.28381784490372725</v>
      </c>
      <c r="W4" s="40">
        <f>IFERROR(VLOOKUP($A4,'Parts List and Volumes'!$C$2:$W195,13,FALSE),"")</f>
        <v>0</v>
      </c>
      <c r="X4" s="41">
        <f>IFERROR(VLOOKUP($A4,'Parts List and Volumes'!$C$2:$W195,14,FALSE),"")</f>
        <v>40497.599999999999</v>
      </c>
      <c r="Y4" s="48">
        <f t="shared" si="4"/>
        <v>0</v>
      </c>
      <c r="Z4" s="43">
        <f t="shared" si="4"/>
        <v>5.8810107754813642E-2</v>
      </c>
      <c r="AA4" s="49">
        <f>IFERROR(VLOOKUP($A4,'Parts List and Volumes'!$C$2:$W195,15,FALSE),"")</f>
        <v>0</v>
      </c>
      <c r="AB4" s="50">
        <f>IFERROR(VLOOKUP($A4,'Parts List and Volumes'!$C$2:$W195,16,FALSE),"")</f>
        <v>0</v>
      </c>
      <c r="AC4" s="51">
        <f t="shared" si="5"/>
        <v>0</v>
      </c>
      <c r="AD4" s="52">
        <f t="shared" si="5"/>
        <v>0</v>
      </c>
      <c r="AE4" s="40">
        <f>IFERROR(VLOOKUP($A4,'Parts List and Volumes'!$C$2:$W195,17,FALSE),"")</f>
        <v>0</v>
      </c>
      <c r="AF4" s="41">
        <f>IFERROR(VLOOKUP($A4,'Parts List and Volumes'!$C$2:$W195,18,FALSE),"")</f>
        <v>0</v>
      </c>
      <c r="AG4" s="48">
        <f t="shared" si="6"/>
        <v>0</v>
      </c>
      <c r="AH4" s="43">
        <f t="shared" si="6"/>
        <v>0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23" t="s">
        <v>201</v>
      </c>
      <c r="B5" s="24" t="s">
        <v>444</v>
      </c>
      <c r="C5" s="20" t="str">
        <f>IFERROR(VLOOKUP(A5,'Parts List and Volumes'!C4:D196,2,FALSE),"")</f>
        <v>NA000042BAF20</v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>
        <v>20.079999999999998</v>
      </c>
      <c r="G5" s="40">
        <f>IFERROR(VLOOKUP($A5,'Parts List and Volumes'!$C$2:$W196,5,FALSE),"")</f>
        <v>20665</v>
      </c>
      <c r="H5" s="41">
        <f>IFERROR(VLOOKUP($A5,'Parts List and Volumes'!$C$2:$W196,6,FALSE),"")</f>
        <v>38029.688611576908</v>
      </c>
      <c r="I5" s="42">
        <f t="shared" si="0"/>
        <v>3.0541806512394746E-2</v>
      </c>
      <c r="J5" s="43">
        <f t="shared" si="0"/>
        <v>5.6205922637377399E-2</v>
      </c>
      <c r="K5" s="44">
        <f>IFERROR(VLOOKUP($A5,'Parts List and Volumes'!$C$2:$W196,7,FALSE),"")</f>
        <v>0</v>
      </c>
      <c r="L5" s="45">
        <f>IFERROR(VLOOKUP($A5,'Parts List and Volumes'!$C$2:$W196,8,FALSE),"")</f>
        <v>34661.731976237832</v>
      </c>
      <c r="M5" s="46">
        <f t="shared" si="1"/>
        <v>0</v>
      </c>
      <c r="N5" s="47">
        <f t="shared" si="1"/>
        <v>5.1228256056266235E-2</v>
      </c>
      <c r="O5" s="41">
        <f>IFERROR(VLOOKUP($A5,'Parts List and Volumes'!$C$2:$W196,9,FALSE),"")</f>
        <v>0</v>
      </c>
      <c r="P5" s="41">
        <f>IFERROR(VLOOKUP($A5,'Parts List and Volumes'!$C$2:$W196,10,FALSE),"")</f>
        <v>30624.835887636655</v>
      </c>
      <c r="Q5" s="48">
        <f t="shared" si="2"/>
        <v>0</v>
      </c>
      <c r="R5" s="43">
        <f t="shared" si="2"/>
        <v>4.5261931389017254E-2</v>
      </c>
      <c r="S5" s="44">
        <f>IFERROR(VLOOKUP($A5,'Parts List and Volumes'!$C$2:$W196,11,FALSE),"")</f>
        <v>0</v>
      </c>
      <c r="T5" s="45">
        <f>IFERROR(VLOOKUP($A5,'Parts List and Volumes'!$C$2:$W196,12,FALSE),"")</f>
        <v>25254.712766316996</v>
      </c>
      <c r="U5" s="46">
        <f t="shared" si="3"/>
        <v>0</v>
      </c>
      <c r="V5" s="47">
        <f t="shared" si="3"/>
        <v>3.7325165779577021E-2</v>
      </c>
      <c r="W5" s="40">
        <f>IFERROR(VLOOKUP($A5,'Parts List and Volumes'!$C$2:$W196,13,FALSE),"")</f>
        <v>0</v>
      </c>
      <c r="X5" s="41">
        <f>IFERROR(VLOOKUP($A5,'Parts List and Volumes'!$C$2:$W196,14,FALSE),"")</f>
        <v>5233.0479065111986</v>
      </c>
      <c r="Y5" s="48">
        <f t="shared" si="4"/>
        <v>0</v>
      </c>
      <c r="Z5" s="43">
        <f t="shared" si="4"/>
        <v>7.7341754962863491E-3</v>
      </c>
      <c r="AA5" s="49">
        <f>IFERROR(VLOOKUP($A5,'Parts List and Volumes'!$C$2:$W196,15,FALSE),"")</f>
        <v>0</v>
      </c>
      <c r="AB5" s="50">
        <f>IFERROR(VLOOKUP($A5,'Parts List and Volumes'!$C$2:$W196,16,FALSE),"")</f>
        <v>0</v>
      </c>
      <c r="AC5" s="51">
        <f t="shared" si="5"/>
        <v>0</v>
      </c>
      <c r="AD5" s="52">
        <f t="shared" si="5"/>
        <v>0</v>
      </c>
      <c r="AE5" s="40">
        <f>IFERROR(VLOOKUP($A5,'Parts List and Volumes'!$C$2:$W196,17,FALSE),"")</f>
        <v>0</v>
      </c>
      <c r="AF5" s="41">
        <f>IFERROR(VLOOKUP($A5,'Parts List and Volumes'!$C$2:$W196,18,FALSE),"")</f>
        <v>0</v>
      </c>
      <c r="AG5" s="48">
        <f t="shared" si="6"/>
        <v>0</v>
      </c>
      <c r="AH5" s="43">
        <f t="shared" si="6"/>
        <v>0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23" t="s">
        <v>199</v>
      </c>
      <c r="B6" s="24" t="s">
        <v>444</v>
      </c>
      <c r="C6" s="20" t="str">
        <f>IFERROR(VLOOKUP(A6,'Parts List and Volumes'!C5:D197,2,FALSE),"")</f>
        <v>NA000041BAF20</v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>
        <v>18.600000000000001</v>
      </c>
      <c r="G6" s="40">
        <f>IFERROR(VLOOKUP($A6,'Parts List and Volumes'!$C$2:$W197,5,FALSE),"")</f>
        <v>20395</v>
      </c>
      <c r="H6" s="41">
        <f>IFERROR(VLOOKUP($A6,'Parts List and Volumes'!$C$2:$W197,6,FALSE),"")</f>
        <v>38029.688611576908</v>
      </c>
      <c r="I6" s="42">
        <f t="shared" si="0"/>
        <v>2.7921082847553437E-2</v>
      </c>
      <c r="J6" s="43">
        <f t="shared" si="0"/>
        <v>5.2063255032630464E-2</v>
      </c>
      <c r="K6" s="58">
        <f>IFERROR(VLOOKUP($A6,'Parts List and Volumes'!$C$2:$W197,7,FALSE),"")</f>
        <v>0</v>
      </c>
      <c r="L6" s="45">
        <f>IFERROR(VLOOKUP($A6,'Parts List and Volumes'!$C$2:$W197,8,FALSE),"")</f>
        <v>34661.731976237832</v>
      </c>
      <c r="M6" s="46">
        <f t="shared" si="1"/>
        <v>0</v>
      </c>
      <c r="N6" s="47">
        <f t="shared" si="1"/>
        <v>4.7452468259290448E-2</v>
      </c>
      <c r="O6" s="41">
        <f>IFERROR(VLOOKUP($A6,'Parts List and Volumes'!$C$2:$W197,9,FALSE),"")</f>
        <v>0</v>
      </c>
      <c r="P6" s="41">
        <f>IFERROR(VLOOKUP($A6,'Parts List and Volumes'!$C$2:$W197,10,FALSE),"")</f>
        <v>30624.835887636655</v>
      </c>
      <c r="Q6" s="48">
        <f t="shared" si="2"/>
        <v>0</v>
      </c>
      <c r="R6" s="43">
        <f t="shared" si="2"/>
        <v>4.1925892621300843E-2</v>
      </c>
      <c r="S6" s="44">
        <f>IFERROR(VLOOKUP($A6,'Parts List and Volumes'!$C$2:$W197,11,FALSE),"")</f>
        <v>0</v>
      </c>
      <c r="T6" s="45">
        <f>IFERROR(VLOOKUP($A6,'Parts List and Volumes'!$C$2:$W197,12,FALSE),"")</f>
        <v>25254.712766316996</v>
      </c>
      <c r="U6" s="46">
        <f t="shared" si="3"/>
        <v>0</v>
      </c>
      <c r="V6" s="47">
        <f t="shared" si="3"/>
        <v>3.4574107744030518E-2</v>
      </c>
      <c r="W6" s="40">
        <f>IFERROR(VLOOKUP($A6,'Parts List and Volumes'!$C$2:$W197,13,FALSE),"")</f>
        <v>0</v>
      </c>
      <c r="X6" s="41">
        <f>IFERROR(VLOOKUP($A6,'Parts List and Volumes'!$C$2:$W197,14,FALSE),"")</f>
        <v>5233.0479065111986</v>
      </c>
      <c r="Y6" s="48">
        <f t="shared" si="4"/>
        <v>0</v>
      </c>
      <c r="Z6" s="43">
        <f t="shared" si="4"/>
        <v>7.1641267047273969E-3</v>
      </c>
      <c r="AA6" s="49">
        <f>IFERROR(VLOOKUP($A6,'Parts List and Volumes'!$C$2:$W197,15,FALSE),"")</f>
        <v>0</v>
      </c>
      <c r="AB6" s="50">
        <f>IFERROR(VLOOKUP($A6,'Parts List and Volumes'!$C$2:$W197,16,FALSE),"")</f>
        <v>0</v>
      </c>
      <c r="AC6" s="51">
        <f t="shared" si="5"/>
        <v>0</v>
      </c>
      <c r="AD6" s="52">
        <f t="shared" si="5"/>
        <v>0</v>
      </c>
      <c r="AE6" s="40">
        <f>IFERROR(VLOOKUP($A6,'Parts List and Volumes'!$C$2:$W197,17,FALSE),"")</f>
        <v>0</v>
      </c>
      <c r="AF6" s="41">
        <f>IFERROR(VLOOKUP($A6,'Parts List and Volumes'!$C$2:$W197,18,FALSE),"")</f>
        <v>0</v>
      </c>
      <c r="AG6" s="48">
        <f t="shared" si="6"/>
        <v>0</v>
      </c>
      <c r="AH6" s="43">
        <f t="shared" si="6"/>
        <v>0</v>
      </c>
      <c r="AI6" s="49">
        <f>IFERROR(VLOOKUP($A6,'Parts List and Volumes'!$C$2:$W197,19,FALSE),"")</f>
        <v>0</v>
      </c>
      <c r="AJ6" s="50">
        <f>IFERROR(VLOOKUP($A6,'Parts List and Volumes'!$C$2:$W197,20,FALSE),"")</f>
        <v>0</v>
      </c>
      <c r="AK6" s="51">
        <f t="shared" si="7"/>
        <v>0</v>
      </c>
      <c r="AL6" s="52">
        <f t="shared" si="7"/>
        <v>0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8">
        <f t="shared" si="8"/>
        <v>0</v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23"/>
      <c r="B7" s="24"/>
      <c r="C7" s="20" t="str">
        <f>IFERROR(VLOOKUP(A7,'Parts List and Volumes'!C6:D198,2,FALSE),"")</f>
        <v/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/>
      <c r="G7" s="40" t="str">
        <f>IFERROR(VLOOKUP($A7,'Parts List and Volumes'!$C$2:$W198,5,FALSE),"")</f>
        <v/>
      </c>
      <c r="H7" s="41" t="str">
        <f>IFERROR(VLOOKUP($A7,'Parts List and Volumes'!$C$2:$W198,6,FALSE),"")</f>
        <v/>
      </c>
      <c r="I7" s="42" t="str">
        <f t="shared" si="0"/>
        <v/>
      </c>
      <c r="J7" s="43" t="str">
        <f t="shared" si="0"/>
        <v/>
      </c>
      <c r="K7" s="58" t="str">
        <f>IFERROR(VLOOKUP($A7,'Parts List and Volumes'!$C$2:$W198,7,FALSE),"")</f>
        <v/>
      </c>
      <c r="L7" s="45" t="str">
        <f>IFERROR(VLOOKUP($A7,'Parts List and Volumes'!$C$2:$W198,8,FALSE),"")</f>
        <v/>
      </c>
      <c r="M7" s="46" t="str">
        <f t="shared" si="1"/>
        <v/>
      </c>
      <c r="N7" s="47" t="str">
        <f t="shared" si="1"/>
        <v/>
      </c>
      <c r="O7" s="41" t="str">
        <f>IFERROR(VLOOKUP($A7,'Parts List and Volumes'!$C$2:$W198,9,FALSE),"")</f>
        <v/>
      </c>
      <c r="P7" s="41" t="str">
        <f>IFERROR(VLOOKUP($A7,'Parts List and Volumes'!$C$2:$W198,10,FALSE),"")</f>
        <v/>
      </c>
      <c r="Q7" s="48" t="str">
        <f t="shared" si="2"/>
        <v/>
      </c>
      <c r="R7" s="43" t="str">
        <f t="shared" si="2"/>
        <v/>
      </c>
      <c r="S7" s="44" t="str">
        <f>IFERROR(VLOOKUP($A7,'Parts List and Volumes'!$C$2:$W198,11,FALSE),"")</f>
        <v/>
      </c>
      <c r="T7" s="45" t="str">
        <f>IFERROR(VLOOKUP($A7,'Parts List and Volumes'!$C$2:$W198,12,FALSE),"")</f>
        <v/>
      </c>
      <c r="U7" s="46" t="str">
        <f t="shared" si="3"/>
        <v/>
      </c>
      <c r="V7" s="47" t="str">
        <f t="shared" si="3"/>
        <v/>
      </c>
      <c r="W7" s="40" t="str">
        <f>IFERROR(VLOOKUP($A7,'Parts List and Volumes'!$C$2:$W198,13,FALSE),"")</f>
        <v/>
      </c>
      <c r="X7" s="41" t="str">
        <f>IFERROR(VLOOKUP($A7,'Parts List and Volumes'!$C$2:$W198,14,FALSE),"")</f>
        <v/>
      </c>
      <c r="Y7" s="48" t="str">
        <f t="shared" si="4"/>
        <v/>
      </c>
      <c r="Z7" s="43" t="str">
        <f t="shared" si="4"/>
        <v/>
      </c>
      <c r="AA7" s="49" t="str">
        <f>IFERROR(VLOOKUP($A7,'Parts List and Volumes'!$C$2:$W198,15,FALSE),"")</f>
        <v/>
      </c>
      <c r="AB7" s="50" t="str">
        <f>IFERROR(VLOOKUP($A7,'Parts List and Volumes'!$C$2:$W198,16,FALSE),"")</f>
        <v/>
      </c>
      <c r="AC7" s="51" t="str">
        <f t="shared" si="5"/>
        <v/>
      </c>
      <c r="AD7" s="52" t="str">
        <f t="shared" si="5"/>
        <v/>
      </c>
      <c r="AE7" s="40" t="str">
        <f>IFERROR(VLOOKUP($A7,'Parts List and Volumes'!$C$2:$W198,17,FALSE),"")</f>
        <v/>
      </c>
      <c r="AF7" s="41" t="str">
        <f>IFERROR(VLOOKUP($A7,'Parts List and Volumes'!$C$2:$W198,18,FALSE),"")</f>
        <v/>
      </c>
      <c r="AG7" s="48" t="str">
        <f t="shared" si="6"/>
        <v/>
      </c>
      <c r="AH7" s="43" t="str">
        <f t="shared" si="6"/>
        <v/>
      </c>
      <c r="AI7" s="49" t="str">
        <f>IFERROR(VLOOKUP($A7,'Parts List and Volumes'!$C$2:$W198,19,FALSE),"")</f>
        <v/>
      </c>
      <c r="AJ7" s="50" t="str">
        <f>IFERROR(VLOOKUP($A7,'Parts List and Volumes'!$C$2:$W198,20,FALSE),"")</f>
        <v/>
      </c>
      <c r="AK7" s="51" t="str">
        <f t="shared" si="7"/>
        <v/>
      </c>
      <c r="AL7" s="52" t="str">
        <f t="shared" si="7"/>
        <v/>
      </c>
      <c r="AM7" s="40" t="str">
        <f>IFERROR(VLOOKUP($A7,'Parts List and Volumes'!$C$2:$W198,21,FALSE),"")</f>
        <v/>
      </c>
      <c r="AN7" s="41" t="str">
        <f>IFERROR(VLOOKUP($A7,'Parts List and Volumes'!$C$2:$W198,22,FALSE),"")</f>
        <v/>
      </c>
      <c r="AO7" s="48" t="str">
        <f t="shared" si="8"/>
        <v/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23"/>
      <c r="B8" s="24"/>
      <c r="C8" s="20" t="str">
        <f>IFERROR(VLOOKUP(A8,'Parts List and Volumes'!C7:D199,2,FALSE),"")</f>
        <v/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/>
      <c r="G8" s="40" t="str">
        <f>IFERROR(VLOOKUP($A8,'Parts List and Volumes'!$C$2:$W199,5,FALSE),"")</f>
        <v/>
      </c>
      <c r="H8" s="41" t="str">
        <f>IFERROR(VLOOKUP($A8,'Parts List and Volumes'!$C$2:$W199,6,FALSE),"")</f>
        <v/>
      </c>
      <c r="I8" s="42" t="str">
        <f t="shared" si="0"/>
        <v/>
      </c>
      <c r="J8" s="43" t="str">
        <f t="shared" si="0"/>
        <v/>
      </c>
      <c r="K8" s="58" t="str">
        <f>IFERROR(VLOOKUP($A8,'Parts List and Volumes'!$C$2:$W199,7,FALSE),"")</f>
        <v/>
      </c>
      <c r="L8" s="45" t="str">
        <f>IFERROR(VLOOKUP($A8,'Parts List and Volumes'!$C$2:$W199,8,FALSE),"")</f>
        <v/>
      </c>
      <c r="M8" s="46" t="str">
        <f t="shared" si="1"/>
        <v/>
      </c>
      <c r="N8" s="47" t="str">
        <f t="shared" si="1"/>
        <v/>
      </c>
      <c r="O8" s="41" t="str">
        <f>IFERROR(VLOOKUP($A8,'Parts List and Volumes'!$C$2:$W199,9,FALSE),"")</f>
        <v/>
      </c>
      <c r="P8" s="41" t="str">
        <f>IFERROR(VLOOKUP($A8,'Parts List and Volumes'!$C$2:$W199,10,FALSE),"")</f>
        <v/>
      </c>
      <c r="Q8" s="48" t="str">
        <f t="shared" si="2"/>
        <v/>
      </c>
      <c r="R8" s="43" t="str">
        <f t="shared" si="2"/>
        <v/>
      </c>
      <c r="S8" s="44" t="str">
        <f>IFERROR(VLOOKUP($A8,'Parts List and Volumes'!$C$2:$W199,11,FALSE),"")</f>
        <v/>
      </c>
      <c r="T8" s="45" t="str">
        <f>IFERROR(VLOOKUP($A8,'Parts List and Volumes'!$C$2:$W199,12,FALSE),"")</f>
        <v/>
      </c>
      <c r="U8" s="46" t="str">
        <f t="shared" si="3"/>
        <v/>
      </c>
      <c r="V8" s="47" t="str">
        <f t="shared" si="3"/>
        <v/>
      </c>
      <c r="W8" s="40" t="str">
        <f>IFERROR(VLOOKUP($A8,'Parts List and Volumes'!$C$2:$W199,13,FALSE),"")</f>
        <v/>
      </c>
      <c r="X8" s="41" t="str">
        <f>IFERROR(VLOOKUP($A8,'Parts List and Volumes'!$C$2:$W199,14,FALSE),"")</f>
        <v/>
      </c>
      <c r="Y8" s="48" t="str">
        <f t="shared" si="4"/>
        <v/>
      </c>
      <c r="Z8" s="43" t="str">
        <f t="shared" si="4"/>
        <v/>
      </c>
      <c r="AA8" s="49" t="str">
        <f>IFERROR(VLOOKUP($A8,'Parts List and Volumes'!$C$2:$W199,15,FALSE),"")</f>
        <v/>
      </c>
      <c r="AB8" s="50" t="str">
        <f>IFERROR(VLOOKUP($A8,'Parts List and Volumes'!$C$2:$W199,16,FALSE),"")</f>
        <v/>
      </c>
      <c r="AC8" s="51" t="str">
        <f t="shared" si="5"/>
        <v/>
      </c>
      <c r="AD8" s="52" t="str">
        <f t="shared" si="5"/>
        <v/>
      </c>
      <c r="AE8" s="40" t="str">
        <f>IFERROR(VLOOKUP($A8,'Parts List and Volumes'!$C$2:$W199,17,FALSE),"")</f>
        <v/>
      </c>
      <c r="AF8" s="41" t="str">
        <f>IFERROR(VLOOKUP($A8,'Parts List and Volumes'!$C$2:$W199,18,FALSE),"")</f>
        <v/>
      </c>
      <c r="AG8" s="48" t="str">
        <f t="shared" si="6"/>
        <v/>
      </c>
      <c r="AH8" s="43" t="str">
        <f t="shared" si="6"/>
        <v/>
      </c>
      <c r="AI8" s="49" t="str">
        <f>IFERROR(VLOOKUP($A8,'Parts List and Volumes'!$C$2:$W199,19,FALSE),"")</f>
        <v/>
      </c>
      <c r="AJ8" s="50" t="str">
        <f>IFERROR(VLOOKUP($A8,'Parts List and Volumes'!$C$2:$W199,20,FALSE),"")</f>
        <v/>
      </c>
      <c r="AK8" s="51" t="str">
        <f t="shared" si="7"/>
        <v/>
      </c>
      <c r="AL8" s="52" t="str">
        <f t="shared" si="7"/>
        <v/>
      </c>
      <c r="AM8" s="40" t="str">
        <f>IFERROR(VLOOKUP($A8,'Parts List and Volumes'!$C$2:$W199,21,FALSE),"")</f>
        <v/>
      </c>
      <c r="AN8" s="41" t="str">
        <f>IFERROR(VLOOKUP($A8,'Parts List and Volumes'!$C$2:$W199,22,FALSE),"")</f>
        <v/>
      </c>
      <c r="AO8" s="48" t="str">
        <f t="shared" si="8"/>
        <v/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23"/>
      <c r="B9" s="24"/>
      <c r="C9" s="20" t="str">
        <f>IFERROR(VLOOKUP(A9,'Parts List and Volumes'!C8:D200,2,FALSE),"")</f>
        <v/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/>
      <c r="G9" s="40" t="str">
        <f>IFERROR(VLOOKUP($A9,'Parts List and Volumes'!$C$2:$W200,5,FALSE),"")</f>
        <v/>
      </c>
      <c r="H9" s="41" t="str">
        <f>IFERROR(VLOOKUP($A9,'Parts List and Volumes'!$C$2:$W200,6,FALSE),"")</f>
        <v/>
      </c>
      <c r="I9" s="42" t="str">
        <f t="shared" si="0"/>
        <v/>
      </c>
      <c r="J9" s="43" t="str">
        <f t="shared" si="0"/>
        <v/>
      </c>
      <c r="K9" s="58" t="str">
        <f>IFERROR(VLOOKUP($A9,'Parts List and Volumes'!$C$2:$W200,7,FALSE),"")</f>
        <v/>
      </c>
      <c r="L9" s="45" t="str">
        <f>IFERROR(VLOOKUP($A9,'Parts List and Volumes'!$C$2:$W200,8,FALSE),"")</f>
        <v/>
      </c>
      <c r="M9" s="46" t="str">
        <f t="shared" si="1"/>
        <v/>
      </c>
      <c r="N9" s="47" t="str">
        <f t="shared" si="1"/>
        <v/>
      </c>
      <c r="O9" s="41" t="str">
        <f>IFERROR(VLOOKUP($A9,'Parts List and Volumes'!$C$2:$W200,9,FALSE),"")</f>
        <v/>
      </c>
      <c r="P9" s="41" t="str">
        <f>IFERROR(VLOOKUP($A9,'Parts List and Volumes'!$C$2:$W200,10,FALSE),"")</f>
        <v/>
      </c>
      <c r="Q9" s="48" t="str">
        <f t="shared" si="2"/>
        <v/>
      </c>
      <c r="R9" s="43" t="str">
        <f t="shared" si="2"/>
        <v/>
      </c>
      <c r="S9" s="44" t="str">
        <f>IFERROR(VLOOKUP($A9,'Parts List and Volumes'!$C$2:$W200,11,FALSE),"")</f>
        <v/>
      </c>
      <c r="T9" s="45" t="str">
        <f>IFERROR(VLOOKUP($A9,'Parts List and Volumes'!$C$2:$W200,12,FALSE),"")</f>
        <v/>
      </c>
      <c r="U9" s="46" t="str">
        <f t="shared" si="3"/>
        <v/>
      </c>
      <c r="V9" s="47" t="str">
        <f t="shared" si="3"/>
        <v/>
      </c>
      <c r="W9" s="40" t="str">
        <f>IFERROR(VLOOKUP($A9,'Parts List and Volumes'!$C$2:$W200,13,FALSE),"")</f>
        <v/>
      </c>
      <c r="X9" s="41" t="str">
        <f>IFERROR(VLOOKUP($A9,'Parts List and Volumes'!$C$2:$W200,14,FALSE),"")</f>
        <v/>
      </c>
      <c r="Y9" s="48" t="str">
        <f t="shared" si="4"/>
        <v/>
      </c>
      <c r="Z9" s="43" t="str">
        <f t="shared" si="4"/>
        <v/>
      </c>
      <c r="AA9" s="49" t="str">
        <f>IFERROR(VLOOKUP($A9,'Parts List and Volumes'!$C$2:$W200,15,FALSE),"")</f>
        <v/>
      </c>
      <c r="AB9" s="50" t="str">
        <f>IFERROR(VLOOKUP($A9,'Parts List and Volumes'!$C$2:$W200,16,FALSE),"")</f>
        <v/>
      </c>
      <c r="AC9" s="51" t="str">
        <f t="shared" si="5"/>
        <v/>
      </c>
      <c r="AD9" s="52" t="str">
        <f t="shared" si="5"/>
        <v/>
      </c>
      <c r="AE9" s="40" t="str">
        <f>IFERROR(VLOOKUP($A9,'Parts List and Volumes'!$C$2:$W200,17,FALSE),"")</f>
        <v/>
      </c>
      <c r="AF9" s="41" t="str">
        <f>IFERROR(VLOOKUP($A9,'Parts List and Volumes'!$C$2:$W200,18,FALSE),"")</f>
        <v/>
      </c>
      <c r="AG9" s="48" t="str">
        <f t="shared" si="6"/>
        <v/>
      </c>
      <c r="AH9" s="43" t="str">
        <f t="shared" si="6"/>
        <v/>
      </c>
      <c r="AI9" s="49" t="str">
        <f>IFERROR(VLOOKUP($A9,'Parts List and Volumes'!$C$2:$W200,19,FALSE),"")</f>
        <v/>
      </c>
      <c r="AJ9" s="50" t="str">
        <f>IFERROR(VLOOKUP($A9,'Parts List and Volumes'!$C$2:$W200,20,FALSE),"")</f>
        <v/>
      </c>
      <c r="AK9" s="51" t="str">
        <f t="shared" si="7"/>
        <v/>
      </c>
      <c r="AL9" s="52" t="str">
        <f t="shared" si="7"/>
        <v/>
      </c>
      <c r="AM9" s="40" t="str">
        <f>IFERROR(VLOOKUP($A9,'Parts List and Volumes'!$C$2:$W200,21,FALSE),"")</f>
        <v/>
      </c>
      <c r="AN9" s="41" t="str">
        <f>IFERROR(VLOOKUP($A9,'Parts List and Volumes'!$C$2:$W200,22,FALSE),"")</f>
        <v/>
      </c>
      <c r="AO9" s="48" t="str">
        <f t="shared" si="8"/>
        <v/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23"/>
      <c r="B10" s="24"/>
      <c r="C10" s="20" t="str">
        <f>IFERROR(VLOOKUP(A10,'Parts List and Volumes'!C9:D201,2,FALSE),"")</f>
        <v/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/>
      <c r="G10" s="40" t="str">
        <f>IFERROR(VLOOKUP($A10,'Parts List and Volumes'!$C$2:$W201,5,FALSE),"")</f>
        <v/>
      </c>
      <c r="H10" s="41" t="str">
        <f>IFERROR(VLOOKUP($A10,'Parts List and Volumes'!$C$2:$W201,6,FALSE),"")</f>
        <v/>
      </c>
      <c r="I10" s="42" t="str">
        <f t="shared" si="0"/>
        <v/>
      </c>
      <c r="J10" s="43" t="str">
        <f t="shared" si="0"/>
        <v/>
      </c>
      <c r="K10" s="58" t="str">
        <f>IFERROR(VLOOKUP($A10,'Parts List and Volumes'!$C$2:$W201,7,FALSE),"")</f>
        <v/>
      </c>
      <c r="L10" s="45" t="str">
        <f>IFERROR(VLOOKUP($A10,'Parts List and Volumes'!$C$2:$W201,8,FALSE),"")</f>
        <v/>
      </c>
      <c r="M10" s="46" t="str">
        <f t="shared" si="1"/>
        <v/>
      </c>
      <c r="N10" s="47" t="str">
        <f t="shared" si="1"/>
        <v/>
      </c>
      <c r="O10" s="41" t="str">
        <f>IFERROR(VLOOKUP($A10,'Parts List and Volumes'!$C$2:$W201,9,FALSE),"")</f>
        <v/>
      </c>
      <c r="P10" s="41" t="str">
        <f>IFERROR(VLOOKUP($A10,'Parts List and Volumes'!$C$2:$W201,10,FALSE),"")</f>
        <v/>
      </c>
      <c r="Q10" s="48" t="str">
        <f t="shared" si="2"/>
        <v/>
      </c>
      <c r="R10" s="43" t="str">
        <f t="shared" si="2"/>
        <v/>
      </c>
      <c r="S10" s="44" t="str">
        <f>IFERROR(VLOOKUP($A10,'Parts List and Volumes'!$C$2:$W201,11,FALSE),"")</f>
        <v/>
      </c>
      <c r="T10" s="45" t="str">
        <f>IFERROR(VLOOKUP($A10,'Parts List and Volumes'!$C$2:$W201,12,FALSE),"")</f>
        <v/>
      </c>
      <c r="U10" s="46" t="str">
        <f t="shared" si="3"/>
        <v/>
      </c>
      <c r="V10" s="47" t="str">
        <f t="shared" si="3"/>
        <v/>
      </c>
      <c r="W10" s="40" t="str">
        <f>IFERROR(VLOOKUP($A10,'Parts List and Volumes'!$C$2:$W201,13,FALSE),"")</f>
        <v/>
      </c>
      <c r="X10" s="41" t="str">
        <f>IFERROR(VLOOKUP($A10,'Parts List and Volumes'!$C$2:$W201,14,FALSE),"")</f>
        <v/>
      </c>
      <c r="Y10" s="48" t="str">
        <f t="shared" si="4"/>
        <v/>
      </c>
      <c r="Z10" s="43" t="str">
        <f t="shared" si="4"/>
        <v/>
      </c>
      <c r="AA10" s="49" t="str">
        <f>IFERROR(VLOOKUP($A10,'Parts List and Volumes'!$C$2:$W201,15,FALSE),"")</f>
        <v/>
      </c>
      <c r="AB10" s="50" t="str">
        <f>IFERROR(VLOOKUP($A10,'Parts List and Volumes'!$C$2:$W201,16,FALSE),"")</f>
        <v/>
      </c>
      <c r="AC10" s="51" t="str">
        <f t="shared" si="5"/>
        <v/>
      </c>
      <c r="AD10" s="52" t="str">
        <f t="shared" si="5"/>
        <v/>
      </c>
      <c r="AE10" s="40" t="str">
        <f>IFERROR(VLOOKUP($A10,'Parts List and Volumes'!$C$2:$W201,17,FALSE),"")</f>
        <v/>
      </c>
      <c r="AF10" s="41" t="str">
        <f>IFERROR(VLOOKUP($A10,'Parts List and Volumes'!$C$2:$W201,18,FALSE),"")</f>
        <v/>
      </c>
      <c r="AG10" s="48" t="str">
        <f t="shared" si="6"/>
        <v/>
      </c>
      <c r="AH10" s="43" t="str">
        <f t="shared" si="6"/>
        <v/>
      </c>
      <c r="AI10" s="49" t="str">
        <f>IFERROR(VLOOKUP($A10,'Parts List and Volumes'!$C$2:$W201,19,FALSE),"")</f>
        <v/>
      </c>
      <c r="AJ10" s="50" t="str">
        <f>IFERROR(VLOOKUP($A10,'Parts List and Volumes'!$C$2:$W201,20,FALSE),"")</f>
        <v/>
      </c>
      <c r="AK10" s="51" t="str">
        <f t="shared" si="7"/>
        <v/>
      </c>
      <c r="AL10" s="52" t="str">
        <f t="shared" si="7"/>
        <v/>
      </c>
      <c r="AM10" s="40" t="str">
        <f>IFERROR(VLOOKUP($A10,'Parts List and Volumes'!$C$2:$W201,21,FALSE),"")</f>
        <v/>
      </c>
      <c r="AN10" s="41" t="str">
        <f>IFERROR(VLOOKUP($A10,'Parts List and Volumes'!$C$2:$W201,22,FALSE),"")</f>
        <v/>
      </c>
      <c r="AO10" s="48" t="str">
        <f t="shared" si="8"/>
        <v/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23"/>
      <c r="B11" s="24"/>
      <c r="C11" s="20" t="str">
        <f>IFERROR(VLOOKUP(A11,'Parts List and Volumes'!C10:D202,2,FALSE),"")</f>
        <v/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/>
      <c r="G11" s="40" t="str">
        <f>IFERROR(VLOOKUP($A11,'Parts List and Volumes'!$C$2:$W202,5,FALSE),"")</f>
        <v/>
      </c>
      <c r="H11" s="41" t="str">
        <f>IFERROR(VLOOKUP($A11,'Parts List and Volumes'!$C$2:$W202,6,FALSE),"")</f>
        <v/>
      </c>
      <c r="I11" s="42" t="str">
        <f t="shared" si="0"/>
        <v/>
      </c>
      <c r="J11" s="43" t="str">
        <f t="shared" si="0"/>
        <v/>
      </c>
      <c r="K11" s="58" t="str">
        <f>IFERROR(VLOOKUP($A11,'Parts List and Volumes'!$C$2:$W202,7,FALSE),"")</f>
        <v/>
      </c>
      <c r="L11" s="45" t="str">
        <f>IFERROR(VLOOKUP($A11,'Parts List and Volumes'!$C$2:$W202,8,FALSE),"")</f>
        <v/>
      </c>
      <c r="M11" s="46" t="str">
        <f t="shared" si="1"/>
        <v/>
      </c>
      <c r="N11" s="47" t="str">
        <f t="shared" si="1"/>
        <v/>
      </c>
      <c r="O11" s="41" t="str">
        <f>IFERROR(VLOOKUP($A11,'Parts List and Volumes'!$C$2:$W202,9,FALSE),"")</f>
        <v/>
      </c>
      <c r="P11" s="41" t="str">
        <f>IFERROR(VLOOKUP($A11,'Parts List and Volumes'!$C$2:$W202,10,FALSE),"")</f>
        <v/>
      </c>
      <c r="Q11" s="48" t="str">
        <f t="shared" si="2"/>
        <v/>
      </c>
      <c r="R11" s="43" t="str">
        <f t="shared" si="2"/>
        <v/>
      </c>
      <c r="S11" s="44" t="str">
        <f>IFERROR(VLOOKUP($A11,'Parts List and Volumes'!$C$2:$W202,11,FALSE),"")</f>
        <v/>
      </c>
      <c r="T11" s="45" t="str">
        <f>IFERROR(VLOOKUP($A11,'Parts List and Volumes'!$C$2:$W202,12,FALSE),"")</f>
        <v/>
      </c>
      <c r="U11" s="46" t="str">
        <f t="shared" si="3"/>
        <v/>
      </c>
      <c r="V11" s="47" t="str">
        <f t="shared" si="3"/>
        <v/>
      </c>
      <c r="W11" s="40" t="str">
        <f>IFERROR(VLOOKUP($A11,'Parts List and Volumes'!$C$2:$W202,13,FALSE),"")</f>
        <v/>
      </c>
      <c r="X11" s="41" t="str">
        <f>IFERROR(VLOOKUP($A11,'Parts List and Volumes'!$C$2:$W202,14,FALSE),"")</f>
        <v/>
      </c>
      <c r="Y11" s="48" t="str">
        <f t="shared" si="4"/>
        <v/>
      </c>
      <c r="Z11" s="43" t="str">
        <f t="shared" si="4"/>
        <v/>
      </c>
      <c r="AA11" s="49" t="str">
        <f>IFERROR(VLOOKUP($A11,'Parts List and Volumes'!$C$2:$W202,15,FALSE),"")</f>
        <v/>
      </c>
      <c r="AB11" s="50" t="str">
        <f>IFERROR(VLOOKUP($A11,'Parts List and Volumes'!$C$2:$W202,16,FALSE),"")</f>
        <v/>
      </c>
      <c r="AC11" s="51" t="str">
        <f t="shared" si="5"/>
        <v/>
      </c>
      <c r="AD11" s="52" t="str">
        <f t="shared" si="5"/>
        <v/>
      </c>
      <c r="AE11" s="40" t="str">
        <f>IFERROR(VLOOKUP($A11,'Parts List and Volumes'!$C$2:$W202,17,FALSE),"")</f>
        <v/>
      </c>
      <c r="AF11" s="41" t="str">
        <f>IFERROR(VLOOKUP($A11,'Parts List and Volumes'!$C$2:$W202,18,FALSE),"")</f>
        <v/>
      </c>
      <c r="AG11" s="48" t="str">
        <f t="shared" si="6"/>
        <v/>
      </c>
      <c r="AH11" s="43" t="str">
        <f t="shared" si="6"/>
        <v/>
      </c>
      <c r="AI11" s="49" t="str">
        <f>IFERROR(VLOOKUP($A11,'Parts List and Volumes'!$C$2:$W202,19,FALSE),"")</f>
        <v/>
      </c>
      <c r="AJ11" s="50" t="str">
        <f>IFERROR(VLOOKUP($A11,'Parts List and Volumes'!$C$2:$W202,20,FALSE),"")</f>
        <v/>
      </c>
      <c r="AK11" s="51" t="str">
        <f t="shared" si="7"/>
        <v/>
      </c>
      <c r="AL11" s="52" t="str">
        <f t="shared" si="7"/>
        <v/>
      </c>
      <c r="AM11" s="40" t="str">
        <f>IFERROR(VLOOKUP($A11,'Parts List and Volumes'!$C$2:$W202,21,FALSE),"")</f>
        <v/>
      </c>
      <c r="AN11" s="41" t="str">
        <f>IFERROR(VLOOKUP($A11,'Parts List and Volumes'!$C$2:$W202,22,FALSE),"")</f>
        <v/>
      </c>
      <c r="AO11" s="48" t="str">
        <f t="shared" si="8"/>
        <v/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23"/>
      <c r="B12" s="24"/>
      <c r="C12" s="20" t="str">
        <f>IFERROR(VLOOKUP(A12,'Parts List and Volumes'!C11:D203,2,FALSE),"")</f>
        <v/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/>
      <c r="G12" s="40" t="str">
        <f>IFERROR(VLOOKUP($A12,'Parts List and Volumes'!$C$2:$W203,5,FALSE),"")</f>
        <v/>
      </c>
      <c r="H12" s="41" t="str">
        <f>IFERROR(VLOOKUP($A12,'Parts List and Volumes'!$C$2:$W203,6,FALSE),"")</f>
        <v/>
      </c>
      <c r="I12" s="42" t="str">
        <f t="shared" si="0"/>
        <v/>
      </c>
      <c r="J12" s="43" t="str">
        <f t="shared" si="0"/>
        <v/>
      </c>
      <c r="K12" s="58" t="str">
        <f>IFERROR(VLOOKUP($A12,'Parts List and Volumes'!$C$2:$W203,7,FALSE),"")</f>
        <v/>
      </c>
      <c r="L12" s="45" t="str">
        <f>IFERROR(VLOOKUP($A12,'Parts List and Volumes'!$C$2:$W203,8,FALSE),"")</f>
        <v/>
      </c>
      <c r="M12" s="46" t="str">
        <f t="shared" si="1"/>
        <v/>
      </c>
      <c r="N12" s="47" t="str">
        <f t="shared" si="1"/>
        <v/>
      </c>
      <c r="O12" s="41" t="str">
        <f>IFERROR(VLOOKUP($A12,'Parts List and Volumes'!$C$2:$W203,9,FALSE),"")</f>
        <v/>
      </c>
      <c r="P12" s="41" t="str">
        <f>IFERROR(VLOOKUP($A12,'Parts List and Volumes'!$C$2:$W203,10,FALSE),"")</f>
        <v/>
      </c>
      <c r="Q12" s="48" t="str">
        <f t="shared" si="2"/>
        <v/>
      </c>
      <c r="R12" s="43" t="str">
        <f t="shared" si="2"/>
        <v/>
      </c>
      <c r="S12" s="44" t="str">
        <f>IFERROR(VLOOKUP($A12,'Parts List and Volumes'!$C$2:$W203,11,FALSE),"")</f>
        <v/>
      </c>
      <c r="T12" s="45" t="str">
        <f>IFERROR(VLOOKUP($A12,'Parts List and Volumes'!$C$2:$W203,12,FALSE),"")</f>
        <v/>
      </c>
      <c r="U12" s="46" t="str">
        <f t="shared" si="3"/>
        <v/>
      </c>
      <c r="V12" s="47" t="str">
        <f t="shared" si="3"/>
        <v/>
      </c>
      <c r="W12" s="40" t="str">
        <f>IFERROR(VLOOKUP($A12,'Parts List and Volumes'!$C$2:$W203,13,FALSE),"")</f>
        <v/>
      </c>
      <c r="X12" s="41" t="str">
        <f>IFERROR(VLOOKUP($A12,'Parts List and Volumes'!$C$2:$W203,14,FALSE),"")</f>
        <v/>
      </c>
      <c r="Y12" s="48" t="str">
        <f t="shared" si="4"/>
        <v/>
      </c>
      <c r="Z12" s="43" t="str">
        <f t="shared" si="4"/>
        <v/>
      </c>
      <c r="AA12" s="49" t="str">
        <f>IFERROR(VLOOKUP($A12,'Parts List and Volumes'!$C$2:$W203,15,FALSE),"")</f>
        <v/>
      </c>
      <c r="AB12" s="50" t="str">
        <f>IFERROR(VLOOKUP($A12,'Parts List and Volumes'!$C$2:$W203,16,FALSE),"")</f>
        <v/>
      </c>
      <c r="AC12" s="51" t="str">
        <f t="shared" si="5"/>
        <v/>
      </c>
      <c r="AD12" s="52" t="str">
        <f t="shared" si="5"/>
        <v/>
      </c>
      <c r="AE12" s="40" t="str">
        <f>IFERROR(VLOOKUP($A12,'Parts List and Volumes'!$C$2:$W203,17,FALSE),"")</f>
        <v/>
      </c>
      <c r="AF12" s="41" t="str">
        <f>IFERROR(VLOOKUP($A12,'Parts List and Volumes'!$C$2:$W203,18,FALSE),"")</f>
        <v/>
      </c>
      <c r="AG12" s="48" t="str">
        <f t="shared" si="6"/>
        <v/>
      </c>
      <c r="AH12" s="43" t="str">
        <f t="shared" si="6"/>
        <v/>
      </c>
      <c r="AI12" s="49" t="str">
        <f>IFERROR(VLOOKUP($A12,'Parts List and Volumes'!$C$2:$W203,19,FALSE),"")</f>
        <v/>
      </c>
      <c r="AJ12" s="50" t="str">
        <f>IFERROR(VLOOKUP($A12,'Parts List and Volumes'!$C$2:$W203,20,FALSE),"")</f>
        <v/>
      </c>
      <c r="AK12" s="51" t="str">
        <f t="shared" si="7"/>
        <v/>
      </c>
      <c r="AL12" s="52" t="str">
        <f t="shared" si="7"/>
        <v/>
      </c>
      <c r="AM12" s="40" t="str">
        <f>IFERROR(VLOOKUP($A12,'Parts List and Volumes'!$C$2:$W203,21,FALSE),"")</f>
        <v/>
      </c>
      <c r="AN12" s="41" t="str">
        <f>IFERROR(VLOOKUP($A12,'Parts List and Volumes'!$C$2:$W203,22,FALSE),"")</f>
        <v/>
      </c>
      <c r="AO12" s="48" t="str">
        <f t="shared" si="8"/>
        <v/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23"/>
      <c r="B13" s="24"/>
      <c r="C13" s="20" t="str">
        <f>IFERROR(VLOOKUP(A13,'Parts List and Volumes'!C12:D204,2,FALSE),"")</f>
        <v/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/>
      <c r="G13" s="40" t="str">
        <f>IFERROR(VLOOKUP($A13,'Parts List and Volumes'!$C$2:$W204,5,FALSE),"")</f>
        <v/>
      </c>
      <c r="H13" s="41" t="str">
        <f>IFERROR(VLOOKUP($A13,'Parts List and Volumes'!$C$2:$W204,6,FALSE),"")</f>
        <v/>
      </c>
      <c r="I13" s="42" t="str">
        <f t="shared" si="0"/>
        <v/>
      </c>
      <c r="J13" s="43" t="str">
        <f t="shared" si="0"/>
        <v/>
      </c>
      <c r="K13" s="58" t="str">
        <f>IFERROR(VLOOKUP($A13,'Parts List and Volumes'!$C$2:$W204,7,FALSE),"")</f>
        <v/>
      </c>
      <c r="L13" s="45" t="str">
        <f>IFERROR(VLOOKUP($A13,'Parts List and Volumes'!$C$2:$W204,8,FALSE),"")</f>
        <v/>
      </c>
      <c r="M13" s="46" t="str">
        <f t="shared" si="1"/>
        <v/>
      </c>
      <c r="N13" s="47" t="str">
        <f t="shared" si="1"/>
        <v/>
      </c>
      <c r="O13" s="41" t="str">
        <f>IFERROR(VLOOKUP($A13,'Parts List and Volumes'!$C$2:$W204,9,FALSE),"")</f>
        <v/>
      </c>
      <c r="P13" s="41" t="str">
        <f>IFERROR(VLOOKUP($A13,'Parts List and Volumes'!$C$2:$W204,10,FALSE),"")</f>
        <v/>
      </c>
      <c r="Q13" s="48" t="str">
        <f t="shared" si="2"/>
        <v/>
      </c>
      <c r="R13" s="43" t="str">
        <f t="shared" si="2"/>
        <v/>
      </c>
      <c r="S13" s="44" t="str">
        <f>IFERROR(VLOOKUP($A13,'Parts List and Volumes'!$C$2:$W204,11,FALSE),"")</f>
        <v/>
      </c>
      <c r="T13" s="45" t="str">
        <f>IFERROR(VLOOKUP($A13,'Parts List and Volumes'!$C$2:$W204,12,FALSE),"")</f>
        <v/>
      </c>
      <c r="U13" s="46" t="str">
        <f t="shared" si="3"/>
        <v/>
      </c>
      <c r="V13" s="47" t="str">
        <f t="shared" si="3"/>
        <v/>
      </c>
      <c r="W13" s="40" t="str">
        <f>IFERROR(VLOOKUP($A13,'Parts List and Volumes'!$C$2:$W204,13,FALSE),"")</f>
        <v/>
      </c>
      <c r="X13" s="41" t="str">
        <f>IFERROR(VLOOKUP($A13,'Parts List and Volumes'!$C$2:$W204,14,FALSE),"")</f>
        <v/>
      </c>
      <c r="Y13" s="48" t="str">
        <f t="shared" si="4"/>
        <v/>
      </c>
      <c r="Z13" s="43" t="str">
        <f t="shared" si="4"/>
        <v/>
      </c>
      <c r="AA13" s="49" t="str">
        <f>IFERROR(VLOOKUP($A13,'Parts List and Volumes'!$C$2:$W204,15,FALSE),"")</f>
        <v/>
      </c>
      <c r="AB13" s="50" t="str">
        <f>IFERROR(VLOOKUP($A13,'Parts List and Volumes'!$C$2:$W204,16,FALSE),"")</f>
        <v/>
      </c>
      <c r="AC13" s="51" t="str">
        <f t="shared" si="5"/>
        <v/>
      </c>
      <c r="AD13" s="52" t="str">
        <f t="shared" si="5"/>
        <v/>
      </c>
      <c r="AE13" s="40" t="str">
        <f>IFERROR(VLOOKUP($A13,'Parts List and Volumes'!$C$2:$W204,17,FALSE),"")</f>
        <v/>
      </c>
      <c r="AF13" s="41" t="str">
        <f>IFERROR(VLOOKUP($A13,'Parts List and Volumes'!$C$2:$W204,18,FALSE),"")</f>
        <v/>
      </c>
      <c r="AG13" s="48" t="str">
        <f t="shared" si="6"/>
        <v/>
      </c>
      <c r="AH13" s="43" t="str">
        <f t="shared" si="6"/>
        <v/>
      </c>
      <c r="AI13" s="49" t="str">
        <f>IFERROR(VLOOKUP($A13,'Parts List and Volumes'!$C$2:$W204,19,FALSE),"")</f>
        <v/>
      </c>
      <c r="AJ13" s="50" t="str">
        <f>IFERROR(VLOOKUP($A13,'Parts List and Volumes'!$C$2:$W204,20,FALSE),"")</f>
        <v/>
      </c>
      <c r="AK13" s="51" t="str">
        <f t="shared" si="7"/>
        <v/>
      </c>
      <c r="AL13" s="52" t="str">
        <f t="shared" si="7"/>
        <v/>
      </c>
      <c r="AM13" s="40" t="str">
        <f>IFERROR(VLOOKUP($A13,'Parts List and Volumes'!$C$2:$W204,21,FALSE),"")</f>
        <v/>
      </c>
      <c r="AN13" s="41" t="str">
        <f>IFERROR(VLOOKUP($A13,'Parts List and Volumes'!$C$2:$W204,22,FALSE),"")</f>
        <v/>
      </c>
      <c r="AO13" s="48" t="str">
        <f t="shared" si="8"/>
        <v/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23"/>
      <c r="B14" s="24"/>
      <c r="C14" s="20" t="str">
        <f>IFERROR(VLOOKUP(A14,'Parts List and Volumes'!C13:D205,2,FALSE),"")</f>
        <v/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/>
      <c r="G14" s="40" t="str">
        <f>IFERROR(VLOOKUP($A14,'Parts List and Volumes'!$C$2:$W205,5,FALSE),"")</f>
        <v/>
      </c>
      <c r="H14" s="41" t="str">
        <f>IFERROR(VLOOKUP($A14,'Parts List and Volumes'!$C$2:$W205,6,FALSE),"")</f>
        <v/>
      </c>
      <c r="I14" s="42" t="str">
        <f t="shared" si="0"/>
        <v/>
      </c>
      <c r="J14" s="43" t="str">
        <f t="shared" si="0"/>
        <v/>
      </c>
      <c r="K14" s="58" t="str">
        <f>IFERROR(VLOOKUP($A14,'Parts List and Volumes'!$C$2:$W205,7,FALSE),"")</f>
        <v/>
      </c>
      <c r="L14" s="45" t="str">
        <f>IFERROR(VLOOKUP($A14,'Parts List and Volumes'!$C$2:$W205,8,FALSE),"")</f>
        <v/>
      </c>
      <c r="M14" s="46" t="str">
        <f t="shared" si="1"/>
        <v/>
      </c>
      <c r="N14" s="47" t="str">
        <f t="shared" si="1"/>
        <v/>
      </c>
      <c r="O14" s="41" t="str">
        <f>IFERROR(VLOOKUP($A14,'Parts List and Volumes'!$C$2:$W205,9,FALSE),"")</f>
        <v/>
      </c>
      <c r="P14" s="41" t="str">
        <f>IFERROR(VLOOKUP($A14,'Parts List and Volumes'!$C$2:$W205,10,FALSE),"")</f>
        <v/>
      </c>
      <c r="Q14" s="48" t="str">
        <f t="shared" si="2"/>
        <v/>
      </c>
      <c r="R14" s="43" t="str">
        <f t="shared" si="2"/>
        <v/>
      </c>
      <c r="S14" s="44" t="str">
        <f>IFERROR(VLOOKUP($A14,'Parts List and Volumes'!$C$2:$W205,11,FALSE),"")</f>
        <v/>
      </c>
      <c r="T14" s="45" t="str">
        <f>IFERROR(VLOOKUP($A14,'Parts List and Volumes'!$C$2:$W205,12,FALSE),"")</f>
        <v/>
      </c>
      <c r="U14" s="46" t="str">
        <f t="shared" si="3"/>
        <v/>
      </c>
      <c r="V14" s="47" t="str">
        <f t="shared" si="3"/>
        <v/>
      </c>
      <c r="W14" s="40" t="str">
        <f>IFERROR(VLOOKUP($A14,'Parts List and Volumes'!$C$2:$W205,13,FALSE),"")</f>
        <v/>
      </c>
      <c r="X14" s="41" t="str">
        <f>IFERROR(VLOOKUP($A14,'Parts List and Volumes'!$C$2:$W205,14,FALSE),"")</f>
        <v/>
      </c>
      <c r="Y14" s="48" t="str">
        <f t="shared" si="4"/>
        <v/>
      </c>
      <c r="Z14" s="43" t="str">
        <f t="shared" si="4"/>
        <v/>
      </c>
      <c r="AA14" s="49" t="str">
        <f>IFERROR(VLOOKUP($A14,'Parts List and Volumes'!$C$2:$W205,15,FALSE),"")</f>
        <v/>
      </c>
      <c r="AB14" s="50" t="str">
        <f>IFERROR(VLOOKUP($A14,'Parts List and Volumes'!$C$2:$W205,16,FALSE),"")</f>
        <v/>
      </c>
      <c r="AC14" s="51" t="str">
        <f t="shared" si="5"/>
        <v/>
      </c>
      <c r="AD14" s="52" t="str">
        <f t="shared" si="5"/>
        <v/>
      </c>
      <c r="AE14" s="40" t="str">
        <f>IFERROR(VLOOKUP($A14,'Parts List and Volumes'!$C$2:$W205,17,FALSE),"")</f>
        <v/>
      </c>
      <c r="AF14" s="41" t="str">
        <f>IFERROR(VLOOKUP($A14,'Parts List and Volumes'!$C$2:$W205,18,FALSE),"")</f>
        <v/>
      </c>
      <c r="AG14" s="48" t="str">
        <f t="shared" si="6"/>
        <v/>
      </c>
      <c r="AH14" s="43" t="str">
        <f t="shared" si="6"/>
        <v/>
      </c>
      <c r="AI14" s="49" t="str">
        <f>IFERROR(VLOOKUP($A14,'Parts List and Volumes'!$C$2:$W205,19,FALSE),"")</f>
        <v/>
      </c>
      <c r="AJ14" s="50" t="str">
        <f>IFERROR(VLOOKUP($A14,'Parts List and Volumes'!$C$2:$W205,20,FALSE),"")</f>
        <v/>
      </c>
      <c r="AK14" s="51" t="str">
        <f t="shared" si="7"/>
        <v/>
      </c>
      <c r="AL14" s="52" t="str">
        <f t="shared" si="7"/>
        <v/>
      </c>
      <c r="AM14" s="40" t="str">
        <f>IFERROR(VLOOKUP($A14,'Parts List and Volumes'!$C$2:$W205,21,FALSE),"")</f>
        <v/>
      </c>
      <c r="AN14" s="41" t="str">
        <f>IFERROR(VLOOKUP($A14,'Parts List and Volumes'!$C$2:$W205,22,FALSE),"")</f>
        <v/>
      </c>
      <c r="AO14" s="48" t="str">
        <f t="shared" si="8"/>
        <v/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23"/>
      <c r="B15" s="24"/>
      <c r="C15" s="20" t="str">
        <f>IFERROR(VLOOKUP(A15,'Parts List and Volumes'!C14:D206,2,FALSE),"")</f>
        <v/>
      </c>
      <c r="D15" s="39" t="str">
        <f>IFERROR(IF(VLOOKUP($A15,'Parts List and Volumes'!$C14:$F269,3,FALSE)=0,"",VLOOKUP(A15,'Parts List and Volumes'!C14:F269,3,FALSE)),"")</f>
        <v/>
      </c>
      <c r="E15" s="39" t="str">
        <f>IFERROR(IF(VLOOKUP($A15,'Parts List and Volumes'!$C14:$F269,4,FALSE)=0,"",VLOOKUP(B15,'Parts List and Volumes'!D14:G269,3,FALSE)),"")</f>
        <v/>
      </c>
      <c r="F15" s="26"/>
      <c r="G15" s="40" t="str">
        <f>IFERROR(VLOOKUP($A15,'Parts List and Volumes'!$C$2:$W206,5,FALSE),"")</f>
        <v/>
      </c>
      <c r="H15" s="41" t="str">
        <f>IFERROR(VLOOKUP($A15,'Parts List and Volumes'!$C$2:$W206,6,FALSE),"")</f>
        <v/>
      </c>
      <c r="I15" s="42" t="str">
        <f t="shared" si="0"/>
        <v/>
      </c>
      <c r="J15" s="43" t="str">
        <f t="shared" si="0"/>
        <v/>
      </c>
      <c r="K15" s="58" t="str">
        <f>IFERROR(VLOOKUP($A15,'Parts List and Volumes'!$C$2:$W206,7,FALSE),"")</f>
        <v/>
      </c>
      <c r="L15" s="45" t="str">
        <f>IFERROR(VLOOKUP($A15,'Parts List and Volumes'!$C$2:$W206,8,FALSE),"")</f>
        <v/>
      </c>
      <c r="M15" s="46" t="str">
        <f t="shared" si="1"/>
        <v/>
      </c>
      <c r="N15" s="47" t="str">
        <f t="shared" si="1"/>
        <v/>
      </c>
      <c r="O15" s="41" t="str">
        <f>IFERROR(VLOOKUP($A15,'Parts List and Volumes'!$C$2:$W206,9,FALSE),"")</f>
        <v/>
      </c>
      <c r="P15" s="41" t="str">
        <f>IFERROR(VLOOKUP($A15,'Parts List and Volumes'!$C$2:$W206,10,FALSE),"")</f>
        <v/>
      </c>
      <c r="Q15" s="48" t="str">
        <f t="shared" si="2"/>
        <v/>
      </c>
      <c r="R15" s="43" t="str">
        <f t="shared" si="2"/>
        <v/>
      </c>
      <c r="S15" s="44" t="str">
        <f>IFERROR(VLOOKUP($A15,'Parts List and Volumes'!$C$2:$W206,11,FALSE),"")</f>
        <v/>
      </c>
      <c r="T15" s="45" t="str">
        <f>IFERROR(VLOOKUP($A15,'Parts List and Volumes'!$C$2:$W206,12,FALSE),"")</f>
        <v/>
      </c>
      <c r="U15" s="46" t="str">
        <f t="shared" si="3"/>
        <v/>
      </c>
      <c r="V15" s="47" t="str">
        <f t="shared" si="3"/>
        <v/>
      </c>
      <c r="W15" s="40" t="str">
        <f>IFERROR(VLOOKUP($A15,'Parts List and Volumes'!$C$2:$W206,13,FALSE),"")</f>
        <v/>
      </c>
      <c r="X15" s="41" t="str">
        <f>IFERROR(VLOOKUP($A15,'Parts List and Volumes'!$C$2:$W206,14,FALSE),"")</f>
        <v/>
      </c>
      <c r="Y15" s="48" t="str">
        <f t="shared" si="4"/>
        <v/>
      </c>
      <c r="Z15" s="43" t="str">
        <f t="shared" si="4"/>
        <v/>
      </c>
      <c r="AA15" s="49" t="str">
        <f>IFERROR(VLOOKUP($A15,'Parts List and Volumes'!$C$2:$W206,15,FALSE),"")</f>
        <v/>
      </c>
      <c r="AB15" s="50" t="str">
        <f>IFERROR(VLOOKUP($A15,'Parts List and Volumes'!$C$2:$W206,16,FALSE),"")</f>
        <v/>
      </c>
      <c r="AC15" s="51" t="str">
        <f t="shared" si="5"/>
        <v/>
      </c>
      <c r="AD15" s="52" t="str">
        <f t="shared" si="5"/>
        <v/>
      </c>
      <c r="AE15" s="40" t="str">
        <f>IFERROR(VLOOKUP($A15,'Parts List and Volumes'!$C$2:$W206,17,FALSE),"")</f>
        <v/>
      </c>
      <c r="AF15" s="41" t="str">
        <f>IFERROR(VLOOKUP($A15,'Parts List and Volumes'!$C$2:$W206,18,FALSE),"")</f>
        <v/>
      </c>
      <c r="AG15" s="48" t="str">
        <f t="shared" si="6"/>
        <v/>
      </c>
      <c r="AH15" s="43" t="str">
        <f t="shared" si="6"/>
        <v/>
      </c>
      <c r="AI15" s="49" t="str">
        <f>IFERROR(VLOOKUP($A15,'Parts List and Volumes'!$C$2:$W206,19,FALSE),"")</f>
        <v/>
      </c>
      <c r="AJ15" s="50" t="str">
        <f>IFERROR(VLOOKUP($A15,'Parts List and Volumes'!$C$2:$W206,20,FALSE),"")</f>
        <v/>
      </c>
      <c r="AK15" s="51" t="str">
        <f t="shared" si="7"/>
        <v/>
      </c>
      <c r="AL15" s="52" t="str">
        <f t="shared" si="7"/>
        <v/>
      </c>
      <c r="AM15" s="40" t="str">
        <f>IFERROR(VLOOKUP($A15,'Parts List and Volumes'!$C$2:$W206,21,FALSE),"")</f>
        <v/>
      </c>
      <c r="AN15" s="41" t="str">
        <f>IFERROR(VLOOKUP($A15,'Parts List and Volumes'!$C$2:$W206,22,FALSE),"")</f>
        <v/>
      </c>
      <c r="AO15" s="48" t="str">
        <f t="shared" si="8"/>
        <v/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23"/>
      <c r="B16" s="24"/>
      <c r="C16" s="20" t="str">
        <f>IFERROR(VLOOKUP(A16,'Parts List and Volumes'!C15:D207,2,FALSE),"")</f>
        <v/>
      </c>
      <c r="D16" s="39" t="str">
        <f>IFERROR(IF(VLOOKUP($A16,'Parts List and Volumes'!$C15:$F270,3,FALSE)=0,"",VLOOKUP(A16,'Parts List and Volumes'!C15:F270,3,FALSE)),"")</f>
        <v/>
      </c>
      <c r="E16" s="39" t="str">
        <f>IFERROR(IF(VLOOKUP($A16,'Parts List and Volumes'!$C15:$F270,4,FALSE)=0,"",VLOOKUP(B16,'Parts List and Volumes'!D15:G270,3,FALSE)),"")</f>
        <v/>
      </c>
      <c r="F16" s="26"/>
      <c r="G16" s="40" t="str">
        <f>IFERROR(VLOOKUP($A16,'Parts List and Volumes'!$C$2:$W207,5,FALSE),"")</f>
        <v/>
      </c>
      <c r="H16" s="41" t="str">
        <f>IFERROR(VLOOKUP($A16,'Parts List and Volumes'!$C$2:$W207,6,FALSE),"")</f>
        <v/>
      </c>
      <c r="I16" s="42" t="str">
        <f t="shared" si="0"/>
        <v/>
      </c>
      <c r="J16" s="43" t="str">
        <f t="shared" si="0"/>
        <v/>
      </c>
      <c r="K16" s="58" t="str">
        <f>IFERROR(VLOOKUP($A16,'Parts List and Volumes'!$C$2:$W207,7,FALSE),"")</f>
        <v/>
      </c>
      <c r="L16" s="45" t="str">
        <f>IFERROR(VLOOKUP($A16,'Parts List and Volumes'!$C$2:$W207,8,FALSE),"")</f>
        <v/>
      </c>
      <c r="M16" s="46" t="str">
        <f t="shared" si="1"/>
        <v/>
      </c>
      <c r="N16" s="47" t="str">
        <f t="shared" si="1"/>
        <v/>
      </c>
      <c r="O16" s="41" t="str">
        <f>IFERROR(VLOOKUP($A16,'Parts List and Volumes'!$C$2:$W207,9,FALSE),"")</f>
        <v/>
      </c>
      <c r="P16" s="41" t="str">
        <f>IFERROR(VLOOKUP($A16,'Parts List and Volumes'!$C$2:$W207,10,FALSE),"")</f>
        <v/>
      </c>
      <c r="Q16" s="48" t="str">
        <f t="shared" si="2"/>
        <v/>
      </c>
      <c r="R16" s="43" t="str">
        <f t="shared" si="2"/>
        <v/>
      </c>
      <c r="S16" s="44" t="str">
        <f>IFERROR(VLOOKUP($A16,'Parts List and Volumes'!$C$2:$W207,11,FALSE),"")</f>
        <v/>
      </c>
      <c r="T16" s="45" t="str">
        <f>IFERROR(VLOOKUP($A16,'Parts List and Volumes'!$C$2:$W207,12,FALSE),"")</f>
        <v/>
      </c>
      <c r="U16" s="46" t="str">
        <f t="shared" si="3"/>
        <v/>
      </c>
      <c r="V16" s="47" t="str">
        <f t="shared" si="3"/>
        <v/>
      </c>
      <c r="W16" s="40" t="str">
        <f>IFERROR(VLOOKUP($A16,'Parts List and Volumes'!$C$2:$W207,13,FALSE),"")</f>
        <v/>
      </c>
      <c r="X16" s="41" t="str">
        <f>IFERROR(VLOOKUP($A16,'Parts List and Volumes'!$C$2:$W207,14,FALSE),"")</f>
        <v/>
      </c>
      <c r="Y16" s="48" t="str">
        <f t="shared" si="4"/>
        <v/>
      </c>
      <c r="Z16" s="43" t="str">
        <f t="shared" si="4"/>
        <v/>
      </c>
      <c r="AA16" s="49" t="str">
        <f>IFERROR(VLOOKUP($A16,'Parts List and Volumes'!$C$2:$W207,15,FALSE),"")</f>
        <v/>
      </c>
      <c r="AB16" s="50" t="str">
        <f>IFERROR(VLOOKUP($A16,'Parts List and Volumes'!$C$2:$W207,16,FALSE),"")</f>
        <v/>
      </c>
      <c r="AC16" s="51" t="str">
        <f t="shared" si="5"/>
        <v/>
      </c>
      <c r="AD16" s="52" t="str">
        <f t="shared" si="5"/>
        <v/>
      </c>
      <c r="AE16" s="40" t="str">
        <f>IFERROR(VLOOKUP($A16,'Parts List and Volumes'!$C$2:$W207,17,FALSE),"")</f>
        <v/>
      </c>
      <c r="AF16" s="41" t="str">
        <f>IFERROR(VLOOKUP($A16,'Parts List and Volumes'!$C$2:$W207,18,FALSE),"")</f>
        <v/>
      </c>
      <c r="AG16" s="48" t="str">
        <f t="shared" si="6"/>
        <v/>
      </c>
      <c r="AH16" s="43" t="str">
        <f t="shared" si="6"/>
        <v/>
      </c>
      <c r="AI16" s="49" t="str">
        <f>IFERROR(VLOOKUP($A16,'Parts List and Volumes'!$C$2:$W207,19,FALSE),"")</f>
        <v/>
      </c>
      <c r="AJ16" s="50" t="str">
        <f>IFERROR(VLOOKUP($A16,'Parts List and Volumes'!$C$2:$W207,20,FALSE),"")</f>
        <v/>
      </c>
      <c r="AK16" s="51" t="str">
        <f t="shared" si="7"/>
        <v/>
      </c>
      <c r="AL16" s="52" t="str">
        <f t="shared" si="7"/>
        <v/>
      </c>
      <c r="AM16" s="40" t="str">
        <f>IFERROR(VLOOKUP($A16,'Parts List and Volumes'!$C$2:$W207,21,FALSE),"")</f>
        <v/>
      </c>
      <c r="AN16" s="41" t="str">
        <f>IFERROR(VLOOKUP($A16,'Parts List and Volumes'!$C$2:$W207,22,FALSE),"")</f>
        <v/>
      </c>
      <c r="AO16" s="48" t="str">
        <f t="shared" si="8"/>
        <v/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23"/>
      <c r="B17" s="24"/>
      <c r="C17" s="20" t="str">
        <f>IFERROR(VLOOKUP(A17,'Parts List and Volumes'!C16:D208,2,FALSE),"")</f>
        <v/>
      </c>
      <c r="D17" s="39" t="str">
        <f>IFERROR(IF(VLOOKUP($A17,'Parts List and Volumes'!$C16:$F271,3,FALSE)=0,"",VLOOKUP(A17,'Parts List and Volumes'!C16:F271,3,FALSE)),"")</f>
        <v/>
      </c>
      <c r="E17" s="39" t="str">
        <f>IFERROR(IF(VLOOKUP($A17,'Parts List and Volumes'!$C16:$F271,4,FALSE)=0,"",VLOOKUP(B17,'Parts List and Volumes'!D16:G271,3,FALSE)),"")</f>
        <v/>
      </c>
      <c r="F17" s="26"/>
      <c r="G17" s="40" t="str">
        <f>IFERROR(VLOOKUP($A17,'Parts List and Volumes'!$C$2:$W208,5,FALSE),"")</f>
        <v/>
      </c>
      <c r="H17" s="41" t="str">
        <f>IFERROR(VLOOKUP($A17,'Parts List and Volumes'!$C$2:$W208,6,FALSE),"")</f>
        <v/>
      </c>
      <c r="I17" s="42" t="str">
        <f t="shared" si="0"/>
        <v/>
      </c>
      <c r="J17" s="43" t="str">
        <f t="shared" si="0"/>
        <v/>
      </c>
      <c r="K17" s="58" t="str">
        <f>IFERROR(VLOOKUP($A17,'Parts List and Volumes'!$C$2:$W208,7,FALSE),"")</f>
        <v/>
      </c>
      <c r="L17" s="45" t="str">
        <f>IFERROR(VLOOKUP($A17,'Parts List and Volumes'!$C$2:$W208,8,FALSE),"")</f>
        <v/>
      </c>
      <c r="M17" s="46" t="str">
        <f t="shared" si="1"/>
        <v/>
      </c>
      <c r="N17" s="47" t="str">
        <f t="shared" si="1"/>
        <v/>
      </c>
      <c r="O17" s="41" t="str">
        <f>IFERROR(VLOOKUP($A17,'Parts List and Volumes'!$C$2:$W208,9,FALSE),"")</f>
        <v/>
      </c>
      <c r="P17" s="41" t="str">
        <f>IFERROR(VLOOKUP($A17,'Parts List and Volumes'!$C$2:$W208,10,FALSE),"")</f>
        <v/>
      </c>
      <c r="Q17" s="48" t="str">
        <f t="shared" si="2"/>
        <v/>
      </c>
      <c r="R17" s="43" t="str">
        <f t="shared" si="2"/>
        <v/>
      </c>
      <c r="S17" s="44" t="str">
        <f>IFERROR(VLOOKUP($A17,'Parts List and Volumes'!$C$2:$W208,11,FALSE),"")</f>
        <v/>
      </c>
      <c r="T17" s="45" t="str">
        <f>IFERROR(VLOOKUP($A17,'Parts List and Volumes'!$C$2:$W208,12,FALSE),"")</f>
        <v/>
      </c>
      <c r="U17" s="46" t="str">
        <f t="shared" si="3"/>
        <v/>
      </c>
      <c r="V17" s="47" t="str">
        <f t="shared" si="3"/>
        <v/>
      </c>
      <c r="W17" s="40" t="str">
        <f>IFERROR(VLOOKUP($A17,'Parts List and Volumes'!$C$2:$W208,13,FALSE),"")</f>
        <v/>
      </c>
      <c r="X17" s="41" t="str">
        <f>IFERROR(VLOOKUP($A17,'Parts List and Volumes'!$C$2:$W208,14,FALSE),"")</f>
        <v/>
      </c>
      <c r="Y17" s="48" t="str">
        <f t="shared" si="4"/>
        <v/>
      </c>
      <c r="Z17" s="43" t="str">
        <f t="shared" si="4"/>
        <v/>
      </c>
      <c r="AA17" s="49" t="str">
        <f>IFERROR(VLOOKUP($A17,'Parts List and Volumes'!$C$2:$W208,15,FALSE),"")</f>
        <v/>
      </c>
      <c r="AB17" s="50" t="str">
        <f>IFERROR(VLOOKUP($A17,'Parts List and Volumes'!$C$2:$W208,16,FALSE),"")</f>
        <v/>
      </c>
      <c r="AC17" s="51" t="str">
        <f t="shared" si="5"/>
        <v/>
      </c>
      <c r="AD17" s="52" t="str">
        <f t="shared" si="5"/>
        <v/>
      </c>
      <c r="AE17" s="40" t="str">
        <f>IFERROR(VLOOKUP($A17,'Parts List and Volumes'!$C$2:$W208,17,FALSE),"")</f>
        <v/>
      </c>
      <c r="AF17" s="41" t="str">
        <f>IFERROR(VLOOKUP($A17,'Parts List and Volumes'!$C$2:$W208,18,FALSE),"")</f>
        <v/>
      </c>
      <c r="AG17" s="48" t="str">
        <f t="shared" si="6"/>
        <v/>
      </c>
      <c r="AH17" s="43" t="str">
        <f t="shared" si="6"/>
        <v/>
      </c>
      <c r="AI17" s="49" t="str">
        <f>IFERROR(VLOOKUP($A17,'Parts List and Volumes'!$C$2:$W208,19,FALSE),"")</f>
        <v/>
      </c>
      <c r="AJ17" s="50" t="str">
        <f>IFERROR(VLOOKUP($A17,'Parts List and Volumes'!$C$2:$W208,20,FALSE),"")</f>
        <v/>
      </c>
      <c r="AK17" s="51" t="str">
        <f t="shared" si="7"/>
        <v/>
      </c>
      <c r="AL17" s="52" t="str">
        <f t="shared" si="7"/>
        <v/>
      </c>
      <c r="AM17" s="40" t="str">
        <f>IFERROR(VLOOKUP($A17,'Parts List and Volumes'!$C$2:$W208,21,FALSE),"")</f>
        <v/>
      </c>
      <c r="AN17" s="41" t="str">
        <f>IFERROR(VLOOKUP($A17,'Parts List and Volumes'!$C$2:$W208,22,FALSE),"")</f>
        <v/>
      </c>
      <c r="AO17" s="48" t="str">
        <f t="shared" si="8"/>
        <v/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23"/>
      <c r="B18" s="24"/>
      <c r="C18" s="20" t="str">
        <f>IFERROR(VLOOKUP(A18,'Parts List and Volumes'!C17:D209,2,FALSE),"")</f>
        <v/>
      </c>
      <c r="D18" s="39" t="str">
        <f>IFERROR(IF(VLOOKUP($A18,'Parts List and Volumes'!$C17:$F272,3,FALSE)=0,"",VLOOKUP(A18,'Parts List and Volumes'!C17:F272,3,FALSE)),"")</f>
        <v/>
      </c>
      <c r="E18" s="39" t="str">
        <f>IFERROR(IF(VLOOKUP($A18,'Parts List and Volumes'!$C17:$F272,4,FALSE)=0,"",VLOOKUP(B18,'Parts List and Volumes'!D17:G272,3,FALSE)),"")</f>
        <v/>
      </c>
      <c r="F18" s="26"/>
      <c r="G18" s="40" t="str">
        <f>IFERROR(VLOOKUP($A18,'Parts List and Volumes'!$C$2:$W209,5,FALSE),"")</f>
        <v/>
      </c>
      <c r="H18" s="41" t="str">
        <f>IFERROR(VLOOKUP($A18,'Parts List and Volumes'!$C$2:$W209,6,FALSE),"")</f>
        <v/>
      </c>
      <c r="I18" s="42" t="str">
        <f t="shared" si="0"/>
        <v/>
      </c>
      <c r="J18" s="43" t="str">
        <f t="shared" si="0"/>
        <v/>
      </c>
      <c r="K18" s="58" t="str">
        <f>IFERROR(VLOOKUP($A18,'Parts List and Volumes'!$C$2:$W209,7,FALSE),"")</f>
        <v/>
      </c>
      <c r="L18" s="45" t="str">
        <f>IFERROR(VLOOKUP($A18,'Parts List and Volumes'!$C$2:$W209,8,FALSE),"")</f>
        <v/>
      </c>
      <c r="M18" s="46" t="str">
        <f t="shared" si="1"/>
        <v/>
      </c>
      <c r="N18" s="47" t="str">
        <f t="shared" si="1"/>
        <v/>
      </c>
      <c r="O18" s="41" t="str">
        <f>IFERROR(VLOOKUP($A18,'Parts List and Volumes'!$C$2:$W209,9,FALSE),"")</f>
        <v/>
      </c>
      <c r="P18" s="41" t="str">
        <f>IFERROR(VLOOKUP($A18,'Parts List and Volumes'!$C$2:$W209,10,FALSE),"")</f>
        <v/>
      </c>
      <c r="Q18" s="48" t="str">
        <f t="shared" si="2"/>
        <v/>
      </c>
      <c r="R18" s="43" t="str">
        <f t="shared" si="2"/>
        <v/>
      </c>
      <c r="S18" s="44" t="str">
        <f>IFERROR(VLOOKUP($A18,'Parts List and Volumes'!$C$2:$W209,11,FALSE),"")</f>
        <v/>
      </c>
      <c r="T18" s="45" t="str">
        <f>IFERROR(VLOOKUP($A18,'Parts List and Volumes'!$C$2:$W209,12,FALSE),"")</f>
        <v/>
      </c>
      <c r="U18" s="46" t="str">
        <f t="shared" si="3"/>
        <v/>
      </c>
      <c r="V18" s="47" t="str">
        <f t="shared" si="3"/>
        <v/>
      </c>
      <c r="W18" s="40" t="str">
        <f>IFERROR(VLOOKUP($A18,'Parts List and Volumes'!$C$2:$W209,13,FALSE),"")</f>
        <v/>
      </c>
      <c r="X18" s="41" t="str">
        <f>IFERROR(VLOOKUP($A18,'Parts List and Volumes'!$C$2:$W209,14,FALSE),"")</f>
        <v/>
      </c>
      <c r="Y18" s="48" t="str">
        <f t="shared" si="4"/>
        <v/>
      </c>
      <c r="Z18" s="43" t="str">
        <f t="shared" si="4"/>
        <v/>
      </c>
      <c r="AA18" s="49" t="str">
        <f>IFERROR(VLOOKUP($A18,'Parts List and Volumes'!$C$2:$W209,15,FALSE),"")</f>
        <v/>
      </c>
      <c r="AB18" s="50" t="str">
        <f>IFERROR(VLOOKUP($A18,'Parts List and Volumes'!$C$2:$W209,16,FALSE),"")</f>
        <v/>
      </c>
      <c r="AC18" s="51" t="str">
        <f t="shared" si="5"/>
        <v/>
      </c>
      <c r="AD18" s="52" t="str">
        <f t="shared" si="5"/>
        <v/>
      </c>
      <c r="AE18" s="40" t="str">
        <f>IFERROR(VLOOKUP($A18,'Parts List and Volumes'!$C$2:$W209,17,FALSE),"")</f>
        <v/>
      </c>
      <c r="AF18" s="41" t="str">
        <f>IFERROR(VLOOKUP($A18,'Parts List and Volumes'!$C$2:$W209,18,FALSE),"")</f>
        <v/>
      </c>
      <c r="AG18" s="48" t="str">
        <f t="shared" si="6"/>
        <v/>
      </c>
      <c r="AH18" s="43" t="str">
        <f t="shared" si="6"/>
        <v/>
      </c>
      <c r="AI18" s="49" t="str">
        <f>IFERROR(VLOOKUP($A18,'Parts List and Volumes'!$C$2:$W209,19,FALSE),"")</f>
        <v/>
      </c>
      <c r="AJ18" s="50" t="str">
        <f>IFERROR(VLOOKUP($A18,'Parts List and Volumes'!$C$2:$W209,20,FALSE),"")</f>
        <v/>
      </c>
      <c r="AK18" s="51" t="str">
        <f t="shared" si="7"/>
        <v/>
      </c>
      <c r="AL18" s="52" t="str">
        <f t="shared" si="7"/>
        <v/>
      </c>
      <c r="AM18" s="40" t="str">
        <f>IFERROR(VLOOKUP($A18,'Parts List and Volumes'!$C$2:$W209,21,FALSE),"")</f>
        <v/>
      </c>
      <c r="AN18" s="41" t="str">
        <f>IFERROR(VLOOKUP($A18,'Parts List and Volumes'!$C$2:$W209,22,FALSE),"")</f>
        <v/>
      </c>
      <c r="AO18" s="48" t="str">
        <f t="shared" si="8"/>
        <v/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23"/>
      <c r="B19" s="24"/>
      <c r="C19" s="20" t="str">
        <f>IFERROR(VLOOKUP(A19,'Parts List and Volumes'!C18:D210,2,FALSE),"")</f>
        <v/>
      </c>
      <c r="D19" s="39" t="str">
        <f>IFERROR(IF(VLOOKUP($A19,'Parts List and Volumes'!$C18:$F273,3,FALSE)=0,"",VLOOKUP(A19,'Parts List and Volumes'!C18:F273,3,FALSE)),"")</f>
        <v/>
      </c>
      <c r="E19" s="39" t="str">
        <f>IFERROR(IF(VLOOKUP($A19,'Parts List and Volumes'!$C18:$F273,4,FALSE)=0,"",VLOOKUP(B19,'Parts List and Volumes'!D18:G273,3,FALSE)),"")</f>
        <v/>
      </c>
      <c r="F19" s="26"/>
      <c r="G19" s="40" t="str">
        <f>IFERROR(VLOOKUP($A19,'Parts List and Volumes'!$C$2:$W210,5,FALSE),"")</f>
        <v/>
      </c>
      <c r="H19" s="41" t="str">
        <f>IFERROR(VLOOKUP($A19,'Parts List and Volumes'!$C$2:$W210,6,FALSE),"")</f>
        <v/>
      </c>
      <c r="I19" s="42" t="str">
        <f t="shared" si="0"/>
        <v/>
      </c>
      <c r="J19" s="43" t="str">
        <f t="shared" si="0"/>
        <v/>
      </c>
      <c r="K19" s="58" t="str">
        <f>IFERROR(VLOOKUP($A19,'Parts List and Volumes'!$C$2:$W210,7,FALSE),"")</f>
        <v/>
      </c>
      <c r="L19" s="45" t="str">
        <f>IFERROR(VLOOKUP($A19,'Parts List and Volumes'!$C$2:$W210,8,FALSE),"")</f>
        <v/>
      </c>
      <c r="M19" s="46" t="str">
        <f t="shared" si="1"/>
        <v/>
      </c>
      <c r="N19" s="47" t="str">
        <f t="shared" si="1"/>
        <v/>
      </c>
      <c r="O19" s="41" t="str">
        <f>IFERROR(VLOOKUP($A19,'Parts List and Volumes'!$C$2:$W210,9,FALSE),"")</f>
        <v/>
      </c>
      <c r="P19" s="41" t="str">
        <f>IFERROR(VLOOKUP($A19,'Parts List and Volumes'!$C$2:$W210,10,FALSE),"")</f>
        <v/>
      </c>
      <c r="Q19" s="48" t="str">
        <f t="shared" si="2"/>
        <v/>
      </c>
      <c r="R19" s="43" t="str">
        <f t="shared" si="2"/>
        <v/>
      </c>
      <c r="S19" s="44" t="str">
        <f>IFERROR(VLOOKUP($A19,'Parts List and Volumes'!$C$2:$W210,11,FALSE),"")</f>
        <v/>
      </c>
      <c r="T19" s="45" t="str">
        <f>IFERROR(VLOOKUP($A19,'Parts List and Volumes'!$C$2:$W210,12,FALSE),"")</f>
        <v/>
      </c>
      <c r="U19" s="46" t="str">
        <f t="shared" si="3"/>
        <v/>
      </c>
      <c r="V19" s="47" t="str">
        <f t="shared" si="3"/>
        <v/>
      </c>
      <c r="W19" s="40" t="str">
        <f>IFERROR(VLOOKUP($A19,'Parts List and Volumes'!$C$2:$W210,13,FALSE),"")</f>
        <v/>
      </c>
      <c r="X19" s="41" t="str">
        <f>IFERROR(VLOOKUP($A19,'Parts List and Volumes'!$C$2:$W210,14,FALSE),"")</f>
        <v/>
      </c>
      <c r="Y19" s="48" t="str">
        <f t="shared" si="4"/>
        <v/>
      </c>
      <c r="Z19" s="43" t="str">
        <f t="shared" si="4"/>
        <v/>
      </c>
      <c r="AA19" s="49" t="str">
        <f>IFERROR(VLOOKUP($A19,'Parts List and Volumes'!$C$2:$W210,15,FALSE),"")</f>
        <v/>
      </c>
      <c r="AB19" s="50" t="str">
        <f>IFERROR(VLOOKUP($A19,'Parts List and Volumes'!$C$2:$W210,16,FALSE),"")</f>
        <v/>
      </c>
      <c r="AC19" s="51" t="str">
        <f t="shared" si="5"/>
        <v/>
      </c>
      <c r="AD19" s="52" t="str">
        <f t="shared" si="5"/>
        <v/>
      </c>
      <c r="AE19" s="40" t="str">
        <f>IFERROR(VLOOKUP($A19,'Parts List and Volumes'!$C$2:$W210,17,FALSE),"")</f>
        <v/>
      </c>
      <c r="AF19" s="41" t="str">
        <f>IFERROR(VLOOKUP($A19,'Parts List and Volumes'!$C$2:$W210,18,FALSE),"")</f>
        <v/>
      </c>
      <c r="AG19" s="48" t="str">
        <f t="shared" si="6"/>
        <v/>
      </c>
      <c r="AH19" s="43" t="str">
        <f t="shared" si="6"/>
        <v/>
      </c>
      <c r="AI19" s="49" t="str">
        <f>IFERROR(VLOOKUP($A19,'Parts List and Volumes'!$C$2:$W210,19,FALSE),"")</f>
        <v/>
      </c>
      <c r="AJ19" s="50" t="str">
        <f>IFERROR(VLOOKUP($A19,'Parts List and Volumes'!$C$2:$W210,20,FALSE),"")</f>
        <v/>
      </c>
      <c r="AK19" s="51" t="str">
        <f t="shared" si="7"/>
        <v/>
      </c>
      <c r="AL19" s="52" t="str">
        <f t="shared" si="7"/>
        <v/>
      </c>
      <c r="AM19" s="40" t="str">
        <f>IFERROR(VLOOKUP($A19,'Parts List and Volumes'!$C$2:$W210,21,FALSE),"")</f>
        <v/>
      </c>
      <c r="AN19" s="41" t="str">
        <f>IFERROR(VLOOKUP($A19,'Parts List and Volumes'!$C$2:$W210,22,FALSE),"")</f>
        <v/>
      </c>
      <c r="AO19" s="48" t="str">
        <f t="shared" si="8"/>
        <v/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23"/>
      <c r="B20" s="24"/>
      <c r="C20" s="20" t="str">
        <f>IFERROR(VLOOKUP(A20,'Parts List and Volumes'!C19:D211,2,FALSE),"")</f>
        <v/>
      </c>
      <c r="D20" s="39" t="str">
        <f>IFERROR(IF(VLOOKUP($A20,'Parts List and Volumes'!$C19:$F274,3,FALSE)=0,"",VLOOKUP(A20,'Parts List and Volumes'!C19:F274,3,FALSE)),"")</f>
        <v/>
      </c>
      <c r="E20" s="39" t="str">
        <f>IFERROR(IF(VLOOKUP($A20,'Parts List and Volumes'!$C19:$F274,4,FALSE)=0,"",VLOOKUP(B20,'Parts List and Volumes'!D19:G274,3,FALSE)),"")</f>
        <v/>
      </c>
      <c r="F20" s="26"/>
      <c r="G20" s="40" t="str">
        <f>IFERROR(VLOOKUP($A20,'Parts List and Volumes'!$C$2:$W211,5,FALSE),"")</f>
        <v/>
      </c>
      <c r="H20" s="41" t="str">
        <f>IFERROR(VLOOKUP($A20,'Parts List and Volumes'!$C$2:$W211,6,FALSE),"")</f>
        <v/>
      </c>
      <c r="I20" s="42" t="str">
        <f t="shared" si="0"/>
        <v/>
      </c>
      <c r="J20" s="43" t="str">
        <f t="shared" si="0"/>
        <v/>
      </c>
      <c r="K20" s="58" t="str">
        <f>IFERROR(VLOOKUP($A20,'Parts List and Volumes'!$C$2:$W211,7,FALSE),"")</f>
        <v/>
      </c>
      <c r="L20" s="45" t="str">
        <f>IFERROR(VLOOKUP($A20,'Parts List and Volumes'!$C$2:$W211,8,FALSE),"")</f>
        <v/>
      </c>
      <c r="M20" s="46" t="str">
        <f t="shared" si="1"/>
        <v/>
      </c>
      <c r="N20" s="47" t="str">
        <f t="shared" si="1"/>
        <v/>
      </c>
      <c r="O20" s="41" t="str">
        <f>IFERROR(VLOOKUP($A20,'Parts List and Volumes'!$C$2:$W211,9,FALSE),"")</f>
        <v/>
      </c>
      <c r="P20" s="41" t="str">
        <f>IFERROR(VLOOKUP($A20,'Parts List and Volumes'!$C$2:$W211,10,FALSE),"")</f>
        <v/>
      </c>
      <c r="Q20" s="48" t="str">
        <f t="shared" si="2"/>
        <v/>
      </c>
      <c r="R20" s="43" t="str">
        <f t="shared" si="2"/>
        <v/>
      </c>
      <c r="S20" s="44" t="str">
        <f>IFERROR(VLOOKUP($A20,'Parts List and Volumes'!$C$2:$W211,11,FALSE),"")</f>
        <v/>
      </c>
      <c r="T20" s="45" t="str">
        <f>IFERROR(VLOOKUP($A20,'Parts List and Volumes'!$C$2:$W211,12,FALSE),"")</f>
        <v/>
      </c>
      <c r="U20" s="46" t="str">
        <f t="shared" si="3"/>
        <v/>
      </c>
      <c r="V20" s="47" t="str">
        <f t="shared" si="3"/>
        <v/>
      </c>
      <c r="W20" s="40" t="str">
        <f>IFERROR(VLOOKUP($A20,'Parts List and Volumes'!$C$2:$W211,13,FALSE),"")</f>
        <v/>
      </c>
      <c r="X20" s="41" t="str">
        <f>IFERROR(VLOOKUP($A20,'Parts List and Volumes'!$C$2:$W211,14,FALSE),"")</f>
        <v/>
      </c>
      <c r="Y20" s="48" t="str">
        <f t="shared" si="4"/>
        <v/>
      </c>
      <c r="Z20" s="43" t="str">
        <f t="shared" si="4"/>
        <v/>
      </c>
      <c r="AA20" s="49" t="str">
        <f>IFERROR(VLOOKUP($A20,'Parts List and Volumes'!$C$2:$W211,15,FALSE),"")</f>
        <v/>
      </c>
      <c r="AB20" s="50" t="str">
        <f>IFERROR(VLOOKUP($A20,'Parts List and Volumes'!$C$2:$W211,16,FALSE),"")</f>
        <v/>
      </c>
      <c r="AC20" s="51" t="str">
        <f t="shared" si="5"/>
        <v/>
      </c>
      <c r="AD20" s="52" t="str">
        <f t="shared" si="5"/>
        <v/>
      </c>
      <c r="AE20" s="40" t="str">
        <f>IFERROR(VLOOKUP($A20,'Parts List and Volumes'!$C$2:$W211,17,FALSE),"")</f>
        <v/>
      </c>
      <c r="AF20" s="41" t="str">
        <f>IFERROR(VLOOKUP($A20,'Parts List and Volumes'!$C$2:$W211,18,FALSE),"")</f>
        <v/>
      </c>
      <c r="AG20" s="48" t="str">
        <f t="shared" si="6"/>
        <v/>
      </c>
      <c r="AH20" s="43" t="str">
        <f t="shared" si="6"/>
        <v/>
      </c>
      <c r="AI20" s="49" t="str">
        <f>IFERROR(VLOOKUP($A20,'Parts List and Volumes'!$C$2:$W211,19,FALSE),"")</f>
        <v/>
      </c>
      <c r="AJ20" s="50" t="str">
        <f>IFERROR(VLOOKUP($A20,'Parts List and Volumes'!$C$2:$W211,20,FALSE),"")</f>
        <v/>
      </c>
      <c r="AK20" s="51" t="str">
        <f t="shared" si="7"/>
        <v/>
      </c>
      <c r="AL20" s="52" t="str">
        <f t="shared" si="7"/>
        <v/>
      </c>
      <c r="AM20" s="40" t="str">
        <f>IFERROR(VLOOKUP($A20,'Parts List and Volumes'!$C$2:$W211,21,FALSE),"")</f>
        <v/>
      </c>
      <c r="AN20" s="41" t="str">
        <f>IFERROR(VLOOKUP($A20,'Parts List and Volumes'!$C$2:$W211,22,FALSE),"")</f>
        <v/>
      </c>
      <c r="AO20" s="48" t="str">
        <f t="shared" si="8"/>
        <v/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0.81643717467467469</v>
      </c>
      <c r="J52" s="53">
        <f>SUM(J3:J50)</f>
        <v>0.99921574364775034</v>
      </c>
      <c r="M52" s="53">
        <f>SUM(M3:M50)</f>
        <v>0</v>
      </c>
      <c r="N52" s="53">
        <f>SUM(N3:N50)</f>
        <v>0.91072395166054876</v>
      </c>
      <c r="Q52" s="53">
        <f>SUM(Q3:Q50)</f>
        <v>0</v>
      </c>
      <c r="R52" s="53">
        <f>SUM(R3:R50)</f>
        <v>0.80465602750793341</v>
      </c>
      <c r="U52" s="53">
        <f>SUM(U3:U50)</f>
        <v>0</v>
      </c>
      <c r="V52" s="53">
        <f>SUM(V3:V50)</f>
        <v>0.66355806525651684</v>
      </c>
      <c r="Y52" s="53">
        <f>SUM(Y3:Y50)</f>
        <v>0</v>
      </c>
      <c r="Z52" s="53">
        <f>SUM(Z3:Z50)</f>
        <v>0.13749636261436829</v>
      </c>
      <c r="AC52" s="53">
        <f>SUM(AC3:AC50)</f>
        <v>0</v>
      </c>
      <c r="AD52" s="53">
        <f>SUM(AD3:AD50)</f>
        <v>0</v>
      </c>
      <c r="AG52" s="53">
        <f>SUM(AG3:AG50)</f>
        <v>0</v>
      </c>
      <c r="AH52" s="53">
        <f>SUM(AH3:AH50)</f>
        <v>0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A3 D3:F50">
    <cfRule type="expression" dxfId="1211" priority="108" stopIfTrue="1">
      <formula>#REF!="DLN"</formula>
    </cfRule>
  </conditionalFormatting>
  <conditionalFormatting sqref="F3:F7 A3 D3:E50">
    <cfRule type="expression" dxfId="1210" priority="107" stopIfTrue="1">
      <formula>#REF!="DLN"</formula>
    </cfRule>
  </conditionalFormatting>
  <conditionalFormatting sqref="L3:L50">
    <cfRule type="expression" dxfId="1209" priority="106" stopIfTrue="1">
      <formula>#REF!="DLN"</formula>
    </cfRule>
  </conditionalFormatting>
  <conditionalFormatting sqref="L3:L50">
    <cfRule type="expression" dxfId="1208" priority="105" stopIfTrue="1">
      <formula>#REF!="DLN"</formula>
    </cfRule>
  </conditionalFormatting>
  <conditionalFormatting sqref="T3:T50">
    <cfRule type="expression" dxfId="1207" priority="104" stopIfTrue="1">
      <formula>#REF!="DLN"</formula>
    </cfRule>
  </conditionalFormatting>
  <conditionalFormatting sqref="T3:T50">
    <cfRule type="expression" dxfId="1206" priority="103" stopIfTrue="1">
      <formula>#REF!="DLN"</formula>
    </cfRule>
  </conditionalFormatting>
  <conditionalFormatting sqref="X3:X50">
    <cfRule type="expression" dxfId="1205" priority="102" stopIfTrue="1">
      <formula>#REF!="DLN"</formula>
    </cfRule>
  </conditionalFormatting>
  <conditionalFormatting sqref="X3:X50">
    <cfRule type="expression" dxfId="1204" priority="101" stopIfTrue="1">
      <formula>#REF!="DLN"</formula>
    </cfRule>
  </conditionalFormatting>
  <conditionalFormatting sqref="G2">
    <cfRule type="expression" dxfId="1203" priority="100" stopIfTrue="1">
      <formula>#REF!="DLN"</formula>
    </cfRule>
  </conditionalFormatting>
  <conditionalFormatting sqref="G2">
    <cfRule type="expression" dxfId="1202" priority="99" stopIfTrue="1">
      <formula>#REF!="DLN"</formula>
    </cfRule>
  </conditionalFormatting>
  <conditionalFormatting sqref="K2">
    <cfRule type="expression" dxfId="1201" priority="98" stopIfTrue="1">
      <formula>#REF!="DLN"</formula>
    </cfRule>
  </conditionalFormatting>
  <conditionalFormatting sqref="K2">
    <cfRule type="expression" dxfId="1200" priority="97" stopIfTrue="1">
      <formula>#REF!="DLN"</formula>
    </cfRule>
  </conditionalFormatting>
  <conditionalFormatting sqref="O2">
    <cfRule type="expression" dxfId="1199" priority="96" stopIfTrue="1">
      <formula>#REF!="DLN"</formula>
    </cfRule>
  </conditionalFormatting>
  <conditionalFormatting sqref="O2">
    <cfRule type="expression" dxfId="1198" priority="95" stopIfTrue="1">
      <formula>#REF!="DLN"</formula>
    </cfRule>
  </conditionalFormatting>
  <conditionalFormatting sqref="S2">
    <cfRule type="expression" dxfId="1197" priority="94" stopIfTrue="1">
      <formula>#REF!="DLN"</formula>
    </cfRule>
  </conditionalFormatting>
  <conditionalFormatting sqref="S2">
    <cfRule type="expression" dxfId="1196" priority="93" stopIfTrue="1">
      <formula>#REF!="DLN"</formula>
    </cfRule>
  </conditionalFormatting>
  <conditionalFormatting sqref="W2">
    <cfRule type="expression" dxfId="1195" priority="92" stopIfTrue="1">
      <formula>#REF!="DLN"</formula>
    </cfRule>
  </conditionalFormatting>
  <conditionalFormatting sqref="W2">
    <cfRule type="expression" dxfId="1194" priority="91" stopIfTrue="1">
      <formula>#REF!="DLN"</formula>
    </cfRule>
  </conditionalFormatting>
  <conditionalFormatting sqref="AF3:AF50">
    <cfRule type="expression" dxfId="1193" priority="43" stopIfTrue="1">
      <formula>#REF!="DLN"</formula>
    </cfRule>
  </conditionalFormatting>
  <conditionalFormatting sqref="W3:W50">
    <cfRule type="expression" dxfId="1192" priority="90" stopIfTrue="1">
      <formula>#REF!="DLN"</formula>
    </cfRule>
  </conditionalFormatting>
  <conditionalFormatting sqref="W3:W50">
    <cfRule type="expression" dxfId="1191" priority="89" stopIfTrue="1">
      <formula>#REF!="DLN"</formula>
    </cfRule>
  </conditionalFormatting>
  <conditionalFormatting sqref="S3:S50">
    <cfRule type="expression" dxfId="1190" priority="88" stopIfTrue="1">
      <formula>#REF!="DLN"</formula>
    </cfRule>
  </conditionalFormatting>
  <conditionalFormatting sqref="S3:S50">
    <cfRule type="expression" dxfId="1189" priority="87" stopIfTrue="1">
      <formula>#REF!="DLN"</formula>
    </cfRule>
  </conditionalFormatting>
  <conditionalFormatting sqref="K3:K50">
    <cfRule type="expression" dxfId="1188" priority="86" stopIfTrue="1">
      <formula>#REF!="DLN"</formula>
    </cfRule>
  </conditionalFormatting>
  <conditionalFormatting sqref="K3:K50">
    <cfRule type="expression" dxfId="1187" priority="85" stopIfTrue="1">
      <formula>#REF!="DLN"</formula>
    </cfRule>
  </conditionalFormatting>
  <conditionalFormatting sqref="AF3:AF50">
    <cfRule type="expression" dxfId="1186" priority="44" stopIfTrue="1">
      <formula>#REF!="DLN"</formula>
    </cfRule>
  </conditionalFormatting>
  <conditionalFormatting sqref="J52">
    <cfRule type="cellIs" dxfId="1185" priority="81" stopIfTrue="1" operator="greaterThanOrEqual">
      <formula>0.801</formula>
    </cfRule>
    <cfRule type="cellIs" dxfId="1184" priority="82" stopIfTrue="1" operator="between">
      <formula>0.61</formula>
      <formula>0.8</formula>
    </cfRule>
    <cfRule type="cellIs" dxfId="1183" priority="83" stopIfTrue="1" operator="between">
      <formula>0</formula>
      <formula>0.6</formula>
    </cfRule>
  </conditionalFormatting>
  <conditionalFormatting sqref="J52">
    <cfRule type="expression" dxfId="1182" priority="84" stopIfTrue="1">
      <formula>#REF!="DLN"</formula>
    </cfRule>
  </conditionalFormatting>
  <conditionalFormatting sqref="I52">
    <cfRule type="cellIs" dxfId="1181" priority="77" stopIfTrue="1" operator="greaterThanOrEqual">
      <formula>0.801</formula>
    </cfRule>
    <cfRule type="cellIs" dxfId="1180" priority="78" stopIfTrue="1" operator="between">
      <formula>0.61</formula>
      <formula>0.8</formula>
    </cfRule>
    <cfRule type="cellIs" dxfId="1179" priority="79" stopIfTrue="1" operator="between">
      <formula>0</formula>
      <formula>0.6</formula>
    </cfRule>
  </conditionalFormatting>
  <conditionalFormatting sqref="I52">
    <cfRule type="expression" dxfId="1178" priority="80" stopIfTrue="1">
      <formula>#REF!="DLN"</formula>
    </cfRule>
  </conditionalFormatting>
  <conditionalFormatting sqref="M52:N52">
    <cfRule type="cellIs" dxfId="1177" priority="73" stopIfTrue="1" operator="greaterThanOrEqual">
      <formula>0.801</formula>
    </cfRule>
    <cfRule type="cellIs" dxfId="1176" priority="74" stopIfTrue="1" operator="between">
      <formula>0.61</formula>
      <formula>0.8</formula>
    </cfRule>
    <cfRule type="cellIs" dxfId="1175" priority="75" stopIfTrue="1" operator="between">
      <formula>0</formula>
      <formula>0.6</formula>
    </cfRule>
  </conditionalFormatting>
  <conditionalFormatting sqref="M52:N52">
    <cfRule type="expression" dxfId="1174" priority="76" stopIfTrue="1">
      <formula>#REF!="DLN"</formula>
    </cfRule>
  </conditionalFormatting>
  <conditionalFormatting sqref="Q52:R52">
    <cfRule type="cellIs" dxfId="1173" priority="69" stopIfTrue="1" operator="greaterThanOrEqual">
      <formula>0.801</formula>
    </cfRule>
    <cfRule type="cellIs" dxfId="1172" priority="70" stopIfTrue="1" operator="between">
      <formula>0.61</formula>
      <formula>0.8</formula>
    </cfRule>
    <cfRule type="cellIs" dxfId="1171" priority="71" stopIfTrue="1" operator="between">
      <formula>0</formula>
      <formula>0.6</formula>
    </cfRule>
  </conditionalFormatting>
  <conditionalFormatting sqref="Q52:R52">
    <cfRule type="expression" dxfId="1170" priority="72" stopIfTrue="1">
      <formula>#REF!="DLN"</formula>
    </cfRule>
  </conditionalFormatting>
  <conditionalFormatting sqref="U52:V52">
    <cfRule type="cellIs" dxfId="1169" priority="65" stopIfTrue="1" operator="greaterThanOrEqual">
      <formula>0.801</formula>
    </cfRule>
    <cfRule type="cellIs" dxfId="1168" priority="66" stopIfTrue="1" operator="between">
      <formula>0.61</formula>
      <formula>0.8</formula>
    </cfRule>
    <cfRule type="cellIs" dxfId="1167" priority="67" stopIfTrue="1" operator="between">
      <formula>0</formula>
      <formula>0.6</formula>
    </cfRule>
  </conditionalFormatting>
  <conditionalFormatting sqref="U52:V52">
    <cfRule type="expression" dxfId="1166" priority="68" stopIfTrue="1">
      <formula>#REF!="DLN"</formula>
    </cfRule>
  </conditionalFormatting>
  <conditionalFormatting sqref="Y52:Z52">
    <cfRule type="cellIs" dxfId="1165" priority="61" stopIfTrue="1" operator="greaterThanOrEqual">
      <formula>0.801</formula>
    </cfRule>
    <cfRule type="cellIs" dxfId="1164" priority="62" stopIfTrue="1" operator="between">
      <formula>0.61</formula>
      <formula>0.8</formula>
    </cfRule>
    <cfRule type="cellIs" dxfId="1163" priority="63" stopIfTrue="1" operator="between">
      <formula>0</formula>
      <formula>0.6</formula>
    </cfRule>
  </conditionalFormatting>
  <conditionalFormatting sqref="Y52:Z52">
    <cfRule type="expression" dxfId="1162" priority="64" stopIfTrue="1">
      <formula>#REF!="DLN"</formula>
    </cfRule>
  </conditionalFormatting>
  <conditionalFormatting sqref="AC52:AD52">
    <cfRule type="cellIs" dxfId="1161" priority="57" stopIfTrue="1" operator="greaterThanOrEqual">
      <formula>0.801</formula>
    </cfRule>
    <cfRule type="cellIs" dxfId="1160" priority="58" stopIfTrue="1" operator="between">
      <formula>0.61</formula>
      <formula>0.8</formula>
    </cfRule>
    <cfRule type="cellIs" dxfId="1159" priority="59" stopIfTrue="1" operator="between">
      <formula>0</formula>
      <formula>0.6</formula>
    </cfRule>
  </conditionalFormatting>
  <conditionalFormatting sqref="AC52:AD52">
    <cfRule type="expression" dxfId="1158" priority="60" stopIfTrue="1">
      <formula>#REF!="DLN"</formula>
    </cfRule>
  </conditionalFormatting>
  <conditionalFormatting sqref="G3:G50">
    <cfRule type="expression" dxfId="1157" priority="55" stopIfTrue="1">
      <formula>#REF!="DLN"</formula>
    </cfRule>
  </conditionalFormatting>
  <conditionalFormatting sqref="G3:G50">
    <cfRule type="expression" dxfId="1156" priority="56" stopIfTrue="1">
      <formula>#REF!="DLN"</formula>
    </cfRule>
  </conditionalFormatting>
  <conditionalFormatting sqref="P3:P50">
    <cfRule type="expression" dxfId="1155" priority="54" stopIfTrue="1">
      <formula>#REF!="DLN"</formula>
    </cfRule>
  </conditionalFormatting>
  <conditionalFormatting sqref="P3:P50">
    <cfRule type="expression" dxfId="1154" priority="53" stopIfTrue="1">
      <formula>#REF!="DLN"</formula>
    </cfRule>
  </conditionalFormatting>
  <conditionalFormatting sqref="O3:O50">
    <cfRule type="expression" dxfId="1153" priority="52" stopIfTrue="1">
      <formula>#REF!="DLN"</formula>
    </cfRule>
  </conditionalFormatting>
  <conditionalFormatting sqref="O3:O50">
    <cfRule type="expression" dxfId="1152" priority="51" stopIfTrue="1">
      <formula>#REF!="DLN"</formula>
    </cfRule>
  </conditionalFormatting>
  <conditionalFormatting sqref="H3:H50">
    <cfRule type="expression" dxfId="1151" priority="50" stopIfTrue="1">
      <formula>#REF!="DLN"</formula>
    </cfRule>
  </conditionalFormatting>
  <conditionalFormatting sqref="H3:H50">
    <cfRule type="expression" dxfId="1150" priority="49" stopIfTrue="1">
      <formula>#REF!="DLN"</formula>
    </cfRule>
  </conditionalFormatting>
  <conditionalFormatting sqref="A4">
    <cfRule type="expression" dxfId="1149" priority="48" stopIfTrue="1">
      <formula>#REF!="DLN"</formula>
    </cfRule>
  </conditionalFormatting>
  <conditionalFormatting sqref="A4">
    <cfRule type="expression" dxfId="1148" priority="47" stopIfTrue="1">
      <formula>#REF!="DLN"</formula>
    </cfRule>
  </conditionalFormatting>
  <conditionalFormatting sqref="A8:A50">
    <cfRule type="expression" dxfId="1147" priority="46" stopIfTrue="1">
      <formula>#REF!="DLN"</formula>
    </cfRule>
  </conditionalFormatting>
  <conditionalFormatting sqref="A8:A50">
    <cfRule type="expression" dxfId="1146" priority="45" stopIfTrue="1">
      <formula>#REF!="DLN"</formula>
    </cfRule>
  </conditionalFormatting>
  <conditionalFormatting sqref="AE2">
    <cfRule type="expression" dxfId="1145" priority="42" stopIfTrue="1">
      <formula>#REF!="DLN"</formula>
    </cfRule>
  </conditionalFormatting>
  <conditionalFormatting sqref="AE2">
    <cfRule type="expression" dxfId="1144" priority="41" stopIfTrue="1">
      <formula>#REF!="DLN"</formula>
    </cfRule>
  </conditionalFormatting>
  <conditionalFormatting sqref="AE3:AE50">
    <cfRule type="expression" dxfId="1143" priority="40" stopIfTrue="1">
      <formula>#REF!="DLN"</formula>
    </cfRule>
  </conditionalFormatting>
  <conditionalFormatting sqref="AE3:AE50">
    <cfRule type="expression" dxfId="1142" priority="39" stopIfTrue="1">
      <formula>#REF!="DLN"</formula>
    </cfRule>
  </conditionalFormatting>
  <conditionalFormatting sqref="AG52:AH52">
    <cfRule type="cellIs" dxfId="1141" priority="35" stopIfTrue="1" operator="greaterThanOrEqual">
      <formula>0.801</formula>
    </cfRule>
    <cfRule type="cellIs" dxfId="1140" priority="36" stopIfTrue="1" operator="between">
      <formula>0.61</formula>
      <formula>0.8</formula>
    </cfRule>
    <cfRule type="cellIs" dxfId="1139" priority="37" stopIfTrue="1" operator="between">
      <formula>0</formula>
      <formula>0.6</formula>
    </cfRule>
  </conditionalFormatting>
  <conditionalFormatting sqref="AG52:AH52">
    <cfRule type="expression" dxfId="1138" priority="38" stopIfTrue="1">
      <formula>#REF!="DLN"</formula>
    </cfRule>
  </conditionalFormatting>
  <conditionalFormatting sqref="AK52:AL52">
    <cfRule type="cellIs" dxfId="1137" priority="31" stopIfTrue="1" operator="greaterThanOrEqual">
      <formula>0.801</formula>
    </cfRule>
    <cfRule type="cellIs" dxfId="1136" priority="32" stopIfTrue="1" operator="between">
      <formula>0.61</formula>
      <formula>0.8</formula>
    </cfRule>
    <cfRule type="cellIs" dxfId="1135" priority="33" stopIfTrue="1" operator="between">
      <formula>0</formula>
      <formula>0.6</formula>
    </cfRule>
  </conditionalFormatting>
  <conditionalFormatting sqref="AK52:AL52">
    <cfRule type="expression" dxfId="1134" priority="34" stopIfTrue="1">
      <formula>#REF!="DLN"</formula>
    </cfRule>
  </conditionalFormatting>
  <conditionalFormatting sqref="AN3:AN50">
    <cfRule type="expression" dxfId="1133" priority="30" stopIfTrue="1">
      <formula>#REF!="DLN"</formula>
    </cfRule>
  </conditionalFormatting>
  <conditionalFormatting sqref="AN3:AN50">
    <cfRule type="expression" dxfId="1132" priority="29" stopIfTrue="1">
      <formula>#REF!="DLN"</formula>
    </cfRule>
  </conditionalFormatting>
  <conditionalFormatting sqref="AM2">
    <cfRule type="expression" dxfId="1131" priority="28" stopIfTrue="1">
      <formula>#REF!="DLN"</formula>
    </cfRule>
  </conditionalFormatting>
  <conditionalFormatting sqref="AM2">
    <cfRule type="expression" dxfId="1130" priority="27" stopIfTrue="1">
      <formula>#REF!="DLN"</formula>
    </cfRule>
  </conditionalFormatting>
  <conditionalFormatting sqref="AM3:AM50">
    <cfRule type="expression" dxfId="1129" priority="26" stopIfTrue="1">
      <formula>#REF!="DLN"</formula>
    </cfRule>
  </conditionalFormatting>
  <conditionalFormatting sqref="AM3:AM50">
    <cfRule type="expression" dxfId="1128" priority="25" stopIfTrue="1">
      <formula>#REF!="DLN"</formula>
    </cfRule>
  </conditionalFormatting>
  <conditionalFormatting sqref="AO52:AP52">
    <cfRule type="cellIs" dxfId="1127" priority="21" stopIfTrue="1" operator="greaterThanOrEqual">
      <formula>0.801</formula>
    </cfRule>
    <cfRule type="cellIs" dxfId="1126" priority="22" stopIfTrue="1" operator="between">
      <formula>0.61</formula>
      <formula>0.8</formula>
    </cfRule>
    <cfRule type="cellIs" dxfId="1125" priority="23" stopIfTrue="1" operator="between">
      <formula>0</formula>
      <formula>0.6</formula>
    </cfRule>
  </conditionalFormatting>
  <conditionalFormatting sqref="AO52:AP52">
    <cfRule type="expression" dxfId="1124" priority="24" stopIfTrue="1">
      <formula>#REF!="DLN"</formula>
    </cfRule>
  </conditionalFormatting>
  <conditionalFormatting sqref="AS52:AT52">
    <cfRule type="cellIs" dxfId="1123" priority="17" stopIfTrue="1" operator="greaterThanOrEqual">
      <formula>0.801</formula>
    </cfRule>
    <cfRule type="cellIs" dxfId="1122" priority="18" stopIfTrue="1" operator="between">
      <formula>0.61</formula>
      <formula>0.8</formula>
    </cfRule>
    <cfRule type="cellIs" dxfId="1121" priority="19" stopIfTrue="1" operator="between">
      <formula>0</formula>
      <formula>0.6</formula>
    </cfRule>
  </conditionalFormatting>
  <conditionalFormatting sqref="AS52:AT52">
    <cfRule type="expression" dxfId="1120" priority="20" stopIfTrue="1">
      <formula>#REF!="DLN"</formula>
    </cfRule>
  </conditionalFormatting>
  <conditionalFormatting sqref="AV3:AV50">
    <cfRule type="expression" dxfId="1119" priority="16" stopIfTrue="1">
      <formula>#REF!="DLN"</formula>
    </cfRule>
  </conditionalFormatting>
  <conditionalFormatting sqref="AV3:AV50">
    <cfRule type="expression" dxfId="1118" priority="15" stopIfTrue="1">
      <formula>#REF!="DLN"</formula>
    </cfRule>
  </conditionalFormatting>
  <conditionalFormatting sqref="AU2">
    <cfRule type="expression" dxfId="1117" priority="14" stopIfTrue="1">
      <formula>#REF!="DLN"</formula>
    </cfRule>
  </conditionalFormatting>
  <conditionalFormatting sqref="AU2">
    <cfRule type="expression" dxfId="1116" priority="13" stopIfTrue="1">
      <formula>#REF!="DLN"</formula>
    </cfRule>
  </conditionalFormatting>
  <conditionalFormatting sqref="AU3:AU50">
    <cfRule type="expression" dxfId="1115" priority="12" stopIfTrue="1">
      <formula>#REF!="DLN"</formula>
    </cfRule>
  </conditionalFormatting>
  <conditionalFormatting sqref="AU3:AU50">
    <cfRule type="expression" dxfId="1114" priority="11" stopIfTrue="1">
      <formula>#REF!="DLN"</formula>
    </cfRule>
  </conditionalFormatting>
  <conditionalFormatting sqref="AW52:AX52">
    <cfRule type="cellIs" dxfId="1113" priority="7" stopIfTrue="1" operator="greaterThanOrEqual">
      <formula>0.801</formula>
    </cfRule>
    <cfRule type="cellIs" dxfId="1112" priority="8" stopIfTrue="1" operator="between">
      <formula>0.61</formula>
      <formula>0.8</formula>
    </cfRule>
    <cfRule type="cellIs" dxfId="1111" priority="9" stopIfTrue="1" operator="between">
      <formula>0</formula>
      <formula>0.6</formula>
    </cfRule>
  </conditionalFormatting>
  <conditionalFormatting sqref="AW52:AX52">
    <cfRule type="expression" dxfId="1110" priority="10" stopIfTrue="1">
      <formula>#REF!="DLN"</formula>
    </cfRule>
  </conditionalFormatting>
  <conditionalFormatting sqref="A5">
    <cfRule type="expression" dxfId="1109" priority="6" stopIfTrue="1">
      <formula>#REF!="DLN"</formula>
    </cfRule>
  </conditionalFormatting>
  <conditionalFormatting sqref="A5">
    <cfRule type="expression" dxfId="1108" priority="5" stopIfTrue="1">
      <formula>#REF!="DLN"</formula>
    </cfRule>
  </conditionalFormatting>
  <conditionalFormatting sqref="A6">
    <cfRule type="expression" dxfId="1107" priority="4" stopIfTrue="1">
      <formula>#REF!="DLN"</formula>
    </cfRule>
  </conditionalFormatting>
  <conditionalFormatting sqref="A6">
    <cfRule type="expression" dxfId="1106" priority="3" stopIfTrue="1">
      <formula>#REF!="DLN"</formula>
    </cfRule>
  </conditionalFormatting>
  <conditionalFormatting sqref="A7">
    <cfRule type="expression" dxfId="1105" priority="2" stopIfTrue="1">
      <formula>#REF!="DLN"</formula>
    </cfRule>
  </conditionalFormatting>
  <conditionalFormatting sqref="A7">
    <cfRule type="expression" dxfId="1104" priority="1" stopIfTrue="1">
      <formula>#REF!="DLN"</formula>
    </cfRule>
  </conditionalFormatting>
  <dataValidations count="1">
    <dataValidation type="list" allowBlank="1" showInputMessage="1" showErrorMessage="1" sqref="A3:A50" xr:uid="{1C0FFE94-5FDD-4CF5-8B7E-0FF18921CE28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A1D3B2-3252-49EA-8A40-0D9370172BBF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6F1E-D3B2-4821-A04F-E6D5809C4744}">
  <sheetPr codeName="Sheet9"/>
  <dimension ref="A1:AX62"/>
  <sheetViews>
    <sheetView workbookViewId="0">
      <selection activeCell="J3" sqref="J3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89" t="s">
        <v>320</v>
      </c>
      <c r="B3" s="24" t="s">
        <v>438</v>
      </c>
      <c r="C3" s="20" t="str">
        <f>IFERROR(VLOOKUP(A3,'Parts List and Volumes'!C2:D194,2,FALSE),"")</f>
        <v>NJ000662ACF20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92">
        <v>23.5</v>
      </c>
      <c r="G3" s="40">
        <f>IFERROR(VLOOKUP($A3,'Parts List and Volumes'!$C$2:$W194,5,FALSE),"")</f>
        <v>42000</v>
      </c>
      <c r="H3" s="41">
        <f>IFERROR(VLOOKUP($A3,'Parts List and Volumes'!$C$2:$W194,6,FALSE),"")</f>
        <v>50000</v>
      </c>
      <c r="I3" s="42">
        <f>IFERROR((($F3*G3)/SingleEndAssumption),"")</f>
        <v>6.7197712418300651E-2</v>
      </c>
      <c r="J3" s="43">
        <f>IFERROR((($F3*H3)/SingleEndAssumption),"")</f>
        <v>7.9997276688453162E-2</v>
      </c>
      <c r="K3" s="44">
        <f>IFERROR(VLOOKUP($A3,'Parts List and Volumes'!$C$2:$W194,7,FALSE),"")</f>
        <v>0</v>
      </c>
      <c r="L3" s="45">
        <f>IFERROR(VLOOKUP($A3,'Parts List and Volumes'!$C$2:$W194,8,FALSE),"")</f>
        <v>60000</v>
      </c>
      <c r="M3" s="46">
        <f t="shared" ref="M3:N50" si="0">IFERROR((($F3*K3)/FourHeadAssumption),"")</f>
        <v>0</v>
      </c>
      <c r="N3" s="47">
        <f t="shared" si="0"/>
        <v>0.10378025083907437</v>
      </c>
      <c r="O3" s="41">
        <f>IFERROR(VLOOKUP($A3,'Parts List and Volumes'!$C$2:$W194,9,FALSE),"")</f>
        <v>0</v>
      </c>
      <c r="P3" s="41">
        <f>IFERROR(VLOOKUP($A3,'Parts List and Volumes'!$C$2:$W194,10,FALSE),"")</f>
        <v>54000</v>
      </c>
      <c r="Q3" s="42">
        <f>IFERROR((($F3*O3)/SingleEndAssumption),"")</f>
        <v>0</v>
      </c>
      <c r="R3" s="43">
        <f>IFERROR((($F3*P3)/SingleEndAssumption),"")</f>
        <v>8.639705882352941E-2</v>
      </c>
      <c r="S3" s="44">
        <f>IFERROR(VLOOKUP($A3,'Parts List and Volumes'!$C$2:$W194,11,FALSE),"")</f>
        <v>0</v>
      </c>
      <c r="T3" s="45">
        <f>IFERROR(VLOOKUP($A3,'Parts List and Volumes'!$C$2:$W194,12,FALSE),"")</f>
        <v>54000</v>
      </c>
      <c r="U3" s="46">
        <f t="shared" ref="U3:U50" si="1">IFERROR((($F3*S3)/FourHeadAssumption),"")</f>
        <v>0</v>
      </c>
      <c r="V3" s="47">
        <f t="shared" ref="V3:V50" si="2">IFERROR((($F3*T3)/FourHeadAssumption),"")</f>
        <v>9.3402225755166934E-2</v>
      </c>
      <c r="W3" s="40">
        <f>IFERROR(VLOOKUP($A3,'Parts List and Volumes'!$C$2:$W194,13,FALSE),"")</f>
        <v>0</v>
      </c>
      <c r="X3" s="41">
        <f>IFERROR(VLOOKUP($A3,'Parts List and Volumes'!$C$2:$W194,14,FALSE),"")</f>
        <v>54000</v>
      </c>
      <c r="Y3" s="42">
        <f>IFERROR((($F3*W3)/SingleEndAssumption),"")</f>
        <v>0</v>
      </c>
      <c r="Z3" s="43">
        <f>IFERROR((($F3*X3)/SingleEndAssumption),"")</f>
        <v>8.639705882352941E-2</v>
      </c>
      <c r="AA3" s="49">
        <f>IFERROR(VLOOKUP($A3,'Parts List and Volumes'!$C$2:$W194,15,FALSE),"")</f>
        <v>0</v>
      </c>
      <c r="AB3" s="50">
        <f>IFERROR(VLOOKUP($A3,'Parts List and Volumes'!$C$2:$W194,16,FALSE),"")</f>
        <v>54000</v>
      </c>
      <c r="AC3" s="46">
        <f t="shared" ref="AC3:AC50" si="3">IFERROR((($F3*AA3)/FourHeadAssumption),"")</f>
        <v>0</v>
      </c>
      <c r="AD3" s="47">
        <f t="shared" ref="AD3:AD50" si="4">IFERROR((($F3*AB3)/FourHeadAssumption),"")</f>
        <v>9.3402225755166934E-2</v>
      </c>
      <c r="AE3" s="40">
        <f>IFERROR(VLOOKUP($A3,'Parts List and Volumes'!$C$2:$W194,17,FALSE),"")</f>
        <v>0</v>
      </c>
      <c r="AF3" s="41">
        <f>IFERROR(VLOOKUP($A3,'Parts List and Volumes'!$C$2:$W194,18,FALSE),"")</f>
        <v>54000</v>
      </c>
      <c r="AG3" s="42">
        <f>IFERROR((($F3*AE3)/SingleEndAssumption),"")</f>
        <v>0</v>
      </c>
      <c r="AH3" s="43">
        <f>IFERROR((($F3*AF3)/SingleEndAssumption),"")</f>
        <v>8.639705882352941E-2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46">
        <f t="shared" ref="AK3:AK50" si="5">IFERROR((($F3*AI3)/FourHeadAssumption),"")</f>
        <v>0</v>
      </c>
      <c r="AL3" s="47">
        <f t="shared" ref="AL3:AL50" si="6">IFERROR((($F3*AJ3)/FourHeadAssumption),"")</f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2">
        <f>IFERROR((($F3*AM3)/SingleEndAssumption),"")</f>
        <v>0</v>
      </c>
      <c r="AP3" s="43" t="str">
        <f>IFERROR((($F3*AN3)/SingleEndAssumption),"")</f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46" t="str">
        <f t="shared" ref="AS3:AS50" si="7">IFERROR((($F3*AQ3)/FourHeadAssumption),"")</f>
        <v/>
      </c>
      <c r="AT3" s="47" t="str">
        <f t="shared" ref="AT3:AT50" si="8">IFERROR((($F3*AR3)/FourHeadAssumption),"")</f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2" t="str">
        <f>IFERROR((($F3*AU3)/SingleEndAssumption),"")</f>
        <v/>
      </c>
      <c r="AX3" s="43" t="str">
        <f>IFERROR((($F3*AV3)/SingleEndAssumption),"")</f>
        <v/>
      </c>
    </row>
    <row r="4" spans="1:50" x14ac:dyDescent="0.25">
      <c r="A4" s="89" t="s">
        <v>320</v>
      </c>
      <c r="B4" s="24" t="s">
        <v>438</v>
      </c>
      <c r="C4" s="20" t="str">
        <f>IFERROR(VLOOKUP(A4,'Parts List and Volumes'!C3:D195,2,FALSE),"")</f>
        <v>NJ000662ACF20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92">
        <v>28.3</v>
      </c>
      <c r="G4" s="40">
        <f>IFERROR(VLOOKUP($A4,'Parts List and Volumes'!$C$2:$W195,5,FALSE),"")</f>
        <v>42000</v>
      </c>
      <c r="H4" s="41">
        <f>IFERROR(VLOOKUP($A4,'Parts List and Volumes'!$C$2:$W195,6,FALSE),"")</f>
        <v>50000</v>
      </c>
      <c r="I4" s="42">
        <f>IFERROR((($F4*G4)/SingleEndAssumption),"")</f>
        <v>8.0923202614379089E-2</v>
      </c>
      <c r="J4" s="43">
        <f>IFERROR((($F4*H4)/SingleEndAssumption),"")</f>
        <v>9.6337145969498911E-2</v>
      </c>
      <c r="K4" s="44">
        <f>IFERROR(VLOOKUP($A4,'Parts List and Volumes'!$C$2:$W195,7,FALSE),"")</f>
        <v>0</v>
      </c>
      <c r="L4" s="45">
        <f>IFERROR(VLOOKUP($A4,'Parts List and Volumes'!$C$2:$W195,8,FALSE),"")</f>
        <v>60000</v>
      </c>
      <c r="M4" s="46">
        <f t="shared" si="0"/>
        <v>0</v>
      </c>
      <c r="N4" s="47">
        <f t="shared" si="0"/>
        <v>0.12497791909556616</v>
      </c>
      <c r="O4" s="41">
        <f>IFERROR(VLOOKUP($A4,'Parts List and Volumes'!$C$2:$W195,9,FALSE),"")</f>
        <v>0</v>
      </c>
      <c r="P4" s="41">
        <f>IFERROR(VLOOKUP($A4,'Parts List and Volumes'!$C$2:$W195,10,FALSE),"")</f>
        <v>54000</v>
      </c>
      <c r="Q4" s="42">
        <f>IFERROR((($F4*O4)/SingleEndAssumption),"")</f>
        <v>0</v>
      </c>
      <c r="R4" s="43">
        <f>IFERROR((($F4*P4)/SingleEndAssumption),"")</f>
        <v>0.10404411764705883</v>
      </c>
      <c r="S4" s="44">
        <f>IFERROR(VLOOKUP($A4,'Parts List and Volumes'!$C$2:$W195,11,FALSE),"")</f>
        <v>0</v>
      </c>
      <c r="T4" s="45">
        <f>IFERROR(VLOOKUP($A4,'Parts List and Volumes'!$C$2:$W195,12,FALSE),"")</f>
        <v>54000</v>
      </c>
      <c r="U4" s="46">
        <f t="shared" si="1"/>
        <v>0</v>
      </c>
      <c r="V4" s="47">
        <f t="shared" si="2"/>
        <v>0.11248012718600954</v>
      </c>
      <c r="W4" s="40">
        <f>IFERROR(VLOOKUP($A4,'Parts List and Volumes'!$C$2:$W195,13,FALSE),"")</f>
        <v>0</v>
      </c>
      <c r="X4" s="41">
        <f>IFERROR(VLOOKUP($A4,'Parts List and Volumes'!$C$2:$W195,14,FALSE),"")</f>
        <v>54000</v>
      </c>
      <c r="Y4" s="42">
        <f>IFERROR((($F4*W4)/SingleEndAssumption),"")</f>
        <v>0</v>
      </c>
      <c r="Z4" s="43">
        <f>IFERROR((($F4*X4)/SingleEndAssumption),"")</f>
        <v>0.10404411764705883</v>
      </c>
      <c r="AA4" s="49">
        <f>IFERROR(VLOOKUP($A4,'Parts List and Volumes'!$C$2:$W195,15,FALSE),"")</f>
        <v>0</v>
      </c>
      <c r="AB4" s="50">
        <f>IFERROR(VLOOKUP($A4,'Parts List and Volumes'!$C$2:$W195,16,FALSE),"")</f>
        <v>54000</v>
      </c>
      <c r="AC4" s="46">
        <f t="shared" si="3"/>
        <v>0</v>
      </c>
      <c r="AD4" s="47">
        <f t="shared" si="4"/>
        <v>0.11248012718600954</v>
      </c>
      <c r="AE4" s="40">
        <f>IFERROR(VLOOKUP($A4,'Parts List and Volumes'!$C$2:$W195,17,FALSE),"")</f>
        <v>0</v>
      </c>
      <c r="AF4" s="41">
        <f>IFERROR(VLOOKUP($A4,'Parts List and Volumes'!$C$2:$W195,18,FALSE),"")</f>
        <v>54000</v>
      </c>
      <c r="AG4" s="42">
        <f>IFERROR((($F4*AE4)/SingleEndAssumption),"")</f>
        <v>0</v>
      </c>
      <c r="AH4" s="43">
        <f>IFERROR((($F4*AF4)/SingleEndAssumption),"")</f>
        <v>0.10404411764705883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46">
        <f t="shared" si="5"/>
        <v>0</v>
      </c>
      <c r="AL4" s="47">
        <f t="shared" si="6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2">
        <f>IFERROR((($F4*AM4)/SingleEndAssumption),"")</f>
        <v>0</v>
      </c>
      <c r="AP4" s="43" t="str">
        <f>IFERROR((($F4*AN4)/SingleEndAssumption),"")</f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46" t="str">
        <f t="shared" si="7"/>
        <v/>
      </c>
      <c r="AT4" s="47" t="str">
        <f t="shared" si="8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2" t="str">
        <f>IFERROR((($F4*AU4)/SingleEndAssumption),"")</f>
        <v/>
      </c>
      <c r="AX4" s="43" t="str">
        <f>IFERROR((($F4*AV4)/SingleEndAssumption),"")</f>
        <v/>
      </c>
    </row>
    <row r="5" spans="1:50" x14ac:dyDescent="0.25">
      <c r="A5" s="90" t="s">
        <v>311</v>
      </c>
      <c r="B5" s="24" t="s">
        <v>438</v>
      </c>
      <c r="C5" s="20" t="str">
        <f>IFERROR(VLOOKUP(A5,'Parts List and Volumes'!C4:D196,2,FALSE),"")</f>
        <v>NJ000693ABF20</v>
      </c>
      <c r="D5" s="39">
        <f>IFERROR(IF(VLOOKUP($A5,'Parts List and Volumes'!$C4:$F266,3,FALSE)=0,"",VLOOKUP(A5,'Parts List and Volumes'!C4:F266,3,FALSE)),"")</f>
        <v>4.76</v>
      </c>
      <c r="E5" s="39" t="str">
        <f>IFERROR(IF(VLOOKUP($A5,'Parts List and Volumes'!$C4:$F266,4,FALSE)=0,"",VLOOKUP(B5,'Parts List and Volumes'!D4:G266,3,FALSE)),"")</f>
        <v/>
      </c>
      <c r="F5" s="92">
        <v>15</v>
      </c>
      <c r="G5" s="40">
        <f>IFERROR(VLOOKUP($A5,'Parts List and Volumes'!$C$2:$W196,5,FALSE),"")</f>
        <v>38400</v>
      </c>
      <c r="H5" s="41">
        <f>IFERROR(VLOOKUP($A5,'Parts List and Volumes'!$C$2:$W196,6,FALSE),"")</f>
        <v>50000</v>
      </c>
      <c r="I5" s="42">
        <f>IFERROR((($F5*G5)/SingleEndAssumption),"")</f>
        <v>3.9215686274509803E-2</v>
      </c>
      <c r="J5" s="43">
        <f>IFERROR((($F5*H5)/SingleEndAssumption),"")</f>
        <v>5.1062091503267973E-2</v>
      </c>
      <c r="K5" s="44">
        <f>IFERROR(VLOOKUP($A5,'Parts List and Volumes'!$C$2:$W196,7,FALSE),"")</f>
        <v>0</v>
      </c>
      <c r="L5" s="45">
        <f>IFERROR(VLOOKUP($A5,'Parts List and Volumes'!$C$2:$W196,8,FALSE),"")</f>
        <v>60000</v>
      </c>
      <c r="M5" s="46">
        <f t="shared" si="0"/>
        <v>0</v>
      </c>
      <c r="N5" s="47">
        <f t="shared" si="0"/>
        <v>6.6242713301536832E-2</v>
      </c>
      <c r="O5" s="41">
        <f>IFERROR(VLOOKUP($A5,'Parts List and Volumes'!$C$2:$W196,9,FALSE),"")</f>
        <v>0</v>
      </c>
      <c r="P5" s="41">
        <f>IFERROR(VLOOKUP($A5,'Parts List and Volumes'!$C$2:$W196,10,FALSE),"")</f>
        <v>54000</v>
      </c>
      <c r="Q5" s="42">
        <f>IFERROR((($F5*O5)/SingleEndAssumption),"")</f>
        <v>0</v>
      </c>
      <c r="R5" s="43">
        <f>IFERROR((($F5*P5)/SingleEndAssumption),"")</f>
        <v>5.514705882352941E-2</v>
      </c>
      <c r="S5" s="44">
        <f>IFERROR(VLOOKUP($A5,'Parts List and Volumes'!$C$2:$W196,11,FALSE),"")</f>
        <v>0</v>
      </c>
      <c r="T5" s="45">
        <f>IFERROR(VLOOKUP($A5,'Parts List and Volumes'!$C$2:$W196,12,FALSE),"")</f>
        <v>54000</v>
      </c>
      <c r="U5" s="46">
        <f t="shared" si="1"/>
        <v>0</v>
      </c>
      <c r="V5" s="47">
        <f t="shared" si="2"/>
        <v>5.9618441971383149E-2</v>
      </c>
      <c r="W5" s="40">
        <f>IFERROR(VLOOKUP($A5,'Parts List and Volumes'!$C$2:$W196,13,FALSE),"")</f>
        <v>0</v>
      </c>
      <c r="X5" s="41">
        <f>IFERROR(VLOOKUP($A5,'Parts List and Volumes'!$C$2:$W196,14,FALSE),"")</f>
        <v>54000</v>
      </c>
      <c r="Y5" s="42">
        <f>IFERROR((($F5*W5)/SingleEndAssumption),"")</f>
        <v>0</v>
      </c>
      <c r="Z5" s="43">
        <f>IFERROR((($F5*X5)/SingleEndAssumption),"")</f>
        <v>5.514705882352941E-2</v>
      </c>
      <c r="AA5" s="49">
        <f>IFERROR(VLOOKUP($A5,'Parts List and Volumes'!$C$2:$W196,15,FALSE),"")</f>
        <v>0</v>
      </c>
      <c r="AB5" s="50">
        <f>IFERROR(VLOOKUP($A5,'Parts List and Volumes'!$C$2:$W196,16,FALSE),"")</f>
        <v>54000</v>
      </c>
      <c r="AC5" s="46">
        <f t="shared" si="3"/>
        <v>0</v>
      </c>
      <c r="AD5" s="47">
        <f t="shared" si="4"/>
        <v>5.9618441971383149E-2</v>
      </c>
      <c r="AE5" s="40">
        <f>IFERROR(VLOOKUP($A5,'Parts List and Volumes'!$C$2:$W196,17,FALSE),"")</f>
        <v>0</v>
      </c>
      <c r="AF5" s="41">
        <f>IFERROR(VLOOKUP($A5,'Parts List and Volumes'!$C$2:$W196,18,FALSE),"")</f>
        <v>54000</v>
      </c>
      <c r="AG5" s="42">
        <f>IFERROR((($F5*AE5)/SingleEndAssumption),"")</f>
        <v>0</v>
      </c>
      <c r="AH5" s="43">
        <f>IFERROR((($F5*AF5)/SingleEndAssumption),"")</f>
        <v>5.514705882352941E-2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46">
        <f t="shared" si="5"/>
        <v>0</v>
      </c>
      <c r="AL5" s="47">
        <f t="shared" si="6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2">
        <f>IFERROR((($F5*AM5)/SingleEndAssumption),"")</f>
        <v>0</v>
      </c>
      <c r="AP5" s="43" t="str">
        <f>IFERROR((($F5*AN5)/SingleEndAssumption),"")</f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46" t="str">
        <f t="shared" si="7"/>
        <v/>
      </c>
      <c r="AT5" s="47" t="str">
        <f t="shared" si="8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2" t="str">
        <f>IFERROR((($F5*AU5)/SingleEndAssumption),"")</f>
        <v/>
      </c>
      <c r="AX5" s="43" t="str">
        <f>IFERROR((($F5*AV5)/SingleEndAssumption),"")</f>
        <v/>
      </c>
    </row>
    <row r="6" spans="1:50" x14ac:dyDescent="0.25">
      <c r="A6" s="90" t="s">
        <v>313</v>
      </c>
      <c r="B6" s="24" t="s">
        <v>438</v>
      </c>
      <c r="C6" s="20" t="str">
        <f>IFERROR(VLOOKUP(A6,'Parts List and Volumes'!C5:D197,2,FALSE),"")</f>
        <v>NJ000694AAF20</v>
      </c>
      <c r="D6" s="39">
        <f>IFERROR(IF(VLOOKUP($A6,'Parts List and Volumes'!$C5:$F266,3,FALSE)=0,"",VLOOKUP(A6,'Parts List and Volumes'!C5:F266,3,FALSE)),"")</f>
        <v>4.76</v>
      </c>
      <c r="E6" s="39" t="str">
        <f>IFERROR(IF(VLOOKUP($A6,'Parts List and Volumes'!$C5:$F266,4,FALSE)=0,"",VLOOKUP(B6,'Parts List and Volumes'!D5:G266,3,FALSE)),"")</f>
        <v/>
      </c>
      <c r="F6" s="92">
        <v>37</v>
      </c>
      <c r="G6" s="40">
        <f>IFERROR(VLOOKUP($A6,'Parts List and Volumes'!$C$2:$W197,5,FALSE),"")</f>
        <v>42000</v>
      </c>
      <c r="H6" s="41">
        <f>IFERROR(VLOOKUP($A6,'Parts List and Volumes'!$C$2:$W197,6,FALSE),"")</f>
        <v>50000</v>
      </c>
      <c r="I6" s="42">
        <f>IFERROR((($F6*G6)/SingleEndAssumption),"")</f>
        <v>0.10580065359477124</v>
      </c>
      <c r="J6" s="43">
        <f>IFERROR((($F6*H6)/SingleEndAssumption),"")</f>
        <v>0.12595315904139434</v>
      </c>
      <c r="K6" s="58">
        <f>IFERROR(VLOOKUP($A6,'Parts List and Volumes'!$C$2:$W197,7,FALSE),"")</f>
        <v>0</v>
      </c>
      <c r="L6" s="45">
        <f>IFERROR(VLOOKUP($A6,'Parts List and Volumes'!$C$2:$W197,8,FALSE),"")</f>
        <v>60000</v>
      </c>
      <c r="M6" s="46">
        <f t="shared" si="0"/>
        <v>0</v>
      </c>
      <c r="N6" s="47">
        <f t="shared" si="0"/>
        <v>0.16339869281045752</v>
      </c>
      <c r="O6" s="41">
        <f>IFERROR(VLOOKUP($A6,'Parts List and Volumes'!$C$2:$W197,9,FALSE),"")</f>
        <v>0</v>
      </c>
      <c r="P6" s="41">
        <f>IFERROR(VLOOKUP($A6,'Parts List and Volumes'!$C$2:$W197,10,FALSE),"")</f>
        <v>54000</v>
      </c>
      <c r="Q6" s="42">
        <f>IFERROR((($F6*O6)/SingleEndAssumption),"")</f>
        <v>0</v>
      </c>
      <c r="R6" s="43">
        <f>IFERROR((($F6*P6)/SingleEndAssumption),"")</f>
        <v>0.13602941176470587</v>
      </c>
      <c r="S6" s="44">
        <f>IFERROR(VLOOKUP($A6,'Parts List and Volumes'!$C$2:$W197,11,FALSE),"")</f>
        <v>0</v>
      </c>
      <c r="T6" s="45">
        <f>IFERROR(VLOOKUP($A6,'Parts List and Volumes'!$C$2:$W197,12,FALSE),"")</f>
        <v>54000</v>
      </c>
      <c r="U6" s="46">
        <f t="shared" si="1"/>
        <v>0</v>
      </c>
      <c r="V6" s="47">
        <f t="shared" si="2"/>
        <v>0.14705882352941177</v>
      </c>
      <c r="W6" s="40">
        <f>IFERROR(VLOOKUP($A6,'Parts List and Volumes'!$C$2:$W197,13,FALSE),"")</f>
        <v>0</v>
      </c>
      <c r="X6" s="41">
        <f>IFERROR(VLOOKUP($A6,'Parts List and Volumes'!$C$2:$W197,14,FALSE),"")</f>
        <v>54000</v>
      </c>
      <c r="Y6" s="42">
        <f>IFERROR((($F6*W6)/SingleEndAssumption),"")</f>
        <v>0</v>
      </c>
      <c r="Z6" s="43">
        <f>IFERROR((($F6*X6)/SingleEndAssumption),"")</f>
        <v>0.13602941176470587</v>
      </c>
      <c r="AA6" s="49">
        <f>IFERROR(VLOOKUP($A6,'Parts List and Volumes'!$C$2:$W197,15,FALSE),"")</f>
        <v>0</v>
      </c>
      <c r="AB6" s="50">
        <f>IFERROR(VLOOKUP($A6,'Parts List and Volumes'!$C$2:$W197,16,FALSE),"")</f>
        <v>54000</v>
      </c>
      <c r="AC6" s="46">
        <f t="shared" si="3"/>
        <v>0</v>
      </c>
      <c r="AD6" s="47">
        <f t="shared" si="4"/>
        <v>0.14705882352941177</v>
      </c>
      <c r="AE6" s="40">
        <f>IFERROR(VLOOKUP($A6,'Parts List and Volumes'!$C$2:$W197,17,FALSE),"")</f>
        <v>0</v>
      </c>
      <c r="AF6" s="41">
        <f>IFERROR(VLOOKUP($A6,'Parts List and Volumes'!$C$2:$W197,18,FALSE),"")</f>
        <v>54000</v>
      </c>
      <c r="AG6" s="42">
        <f>IFERROR((($F6*AE6)/SingleEndAssumption),"")</f>
        <v>0</v>
      </c>
      <c r="AH6" s="43">
        <f>IFERROR((($F6*AF6)/SingleEndAssumption),"")</f>
        <v>0.13602941176470587</v>
      </c>
      <c r="AI6" s="49">
        <f>IFERROR(VLOOKUP($A6,'Parts List and Volumes'!$C$2:$W197,19,FALSE),"")</f>
        <v>0</v>
      </c>
      <c r="AJ6" s="50">
        <f>IFERROR(VLOOKUP($A6,'Parts List and Volumes'!$C$2:$W197,20,FALSE),"")</f>
        <v>0</v>
      </c>
      <c r="AK6" s="46">
        <f t="shared" si="5"/>
        <v>0</v>
      </c>
      <c r="AL6" s="47">
        <f t="shared" si="6"/>
        <v>0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2">
        <f>IFERROR((($F6*AM6)/SingleEndAssumption),"")</f>
        <v>0</v>
      </c>
      <c r="AP6" s="43" t="str">
        <f>IFERROR((($F6*AN6)/SingleEndAssumption),"")</f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46" t="str">
        <f t="shared" si="7"/>
        <v/>
      </c>
      <c r="AT6" s="47" t="str">
        <f t="shared" si="8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2" t="str">
        <f>IFERROR((($F6*AU6)/SingleEndAssumption),"")</f>
        <v/>
      </c>
      <c r="AX6" s="43" t="str">
        <f>IFERROR((($F6*AV6)/SingleEndAssumption),"")</f>
        <v/>
      </c>
    </row>
    <row r="7" spans="1:50" x14ac:dyDescent="0.25">
      <c r="A7" s="90" t="s">
        <v>318</v>
      </c>
      <c r="B7" s="24" t="s">
        <v>439</v>
      </c>
      <c r="C7" s="20" t="str">
        <f>IFERROR(VLOOKUP(A7,'Parts List and Volumes'!C6:D198,2,FALSE),"")</f>
        <v>NJ000689ABF20</v>
      </c>
      <c r="D7" s="39">
        <f>IFERROR(IF(VLOOKUP($A7,'Parts List and Volumes'!$C6:$F266,3,FALSE)=0,"",VLOOKUP(A7,'Parts List and Volumes'!C6:F266,3,FALSE)),"")</f>
        <v>4.76</v>
      </c>
      <c r="E7" s="39" t="str">
        <f>IFERROR(IF(VLOOKUP($A7,'Parts List and Volumes'!$C6:$F266,4,FALSE)=0,"",VLOOKUP(B7,'Parts List and Volumes'!D6:G266,3,FALSE)),"")</f>
        <v/>
      </c>
      <c r="F7" s="92">
        <v>59</v>
      </c>
      <c r="G7" s="40">
        <f>IFERROR(VLOOKUP($A7,'Parts List and Volumes'!$C$2:$W198,5,FALSE),"")</f>
        <v>16800</v>
      </c>
      <c r="H7" s="41">
        <f>IFERROR(VLOOKUP($A7,'Parts List and Volumes'!$C$2:$W198,6,FALSE),"")</f>
        <v>20000</v>
      </c>
      <c r="I7" s="42">
        <f>IFERROR((($F7*G7)/SingleEndAssumption),"")</f>
        <v>6.748366013071895E-2</v>
      </c>
      <c r="J7" s="43">
        <f>IFERROR((($F7*H7)/SingleEndAssumption),"")</f>
        <v>8.0337690631808276E-2</v>
      </c>
      <c r="K7" s="58">
        <f>IFERROR(VLOOKUP($A7,'Parts List and Volumes'!$C$2:$W198,7,FALSE),"")</f>
        <v>0</v>
      </c>
      <c r="L7" s="45">
        <f>IFERROR(VLOOKUP($A7,'Parts List and Volumes'!$C$2:$W198,8,FALSE),"")</f>
        <v>30000</v>
      </c>
      <c r="M7" s="46">
        <f t="shared" si="0"/>
        <v>0</v>
      </c>
      <c r="N7" s="47">
        <f t="shared" si="0"/>
        <v>0.13027733615968909</v>
      </c>
      <c r="O7" s="41">
        <f>IFERROR(VLOOKUP($A7,'Parts List and Volumes'!$C$2:$W198,9,FALSE),"")</f>
        <v>0</v>
      </c>
      <c r="P7" s="41">
        <f>IFERROR(VLOOKUP($A7,'Parts List and Volumes'!$C$2:$W198,10,FALSE),"")</f>
        <v>27500</v>
      </c>
      <c r="Q7" s="42">
        <f>IFERROR((($F7*O7)/SingleEndAssumption),"")</f>
        <v>0</v>
      </c>
      <c r="R7" s="43">
        <f>IFERROR((($F7*P7)/SingleEndAssumption),"")</f>
        <v>0.11046432461873638</v>
      </c>
      <c r="S7" s="44">
        <f>IFERROR(VLOOKUP($A7,'Parts List and Volumes'!$C$2:$W198,11,FALSE),"")</f>
        <v>0</v>
      </c>
      <c r="T7" s="45">
        <f>IFERROR(VLOOKUP($A7,'Parts List and Volumes'!$C$2:$W198,12,FALSE),"")</f>
        <v>27500</v>
      </c>
      <c r="U7" s="46">
        <f t="shared" si="1"/>
        <v>0</v>
      </c>
      <c r="V7" s="47">
        <f t="shared" si="2"/>
        <v>0.11942089147971501</v>
      </c>
      <c r="W7" s="40">
        <f>IFERROR(VLOOKUP($A7,'Parts List and Volumes'!$C$2:$W198,13,FALSE),"")</f>
        <v>0</v>
      </c>
      <c r="X7" s="41">
        <f>IFERROR(VLOOKUP($A7,'Parts List and Volumes'!$C$2:$W198,14,FALSE),"")</f>
        <v>27500</v>
      </c>
      <c r="Y7" s="42">
        <f>IFERROR((($F7*W7)/SingleEndAssumption),"")</f>
        <v>0</v>
      </c>
      <c r="Z7" s="43">
        <f>IFERROR((($F7*X7)/SingleEndAssumption),"")</f>
        <v>0.11046432461873638</v>
      </c>
      <c r="AA7" s="49">
        <f>IFERROR(VLOOKUP($A7,'Parts List and Volumes'!$C$2:$W198,15,FALSE),"")</f>
        <v>0</v>
      </c>
      <c r="AB7" s="50">
        <f>IFERROR(VLOOKUP($A7,'Parts List and Volumes'!$C$2:$W198,16,FALSE),"")</f>
        <v>27500</v>
      </c>
      <c r="AC7" s="46">
        <f t="shared" si="3"/>
        <v>0</v>
      </c>
      <c r="AD7" s="47">
        <f t="shared" si="4"/>
        <v>0.11942089147971501</v>
      </c>
      <c r="AE7" s="40">
        <f>IFERROR(VLOOKUP($A7,'Parts List and Volumes'!$C$2:$W198,17,FALSE),"")</f>
        <v>0</v>
      </c>
      <c r="AF7" s="41">
        <f>IFERROR(VLOOKUP($A7,'Parts List and Volumes'!$C$2:$W198,18,FALSE),"")</f>
        <v>27500</v>
      </c>
      <c r="AG7" s="42">
        <f>IFERROR((($F7*AE7)/SingleEndAssumption),"")</f>
        <v>0</v>
      </c>
      <c r="AH7" s="43">
        <f>IFERROR((($F7*AF7)/SingleEndAssumption),"")</f>
        <v>0.11046432461873638</v>
      </c>
      <c r="AI7" s="49">
        <f>IFERROR(VLOOKUP($A7,'Parts List and Volumes'!$C$2:$W198,19,FALSE),"")</f>
        <v>0</v>
      </c>
      <c r="AJ7" s="50">
        <f>IFERROR(VLOOKUP($A7,'Parts List and Volumes'!$C$2:$W198,20,FALSE),"")</f>
        <v>0</v>
      </c>
      <c r="AK7" s="46">
        <f t="shared" si="5"/>
        <v>0</v>
      </c>
      <c r="AL7" s="47">
        <f t="shared" si="6"/>
        <v>0</v>
      </c>
      <c r="AM7" s="40">
        <f>IFERROR(VLOOKUP($A7,'Parts List and Volumes'!$C$2:$W198,21,FALSE),"")</f>
        <v>0</v>
      </c>
      <c r="AN7" s="41" t="str">
        <f>IFERROR(VLOOKUP($A7,'Parts List and Volumes'!$C$2:$W198,22,FALSE),"")</f>
        <v/>
      </c>
      <c r="AO7" s="42">
        <f>IFERROR((($F7*AM7)/SingleEndAssumption),"")</f>
        <v>0</v>
      </c>
      <c r="AP7" s="43" t="str">
        <f>IFERROR((($F7*AN7)/SingleEndAssumption),"")</f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46" t="str">
        <f t="shared" si="7"/>
        <v/>
      </c>
      <c r="AT7" s="47" t="str">
        <f t="shared" si="8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2" t="str">
        <f>IFERROR((($F7*AU7)/SingleEndAssumption),"")</f>
        <v/>
      </c>
      <c r="AX7" s="43" t="str">
        <f>IFERROR((($F7*AV7)/SingleEndAssumption),"")</f>
        <v/>
      </c>
    </row>
    <row r="8" spans="1:50" x14ac:dyDescent="0.25">
      <c r="A8" s="90" t="s">
        <v>330</v>
      </c>
      <c r="B8" s="24" t="s">
        <v>440</v>
      </c>
      <c r="C8" s="20" t="str">
        <f>IFERROR(VLOOKUP(A8,'Parts List and Volumes'!C7:D199,2,FALSE),"")</f>
        <v>NJ000692ABF20</v>
      </c>
      <c r="D8" s="39">
        <f>IFERROR(IF(VLOOKUP($A8,'Parts List and Volumes'!$C7:$F266,3,FALSE)=0,"",VLOOKUP(A8,'Parts List and Volumes'!C7:F266,3,FALSE)),"")</f>
        <v>4.76</v>
      </c>
      <c r="E8" s="39" t="str">
        <f>IFERROR(IF(VLOOKUP($A8,'Parts List and Volumes'!$C7:$F266,4,FALSE)=0,"",VLOOKUP(B8,'Parts List and Volumes'!D7:G266,3,FALSE)),"")</f>
        <v/>
      </c>
      <c r="F8" s="92">
        <v>53.2</v>
      </c>
      <c r="G8" s="40">
        <f>IFERROR(VLOOKUP($A8,'Parts List and Volumes'!$C$2:$W199,5,FALSE),"")</f>
        <v>22000</v>
      </c>
      <c r="H8" s="41">
        <f>IFERROR(VLOOKUP($A8,'Parts List and Volumes'!$C$2:$W199,6,FALSE),"")</f>
        <v>30000</v>
      </c>
      <c r="I8" s="42">
        <f>IFERROR((($F8*G8)/SingleEndAssumption),"")</f>
        <v>7.9684095860566448E-2</v>
      </c>
      <c r="J8" s="43">
        <f>IFERROR((($F8*H8)/SingleEndAssumption),"")</f>
        <v>0.10866013071895425</v>
      </c>
      <c r="K8" s="58">
        <f>IFERROR(VLOOKUP($A8,'Parts List and Volumes'!$C$2:$W199,7,FALSE),"")</f>
        <v>0</v>
      </c>
      <c r="L8" s="45">
        <f>IFERROR(VLOOKUP($A8,'Parts List and Volumes'!$C$2:$W199,8,FALSE),"")</f>
        <v>30000</v>
      </c>
      <c r="M8" s="46">
        <f t="shared" si="0"/>
        <v>0</v>
      </c>
      <c r="N8" s="47">
        <f t="shared" si="0"/>
        <v>0.11747041158805864</v>
      </c>
      <c r="O8" s="41">
        <f>IFERROR(VLOOKUP($A8,'Parts List and Volumes'!$C$2:$W199,9,FALSE),"")</f>
        <v>0</v>
      </c>
      <c r="P8" s="41">
        <f>IFERROR(VLOOKUP($A8,'Parts List and Volumes'!$C$2:$W199,10,FALSE),"")</f>
        <v>26500</v>
      </c>
      <c r="Q8" s="42">
        <f>IFERROR((($F8*O8)/SingleEndAssumption),"")</f>
        <v>0</v>
      </c>
      <c r="R8" s="43">
        <f>IFERROR((($F8*P8)/SingleEndAssumption),"")</f>
        <v>9.5983115468409583E-2</v>
      </c>
      <c r="S8" s="44">
        <f>IFERROR(VLOOKUP($A8,'Parts List and Volumes'!$C$2:$W199,11,FALSE),"")</f>
        <v>0</v>
      </c>
      <c r="T8" s="45">
        <f>IFERROR(VLOOKUP($A8,'Parts List and Volumes'!$C$2:$W199,12,FALSE),"")</f>
        <v>26500</v>
      </c>
      <c r="U8" s="46">
        <f t="shared" si="1"/>
        <v>0</v>
      </c>
      <c r="V8" s="47">
        <f t="shared" si="2"/>
        <v>0.10376553023611847</v>
      </c>
      <c r="W8" s="40">
        <f>IFERROR(VLOOKUP($A8,'Parts List and Volumes'!$C$2:$W199,13,FALSE),"")</f>
        <v>0</v>
      </c>
      <c r="X8" s="41">
        <f>IFERROR(VLOOKUP($A8,'Parts List and Volumes'!$C$2:$W199,14,FALSE),"")</f>
        <v>26500</v>
      </c>
      <c r="Y8" s="42">
        <f>IFERROR((($F8*W8)/SingleEndAssumption),"")</f>
        <v>0</v>
      </c>
      <c r="Z8" s="43">
        <f>IFERROR((($F8*X8)/SingleEndAssumption),"")</f>
        <v>9.5983115468409583E-2</v>
      </c>
      <c r="AA8" s="49">
        <f>IFERROR(VLOOKUP($A8,'Parts List and Volumes'!$C$2:$W199,15,FALSE),"")</f>
        <v>0</v>
      </c>
      <c r="AB8" s="50">
        <f>IFERROR(VLOOKUP($A8,'Parts List and Volumes'!$C$2:$W199,16,FALSE),"")</f>
        <v>26500</v>
      </c>
      <c r="AC8" s="46">
        <f t="shared" si="3"/>
        <v>0</v>
      </c>
      <c r="AD8" s="47">
        <f t="shared" si="4"/>
        <v>0.10376553023611847</v>
      </c>
      <c r="AE8" s="40">
        <f>IFERROR(VLOOKUP($A8,'Parts List and Volumes'!$C$2:$W199,17,FALSE),"")</f>
        <v>0</v>
      </c>
      <c r="AF8" s="41">
        <f>IFERROR(VLOOKUP($A8,'Parts List and Volumes'!$C$2:$W199,18,FALSE),"")</f>
        <v>26500</v>
      </c>
      <c r="AG8" s="42">
        <f>IFERROR((($F8*AE8)/SingleEndAssumption),"")</f>
        <v>0</v>
      </c>
      <c r="AH8" s="43">
        <f>IFERROR((($F8*AF8)/SingleEndAssumption),"")</f>
        <v>9.5983115468409583E-2</v>
      </c>
      <c r="AI8" s="49">
        <f>IFERROR(VLOOKUP($A8,'Parts List and Volumes'!$C$2:$W199,19,FALSE),"")</f>
        <v>0</v>
      </c>
      <c r="AJ8" s="50">
        <f>IFERROR(VLOOKUP($A8,'Parts List and Volumes'!$C$2:$W199,20,FALSE),"")</f>
        <v>0</v>
      </c>
      <c r="AK8" s="46">
        <f t="shared" si="5"/>
        <v>0</v>
      </c>
      <c r="AL8" s="47">
        <f t="shared" si="6"/>
        <v>0</v>
      </c>
      <c r="AM8" s="40">
        <f>IFERROR(VLOOKUP($A8,'Parts List and Volumes'!$C$2:$W199,21,FALSE),"")</f>
        <v>0</v>
      </c>
      <c r="AN8" s="41" t="str">
        <f>IFERROR(VLOOKUP($A8,'Parts List and Volumes'!$C$2:$W199,22,FALSE),"")</f>
        <v/>
      </c>
      <c r="AO8" s="42">
        <f>IFERROR((($F8*AM8)/SingleEndAssumption),"")</f>
        <v>0</v>
      </c>
      <c r="AP8" s="43" t="str">
        <f>IFERROR((($F8*AN8)/SingleEndAssumption),"")</f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46" t="str">
        <f t="shared" si="7"/>
        <v/>
      </c>
      <c r="AT8" s="47" t="str">
        <f t="shared" si="8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2" t="str">
        <f>IFERROR((($F8*AU8)/SingleEndAssumption),"")</f>
        <v/>
      </c>
      <c r="AX8" s="43" t="str">
        <f>IFERROR((($F8*AV8)/SingleEndAssumption),"")</f>
        <v/>
      </c>
    </row>
    <row r="9" spans="1:50" x14ac:dyDescent="0.25">
      <c r="A9" s="91" t="s">
        <v>342</v>
      </c>
      <c r="B9" s="24" t="s">
        <v>438</v>
      </c>
      <c r="C9" s="20" t="str">
        <f>IFERROR(VLOOKUP(A9,'Parts List and Volumes'!C8:D200,2,FALSE),"")</f>
        <v>NJ000760ABF20</v>
      </c>
      <c r="D9" s="39">
        <f>IFERROR(IF(VLOOKUP($A9,'Parts List and Volumes'!$C8:$F266,3,FALSE)=0,"",VLOOKUP(A9,'Parts List and Volumes'!C8:F266,3,FALSE)),"")</f>
        <v>4.76</v>
      </c>
      <c r="E9" s="39" t="str">
        <f>IFERROR(IF(VLOOKUP($A9,'Parts List and Volumes'!$C8:$F266,4,FALSE)=0,"",VLOOKUP(B9,'Parts List and Volumes'!D8:G266,3,FALSE)),"")</f>
        <v/>
      </c>
      <c r="F9" s="92">
        <v>29.1</v>
      </c>
      <c r="G9" s="40">
        <f>IFERROR(VLOOKUP($A9,'Parts List and Volumes'!$C$2:$W200,5,FALSE),"")</f>
        <v>20400</v>
      </c>
      <c r="H9" s="41">
        <f>IFERROR(VLOOKUP($A9,'Parts List and Volumes'!$C$2:$W200,6,FALSE),"")</f>
        <v>15435.378492835003</v>
      </c>
      <c r="I9" s="42">
        <f>IFERROR((($F9*G9)/SingleEndAssumption),"")</f>
        <v>4.0416666666666663E-2</v>
      </c>
      <c r="J9" s="43">
        <f>IFERROR((($F9*H9)/SingleEndAssumption),"")</f>
        <v>3.0580713108762158E-2</v>
      </c>
      <c r="K9" s="58">
        <f>IFERROR(VLOOKUP($A9,'Parts List and Volumes'!$C$2:$W200,7,FALSE),"")</f>
        <v>0</v>
      </c>
      <c r="L9" s="45">
        <f>IFERROR(VLOOKUP($A9,'Parts List and Volumes'!$C$2:$W200,8,FALSE),"")</f>
        <v>37963.28570506566</v>
      </c>
      <c r="M9" s="46">
        <f>IFERROR((($F9*K9)/FourHeadAssumption),"")</f>
        <v>0</v>
      </c>
      <c r="N9" s="47">
        <f>IFERROR((($F9*L9)/FourHeadAssumption),"")</f>
        <v>8.1311577313888203E-2</v>
      </c>
      <c r="O9" s="41">
        <f>IFERROR(VLOOKUP($A9,'Parts List and Volumes'!$C$2:$W200,9,FALSE),"")</f>
        <v>0</v>
      </c>
      <c r="P9" s="41">
        <f>IFERROR(VLOOKUP($A9,'Parts List and Volumes'!$C$2:$W200,10,FALSE),"")</f>
        <v>39544.591507867808</v>
      </c>
      <c r="Q9" s="42">
        <f>IFERROR((($F9*O9)/SingleEndAssumption),"")</f>
        <v>0</v>
      </c>
      <c r="R9" s="43">
        <f>IFERROR((($F9*P9)/SingleEndAssumption),"")</f>
        <v>7.8346106541323082E-2</v>
      </c>
      <c r="S9" s="44">
        <f>IFERROR(VLOOKUP($A9,'Parts List and Volumes'!$C$2:$W200,11,FALSE),"")</f>
        <v>0</v>
      </c>
      <c r="T9" s="45">
        <f>IFERROR(VLOOKUP($A9,'Parts List and Volumes'!$C$2:$W200,12,FALSE),"")</f>
        <v>34999.999999999993</v>
      </c>
      <c r="U9" s="46">
        <f>IFERROR((($F9*S9)/FourHeadAssumption),"")</f>
        <v>0</v>
      </c>
      <c r="V9" s="47">
        <f>IFERROR((($F9*T9)/FourHeadAssumption),"")</f>
        <v>7.4964670552905843E-2</v>
      </c>
      <c r="W9" s="40">
        <f>IFERROR(VLOOKUP($A9,'Parts List and Volumes'!$C$2:$W200,13,FALSE),"")</f>
        <v>0</v>
      </c>
      <c r="X9" s="41">
        <f>IFERROR(VLOOKUP($A9,'Parts List and Volumes'!$C$2:$W200,14,FALSE),"")</f>
        <v>0</v>
      </c>
      <c r="Y9" s="42">
        <f>IFERROR((($F9*W9)/SingleEndAssumption),"")</f>
        <v>0</v>
      </c>
      <c r="Z9" s="43">
        <f>IFERROR((($F9*X9)/SingleEndAssumption),"")</f>
        <v>0</v>
      </c>
      <c r="AA9" s="49">
        <f>IFERROR(VLOOKUP($A9,'Parts List and Volumes'!$C$2:$W200,15,FALSE),"")</f>
        <v>0</v>
      </c>
      <c r="AB9" s="50">
        <f>IFERROR(VLOOKUP($A9,'Parts List and Volumes'!$C$2:$W200,16,FALSE),"")</f>
        <v>0</v>
      </c>
      <c r="AC9" s="46">
        <f>IFERROR((($F9*AA9)/FourHeadAssumption),"")</f>
        <v>0</v>
      </c>
      <c r="AD9" s="47">
        <f>IFERROR((($F9*AB9)/FourHeadAssumption),"")</f>
        <v>0</v>
      </c>
      <c r="AE9" s="40">
        <f>IFERROR(VLOOKUP($A9,'Parts List and Volumes'!$C$2:$W200,17,FALSE),"")</f>
        <v>0</v>
      </c>
      <c r="AF9" s="41">
        <f>IFERROR(VLOOKUP($A9,'Parts List and Volumes'!$C$2:$W200,18,FALSE),"")</f>
        <v>0</v>
      </c>
      <c r="AG9" s="42">
        <f>IFERROR((($F9*AE9)/SingleEndAssumption),"")</f>
        <v>0</v>
      </c>
      <c r="AH9" s="43">
        <f>IFERROR((($F9*AF9)/SingleEndAssumption),"")</f>
        <v>0</v>
      </c>
      <c r="AI9" s="49">
        <f>IFERROR(VLOOKUP($A9,'Parts List and Volumes'!$C$2:$W200,19,FALSE),"")</f>
        <v>0</v>
      </c>
      <c r="AJ9" s="50">
        <f>IFERROR(VLOOKUP($A9,'Parts List and Volumes'!$C$2:$W200,20,FALSE),"")</f>
        <v>0</v>
      </c>
      <c r="AK9" s="46">
        <f>IFERROR((($F9*AI9)/FourHeadAssumption),"")</f>
        <v>0</v>
      </c>
      <c r="AL9" s="47">
        <f>IFERROR((($F9*AJ9)/FourHeadAssumption),"")</f>
        <v>0</v>
      </c>
      <c r="AM9" s="40">
        <f>IFERROR(VLOOKUP($A9,'Parts List and Volumes'!$C$2:$W200,21,FALSE),"")</f>
        <v>0</v>
      </c>
      <c r="AN9" s="41" t="str">
        <f>IFERROR(VLOOKUP($A9,'Parts List and Volumes'!$C$2:$W200,22,FALSE),"")</f>
        <v/>
      </c>
      <c r="AO9" s="42">
        <f>IFERROR((($F9*AM9)/SingleEndAssumption),"")</f>
        <v>0</v>
      </c>
      <c r="AP9" s="43" t="str">
        <f>IFERROR((($F9*AN9)/SingleEndAssumption),"")</f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46" t="str">
        <f>IFERROR((($F9*AQ9)/FourHeadAssumption),"")</f>
        <v/>
      </c>
      <c r="AT9" s="47" t="str">
        <f>IFERROR((($F9*AR9)/FourHeadAssumption),"")</f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2" t="str">
        <f>IFERROR((($F9*AU9)/SingleEndAssumption),"")</f>
        <v/>
      </c>
      <c r="AX9" s="43" t="str">
        <f>IFERROR((($F9*AV9)/SingleEndAssumption),"")</f>
        <v/>
      </c>
    </row>
    <row r="10" spans="1:50" x14ac:dyDescent="0.25">
      <c r="A10" s="91" t="s">
        <v>343</v>
      </c>
      <c r="B10" s="24" t="s">
        <v>438</v>
      </c>
      <c r="C10" s="20" t="str">
        <f>IFERROR(VLOOKUP(A10,'Parts List and Volumes'!C9:D201,2,FALSE),"")</f>
        <v>NJ000761ABF20</v>
      </c>
      <c r="D10" s="39">
        <f>IFERROR(IF(VLOOKUP($A10,'Parts List and Volumes'!$C9:$F266,3,FALSE)=0,"",VLOOKUP(A10,'Parts List and Volumes'!C9:F266,3,FALSE)),"")</f>
        <v>4.76</v>
      </c>
      <c r="E10" s="39" t="str">
        <f>IFERROR(IF(VLOOKUP($A10,'Parts List and Volumes'!$C9:$F266,4,FALSE)=0,"",VLOOKUP(B10,'Parts List and Volumes'!D9:G266,3,FALSE)),"")</f>
        <v/>
      </c>
      <c r="F10" s="92">
        <v>22</v>
      </c>
      <c r="G10" s="40">
        <f>IFERROR(VLOOKUP($A10,'Parts List and Volumes'!$C$2:$W201,5,FALSE),"")</f>
        <v>18900</v>
      </c>
      <c r="H10" s="41">
        <f>IFERROR(VLOOKUP($A10,'Parts List and Volumes'!$C$2:$W201,6,FALSE),"")</f>
        <v>15435.378492835003</v>
      </c>
      <c r="I10" s="42">
        <f>IFERROR((($F10*G10)/SingleEndAssumption),"")</f>
        <v>2.8308823529411765E-2</v>
      </c>
      <c r="J10" s="43">
        <f>IFERROR((($F10*H10)/SingleEndAssumption),"")</f>
        <v>2.3119439463668987E-2</v>
      </c>
      <c r="K10" s="58">
        <f>IFERROR(VLOOKUP($A10,'Parts List and Volumes'!$C$2:$W201,7,FALSE),"")</f>
        <v>0</v>
      </c>
      <c r="L10" s="45">
        <f>IFERROR(VLOOKUP($A10,'Parts List and Volumes'!$C$2:$W201,8,FALSE),"")</f>
        <v>37963.28570506566</v>
      </c>
      <c r="M10" s="46">
        <f>IFERROR((($F10*K10)/FourHeadAssumption),"")</f>
        <v>0</v>
      </c>
      <c r="N10" s="47">
        <f>IFERROR((($F10*L10)/FourHeadAssumption),"")</f>
        <v>6.1472670134211017E-2</v>
      </c>
      <c r="O10" s="41">
        <f>IFERROR(VLOOKUP($A10,'Parts List and Volumes'!$C$2:$W201,9,FALSE),"")</f>
        <v>0</v>
      </c>
      <c r="P10" s="41">
        <f>IFERROR(VLOOKUP($A10,'Parts List and Volumes'!$C$2:$W201,10,FALSE),"")</f>
        <v>39544.591507867808</v>
      </c>
      <c r="Q10" s="42">
        <f>IFERROR((($F10*O10)/SingleEndAssumption),"")</f>
        <v>0</v>
      </c>
      <c r="R10" s="43">
        <f>IFERROR((($F10*P10)/SingleEndAssumption),"")</f>
        <v>5.9230733467666927E-2</v>
      </c>
      <c r="S10" s="44">
        <f>IFERROR(VLOOKUP($A10,'Parts List and Volumes'!$C$2:$W201,11,FALSE),"")</f>
        <v>0</v>
      </c>
      <c r="T10" s="45">
        <f>IFERROR(VLOOKUP($A10,'Parts List and Volumes'!$C$2:$W201,12,FALSE),"")</f>
        <v>34999.999999999993</v>
      </c>
      <c r="U10" s="46">
        <f>IFERROR((($F10*S10)/FourHeadAssumption),"")</f>
        <v>0</v>
      </c>
      <c r="V10" s="47">
        <f>IFERROR((($F10*T10)/FourHeadAssumption),"")</f>
        <v>5.6674321380203722E-2</v>
      </c>
      <c r="W10" s="40">
        <f>IFERROR(VLOOKUP($A10,'Parts List and Volumes'!$C$2:$W201,13,FALSE),"")</f>
        <v>0</v>
      </c>
      <c r="X10" s="41">
        <f>IFERROR(VLOOKUP($A10,'Parts List and Volumes'!$C$2:$W201,14,FALSE),"")</f>
        <v>0</v>
      </c>
      <c r="Y10" s="42">
        <f>IFERROR((($F10*W10)/SingleEndAssumption),"")</f>
        <v>0</v>
      </c>
      <c r="Z10" s="43">
        <f>IFERROR((($F10*X10)/SingleEndAssumption),"")</f>
        <v>0</v>
      </c>
      <c r="AA10" s="49">
        <f>IFERROR(VLOOKUP($A10,'Parts List and Volumes'!$C$2:$W201,15,FALSE),"")</f>
        <v>0</v>
      </c>
      <c r="AB10" s="50">
        <f>IFERROR(VLOOKUP($A10,'Parts List and Volumes'!$C$2:$W201,16,FALSE),"")</f>
        <v>0</v>
      </c>
      <c r="AC10" s="46">
        <f>IFERROR((($F10*AA10)/FourHeadAssumption),"")</f>
        <v>0</v>
      </c>
      <c r="AD10" s="47">
        <f>IFERROR((($F10*AB10)/FourHeadAssumption),"")</f>
        <v>0</v>
      </c>
      <c r="AE10" s="40">
        <f>IFERROR(VLOOKUP($A10,'Parts List and Volumes'!$C$2:$W201,17,FALSE),"")</f>
        <v>0</v>
      </c>
      <c r="AF10" s="41">
        <f>IFERROR(VLOOKUP($A10,'Parts List and Volumes'!$C$2:$W201,18,FALSE),"")</f>
        <v>0</v>
      </c>
      <c r="AG10" s="42">
        <f>IFERROR((($F10*AE10)/SingleEndAssumption),"")</f>
        <v>0</v>
      </c>
      <c r="AH10" s="43">
        <f>IFERROR((($F10*AF10)/SingleEndAssumption),"")</f>
        <v>0</v>
      </c>
      <c r="AI10" s="49">
        <f>IFERROR(VLOOKUP($A10,'Parts List and Volumes'!$C$2:$W201,19,FALSE),"")</f>
        <v>0</v>
      </c>
      <c r="AJ10" s="50">
        <f>IFERROR(VLOOKUP($A10,'Parts List and Volumes'!$C$2:$W201,20,FALSE),"")</f>
        <v>0</v>
      </c>
      <c r="AK10" s="46">
        <f>IFERROR((($F10*AI10)/FourHeadAssumption),"")</f>
        <v>0</v>
      </c>
      <c r="AL10" s="47">
        <f>IFERROR((($F10*AJ10)/FourHeadAssumption),"")</f>
        <v>0</v>
      </c>
      <c r="AM10" s="40">
        <f>IFERROR(VLOOKUP($A10,'Parts List and Volumes'!$C$2:$W201,21,FALSE),"")</f>
        <v>0</v>
      </c>
      <c r="AN10" s="41" t="str">
        <f>IFERROR(VLOOKUP($A10,'Parts List and Volumes'!$C$2:$W201,22,FALSE),"")</f>
        <v/>
      </c>
      <c r="AO10" s="42">
        <f>IFERROR((($F10*AM10)/SingleEndAssumption),"")</f>
        <v>0</v>
      </c>
      <c r="AP10" s="43" t="str">
        <f>IFERROR((($F10*AN10)/SingleEndAssumption),"")</f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46" t="str">
        <f>IFERROR((($F10*AQ10)/FourHeadAssumption),"")</f>
        <v/>
      </c>
      <c r="AT10" s="47" t="str">
        <f>IFERROR((($F10*AR10)/FourHeadAssumption),"")</f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2" t="str">
        <f>IFERROR((($F10*AU10)/SingleEndAssumption),"")</f>
        <v/>
      </c>
      <c r="AX10" s="43" t="str">
        <f>IFERROR((($F10*AV10)/SingleEndAssumption),"")</f>
        <v/>
      </c>
    </row>
    <row r="11" spans="1:50" x14ac:dyDescent="0.25">
      <c r="A11" s="91" t="s">
        <v>344</v>
      </c>
      <c r="B11" s="24" t="s">
        <v>378</v>
      </c>
      <c r="C11" s="20" t="str">
        <f>IFERROR(VLOOKUP(A11,'Parts List and Volumes'!C10:D202,2,FALSE),"")</f>
        <v>NJ000762ABF20</v>
      </c>
      <c r="D11" s="39">
        <f>IFERROR(IF(VLOOKUP($A11,'Parts List and Volumes'!$C10:$F266,3,FALSE)=0,"",VLOOKUP(A11,'Parts List and Volumes'!C10:F266,3,FALSE)),"")</f>
        <v>4.76</v>
      </c>
      <c r="E11" s="39" t="str">
        <f>IFERROR(IF(VLOOKUP($A11,'Parts List and Volumes'!$C10:$F266,4,FALSE)=0,"",VLOOKUP(B11,'Parts List and Volumes'!D10:G266,3,FALSE)),"")</f>
        <v/>
      </c>
      <c r="F11" s="92">
        <v>27</v>
      </c>
      <c r="G11" s="40">
        <f>IFERROR(VLOOKUP($A11,'Parts List and Volumes'!$C$2:$W202,5,FALSE),"")</f>
        <v>18900</v>
      </c>
      <c r="H11" s="41">
        <f>IFERROR(VLOOKUP($A11,'Parts List and Volumes'!$C$2:$W202,6,FALSE),"")</f>
        <v>15435.378492835003</v>
      </c>
      <c r="I11" s="42">
        <f>IFERROR((($F11*G11)/SingleEndAssumption),"")</f>
        <v>3.4742647058823531E-2</v>
      </c>
      <c r="J11" s="43">
        <f>IFERROR((($F11*H11)/SingleEndAssumption),"")</f>
        <v>2.8373857523593757E-2</v>
      </c>
      <c r="K11" s="58">
        <f>IFERROR(VLOOKUP($A11,'Parts List and Volumes'!$C$2:$W202,7,FALSE),"")</f>
        <v>0</v>
      </c>
      <c r="L11" s="45">
        <f>IFERROR(VLOOKUP($A11,'Parts List and Volumes'!$C$2:$W202,8,FALSE),"")</f>
        <v>37963.28570506566</v>
      </c>
      <c r="M11" s="46">
        <f>IFERROR((($F11*K11)/FourHeadAssumption),"")</f>
        <v>0</v>
      </c>
      <c r="N11" s="47">
        <f>IFERROR((($F11*L11)/FourHeadAssumption),"")</f>
        <v>7.5443731528349878E-2</v>
      </c>
      <c r="O11" s="41">
        <f>IFERROR(VLOOKUP($A11,'Parts List and Volumes'!$C$2:$W202,9,FALSE),"")</f>
        <v>0</v>
      </c>
      <c r="P11" s="41">
        <f>IFERROR(VLOOKUP($A11,'Parts List and Volumes'!$C$2:$W202,10,FALSE),"")</f>
        <v>39544.591507867808</v>
      </c>
      <c r="Q11" s="42">
        <f>IFERROR((($F11*O11)/SingleEndAssumption),"")</f>
        <v>0</v>
      </c>
      <c r="R11" s="43">
        <f>IFERROR((($F11*P11)/SingleEndAssumption),"")</f>
        <v>7.2692263801227591E-2</v>
      </c>
      <c r="S11" s="44">
        <f>IFERROR(VLOOKUP($A11,'Parts List and Volumes'!$C$2:$W202,11,FALSE),"")</f>
        <v>0</v>
      </c>
      <c r="T11" s="45">
        <f>IFERROR(VLOOKUP($A11,'Parts List and Volumes'!$C$2:$W202,12,FALSE),"")</f>
        <v>34999.999999999993</v>
      </c>
      <c r="U11" s="46">
        <f>IFERROR((($F11*S11)/FourHeadAssumption),"")</f>
        <v>0</v>
      </c>
      <c r="V11" s="47">
        <f>IFERROR((($F11*T11)/FourHeadAssumption),"")</f>
        <v>6.9554848966613653E-2</v>
      </c>
      <c r="W11" s="40">
        <f>IFERROR(VLOOKUP($A11,'Parts List and Volumes'!$C$2:$W202,13,FALSE),"")</f>
        <v>0</v>
      </c>
      <c r="X11" s="41">
        <f>IFERROR(VLOOKUP($A11,'Parts List and Volumes'!$C$2:$W202,14,FALSE),"")</f>
        <v>0</v>
      </c>
      <c r="Y11" s="42">
        <f>IFERROR((($F11*W11)/SingleEndAssumption),"")</f>
        <v>0</v>
      </c>
      <c r="Z11" s="43">
        <f>IFERROR((($F11*X11)/SingleEndAssumption),"")</f>
        <v>0</v>
      </c>
      <c r="AA11" s="49">
        <f>IFERROR(VLOOKUP($A11,'Parts List and Volumes'!$C$2:$W202,15,FALSE),"")</f>
        <v>0</v>
      </c>
      <c r="AB11" s="50">
        <f>IFERROR(VLOOKUP($A11,'Parts List and Volumes'!$C$2:$W202,16,FALSE),"")</f>
        <v>0</v>
      </c>
      <c r="AC11" s="46">
        <f>IFERROR((($F11*AA11)/FourHeadAssumption),"")</f>
        <v>0</v>
      </c>
      <c r="AD11" s="47">
        <f>IFERROR((($F11*AB11)/FourHeadAssumption),"")</f>
        <v>0</v>
      </c>
      <c r="AE11" s="40">
        <f>IFERROR(VLOOKUP($A11,'Parts List and Volumes'!$C$2:$W202,17,FALSE),"")</f>
        <v>0</v>
      </c>
      <c r="AF11" s="41">
        <f>IFERROR(VLOOKUP($A11,'Parts List and Volumes'!$C$2:$W202,18,FALSE),"")</f>
        <v>0</v>
      </c>
      <c r="AG11" s="42">
        <f>IFERROR((($F11*AE11)/SingleEndAssumption),"")</f>
        <v>0</v>
      </c>
      <c r="AH11" s="43">
        <f>IFERROR((($F11*AF11)/SingleEndAssumption),"")</f>
        <v>0</v>
      </c>
      <c r="AI11" s="49">
        <f>IFERROR(VLOOKUP($A11,'Parts List and Volumes'!$C$2:$W202,19,FALSE),"")</f>
        <v>0</v>
      </c>
      <c r="AJ11" s="50">
        <f>IFERROR(VLOOKUP($A11,'Parts List and Volumes'!$C$2:$W202,20,FALSE),"")</f>
        <v>0</v>
      </c>
      <c r="AK11" s="46">
        <f>IFERROR((($F11*AI11)/FourHeadAssumption),"")</f>
        <v>0</v>
      </c>
      <c r="AL11" s="47">
        <f>IFERROR((($F11*AJ11)/FourHeadAssumption),"")</f>
        <v>0</v>
      </c>
      <c r="AM11" s="40">
        <f>IFERROR(VLOOKUP($A11,'Parts List and Volumes'!$C$2:$W202,21,FALSE),"")</f>
        <v>0</v>
      </c>
      <c r="AN11" s="41" t="str">
        <f>IFERROR(VLOOKUP($A11,'Parts List and Volumes'!$C$2:$W202,22,FALSE),"")</f>
        <v/>
      </c>
      <c r="AO11" s="42">
        <f>IFERROR((($F11*AM11)/SingleEndAssumption),"")</f>
        <v>0</v>
      </c>
      <c r="AP11" s="43" t="str">
        <f>IFERROR((($F11*AN11)/SingleEndAssumption),"")</f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46" t="str">
        <f>IFERROR((($F11*AQ11)/FourHeadAssumption),"")</f>
        <v/>
      </c>
      <c r="AT11" s="47" t="str">
        <f>IFERROR((($F11*AR11)/FourHeadAssumption),"")</f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2" t="str">
        <f>IFERROR((($F11*AU11)/SingleEndAssumption),"")</f>
        <v/>
      </c>
      <c r="AX11" s="43" t="str">
        <f>IFERROR((($F11*AV11)/SingleEndAssumption),"")</f>
        <v/>
      </c>
    </row>
    <row r="12" spans="1:50" x14ac:dyDescent="0.25">
      <c r="A12" s="91" t="s">
        <v>345</v>
      </c>
      <c r="B12" s="24" t="s">
        <v>378</v>
      </c>
      <c r="C12" s="20" t="str">
        <f>IFERROR(VLOOKUP(A12,'Parts List and Volumes'!C11:D203,2,FALSE),"")</f>
        <v>NJ000763ABF20</v>
      </c>
      <c r="D12" s="39">
        <f>IFERROR(IF(VLOOKUP($A12,'Parts List and Volumes'!$C11:$F266,3,FALSE)=0,"",VLOOKUP(A12,'Parts List and Volumes'!C11:F266,3,FALSE)),"")</f>
        <v>4.76</v>
      </c>
      <c r="E12" s="39" t="str">
        <f>IFERROR(IF(VLOOKUP($A12,'Parts List and Volumes'!$C11:$F266,4,FALSE)=0,"",VLOOKUP(B12,'Parts List and Volumes'!D11:G266,3,FALSE)),"")</f>
        <v/>
      </c>
      <c r="F12" s="92">
        <v>25</v>
      </c>
      <c r="G12" s="40">
        <f>IFERROR(VLOOKUP($A12,'Parts List and Volumes'!$C$2:$W203,5,FALSE),"")</f>
        <v>18600</v>
      </c>
      <c r="H12" s="41">
        <f>IFERROR(VLOOKUP($A12,'Parts List and Volumes'!$C$2:$W203,6,FALSE),"")</f>
        <v>15435.378492835003</v>
      </c>
      <c r="I12" s="42">
        <f>IFERROR((($F12*G12)/SingleEndAssumption),"")</f>
        <v>3.1658496732026142E-2</v>
      </c>
      <c r="J12" s="43">
        <f>IFERROR((($F12*H12)/SingleEndAssumption),"")</f>
        <v>2.6272090299623848E-2</v>
      </c>
      <c r="K12" s="58">
        <f>IFERROR(VLOOKUP($A12,'Parts List and Volumes'!$C$2:$W203,7,FALSE),"")</f>
        <v>0</v>
      </c>
      <c r="L12" s="45">
        <f>IFERROR(VLOOKUP($A12,'Parts List and Volumes'!$C$2:$W203,8,FALSE),"")</f>
        <v>37963.28570506566</v>
      </c>
      <c r="M12" s="46">
        <f>IFERROR((($F12*K12)/FourHeadAssumption),"")</f>
        <v>0</v>
      </c>
      <c r="N12" s="47">
        <f>IFERROR((($F12*L12)/FourHeadAssumption),"")</f>
        <v>6.9855306970694336E-2</v>
      </c>
      <c r="O12" s="41">
        <f>IFERROR(VLOOKUP($A12,'Parts List and Volumes'!$C$2:$W203,9,FALSE),"")</f>
        <v>0</v>
      </c>
      <c r="P12" s="41">
        <f>IFERROR(VLOOKUP($A12,'Parts List and Volumes'!$C$2:$W203,10,FALSE),"")</f>
        <v>39544.591507867808</v>
      </c>
      <c r="Q12" s="42">
        <f>IFERROR((($F12*O12)/SingleEndAssumption),"")</f>
        <v>0</v>
      </c>
      <c r="R12" s="43">
        <f>IFERROR((($F12*P12)/SingleEndAssumption),"")</f>
        <v>6.7307651667803323E-2</v>
      </c>
      <c r="S12" s="44">
        <f>IFERROR(VLOOKUP($A12,'Parts List and Volumes'!$C$2:$W203,11,FALSE),"")</f>
        <v>0</v>
      </c>
      <c r="T12" s="45">
        <f>IFERROR(VLOOKUP($A12,'Parts List and Volumes'!$C$2:$W203,12,FALSE),"")</f>
        <v>34999.999999999993</v>
      </c>
      <c r="U12" s="46">
        <f>IFERROR((($F12*S12)/FourHeadAssumption),"")</f>
        <v>0</v>
      </c>
      <c r="V12" s="47">
        <f>IFERROR((($F12*T12)/FourHeadAssumption),"")</f>
        <v>6.4402637932049686E-2</v>
      </c>
      <c r="W12" s="40">
        <f>IFERROR(VLOOKUP($A12,'Parts List and Volumes'!$C$2:$W203,13,FALSE),"")</f>
        <v>0</v>
      </c>
      <c r="X12" s="41">
        <f>IFERROR(VLOOKUP($A12,'Parts List and Volumes'!$C$2:$W203,14,FALSE),"")</f>
        <v>0</v>
      </c>
      <c r="Y12" s="42">
        <f>IFERROR((($F12*W12)/SingleEndAssumption),"")</f>
        <v>0</v>
      </c>
      <c r="Z12" s="43">
        <f>IFERROR((($F12*X12)/SingleEndAssumption),"")</f>
        <v>0</v>
      </c>
      <c r="AA12" s="49">
        <f>IFERROR(VLOOKUP($A12,'Parts List and Volumes'!$C$2:$W203,15,FALSE),"")</f>
        <v>0</v>
      </c>
      <c r="AB12" s="50">
        <f>IFERROR(VLOOKUP($A12,'Parts List and Volumes'!$C$2:$W203,16,FALSE),"")</f>
        <v>0</v>
      </c>
      <c r="AC12" s="46">
        <f>IFERROR((($F12*AA12)/FourHeadAssumption),"")</f>
        <v>0</v>
      </c>
      <c r="AD12" s="47">
        <f>IFERROR((($F12*AB12)/FourHeadAssumption),"")</f>
        <v>0</v>
      </c>
      <c r="AE12" s="40">
        <f>IFERROR(VLOOKUP($A12,'Parts List and Volumes'!$C$2:$W203,17,FALSE),"")</f>
        <v>0</v>
      </c>
      <c r="AF12" s="41">
        <f>IFERROR(VLOOKUP($A12,'Parts List and Volumes'!$C$2:$W203,18,FALSE),"")</f>
        <v>0</v>
      </c>
      <c r="AG12" s="42">
        <f>IFERROR((($F12*AE12)/SingleEndAssumption),"")</f>
        <v>0</v>
      </c>
      <c r="AH12" s="43">
        <f>IFERROR((($F12*AF12)/SingleEndAssumption),"")</f>
        <v>0</v>
      </c>
      <c r="AI12" s="49">
        <f>IFERROR(VLOOKUP($A12,'Parts List and Volumes'!$C$2:$W203,19,FALSE),"")</f>
        <v>0</v>
      </c>
      <c r="AJ12" s="50">
        <f>IFERROR(VLOOKUP($A12,'Parts List and Volumes'!$C$2:$W203,20,FALSE),"")</f>
        <v>0</v>
      </c>
      <c r="AK12" s="46">
        <f>IFERROR((($F12*AI12)/FourHeadAssumption),"")</f>
        <v>0</v>
      </c>
      <c r="AL12" s="47">
        <f>IFERROR((($F12*AJ12)/FourHeadAssumption),"")</f>
        <v>0</v>
      </c>
      <c r="AM12" s="40">
        <f>IFERROR(VLOOKUP($A12,'Parts List and Volumes'!$C$2:$W203,21,FALSE),"")</f>
        <v>0</v>
      </c>
      <c r="AN12" s="41" t="str">
        <f>IFERROR(VLOOKUP($A12,'Parts List and Volumes'!$C$2:$W203,22,FALSE),"")</f>
        <v/>
      </c>
      <c r="AO12" s="42">
        <f>IFERROR((($F12*AM12)/SingleEndAssumption),"")</f>
        <v>0</v>
      </c>
      <c r="AP12" s="43" t="str">
        <f>IFERROR((($F12*AN12)/SingleEndAssumption),"")</f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46" t="str">
        <f>IFERROR((($F12*AQ12)/FourHeadAssumption),"")</f>
        <v/>
      </c>
      <c r="AT12" s="47" t="str">
        <f>IFERROR((($F12*AR12)/FourHeadAssumption),"")</f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2" t="str">
        <f>IFERROR((($F12*AU12)/SingleEndAssumption),"")</f>
        <v/>
      </c>
      <c r="AX12" s="43" t="str">
        <f>IFERROR((($F12*AV12)/SingleEndAssumption),"")</f>
        <v/>
      </c>
    </row>
    <row r="13" spans="1:50" x14ac:dyDescent="0.25">
      <c r="A13" s="91" t="s">
        <v>340</v>
      </c>
      <c r="B13" s="24" t="s">
        <v>378</v>
      </c>
      <c r="C13" s="20" t="str">
        <f>IFERROR(VLOOKUP(A13,'Parts List and Volumes'!C12:D204,2,FALSE),"")</f>
        <v>NJ000759AAF20</v>
      </c>
      <c r="D13" s="39">
        <f>IFERROR(IF(VLOOKUP($A13,'Parts List and Volumes'!$C12:$F267,3,FALSE)=0,"",VLOOKUP(A13,'Parts List and Volumes'!C12:F267,3,FALSE)),"")</f>
        <v>4.76</v>
      </c>
      <c r="E13" s="39" t="str">
        <f>IFERROR(IF(VLOOKUP($A13,'Parts List and Volumes'!$C12:$F267,4,FALSE)=0,"",VLOOKUP(B13,'Parts List and Volumes'!D12:G267,3,FALSE)),"")</f>
        <v/>
      </c>
      <c r="F13" s="92">
        <v>15</v>
      </c>
      <c r="G13" s="40">
        <f>IFERROR(VLOOKUP($A13,'Parts List and Volumes'!$C$2:$W204,5,FALSE),"")</f>
        <v>150</v>
      </c>
      <c r="H13" s="41">
        <f>IFERROR(VLOOKUP($A13,'Parts List and Volumes'!$C$2:$W204,6,FALSE),"")</f>
        <v>15435.378492835003</v>
      </c>
      <c r="I13" s="42">
        <f>IFERROR((($F13*G13)/SingleEndAssumption),"")</f>
        <v>1.5318627450980392E-4</v>
      </c>
      <c r="J13" s="43">
        <f>IFERROR((($F13*H13)/SingleEndAssumption),"")</f>
        <v>1.5763254179774307E-2</v>
      </c>
      <c r="K13" s="58">
        <f>IFERROR(VLOOKUP($A13,'Parts List and Volumes'!$C$2:$W204,7,FALSE),"")</f>
        <v>0</v>
      </c>
      <c r="L13" s="45">
        <f>IFERROR(VLOOKUP($A13,'Parts List and Volumes'!$C$2:$W204,8,FALSE),"")</f>
        <v>37963.28570506566</v>
      </c>
      <c r="M13" s="46">
        <f>IFERROR((($F13*K13)/FourHeadAssumption),"")</f>
        <v>0</v>
      </c>
      <c r="N13" s="47">
        <f>IFERROR((($F13*L13)/FourHeadAssumption),"")</f>
        <v>4.1913184182416595E-2</v>
      </c>
      <c r="O13" s="41">
        <f>IFERROR(VLOOKUP($A13,'Parts List and Volumes'!$C$2:$W204,9,FALSE),"")</f>
        <v>0</v>
      </c>
      <c r="P13" s="41">
        <f>IFERROR(VLOOKUP($A13,'Parts List and Volumes'!$C$2:$W204,10,FALSE),"")</f>
        <v>39544.591507867808</v>
      </c>
      <c r="Q13" s="42">
        <f>IFERROR((($F13*O13)/SingleEndAssumption),"")</f>
        <v>0</v>
      </c>
      <c r="R13" s="43">
        <f>IFERROR((($F13*P13)/SingleEndAssumption),"")</f>
        <v>4.0384591000681994E-2</v>
      </c>
      <c r="S13" s="44">
        <f>IFERROR(VLOOKUP($A13,'Parts List and Volumes'!$C$2:$W204,11,FALSE),"")</f>
        <v>0</v>
      </c>
      <c r="T13" s="45">
        <f>IFERROR(VLOOKUP($A13,'Parts List and Volumes'!$C$2:$W204,12,FALSE),"")</f>
        <v>34999.999999999993</v>
      </c>
      <c r="U13" s="46">
        <f>IFERROR((($F13*S13)/FourHeadAssumption),"")</f>
        <v>0</v>
      </c>
      <c r="V13" s="47">
        <f>IFERROR((($F13*T13)/FourHeadAssumption),"")</f>
        <v>3.8641582759229812E-2</v>
      </c>
      <c r="W13" s="40">
        <f>IFERROR(VLOOKUP($A13,'Parts List and Volumes'!$C$2:$W204,13,FALSE),"")</f>
        <v>0</v>
      </c>
      <c r="X13" s="41">
        <f>IFERROR(VLOOKUP($A13,'Parts List and Volumes'!$C$2:$W204,14,FALSE),"")</f>
        <v>0</v>
      </c>
      <c r="Y13" s="42">
        <f>IFERROR((($F13*W13)/SingleEndAssumption),"")</f>
        <v>0</v>
      </c>
      <c r="Z13" s="43">
        <f>IFERROR((($F13*X13)/SingleEndAssumption),"")</f>
        <v>0</v>
      </c>
      <c r="AA13" s="49">
        <f>IFERROR(VLOOKUP($A13,'Parts List and Volumes'!$C$2:$W204,15,FALSE),"")</f>
        <v>0</v>
      </c>
      <c r="AB13" s="50">
        <f>IFERROR(VLOOKUP($A13,'Parts List and Volumes'!$C$2:$W204,16,FALSE),"")</f>
        <v>0</v>
      </c>
      <c r="AC13" s="46">
        <f>IFERROR((($F13*AA13)/FourHeadAssumption),"")</f>
        <v>0</v>
      </c>
      <c r="AD13" s="47">
        <f>IFERROR((($F13*AB13)/FourHeadAssumption),"")</f>
        <v>0</v>
      </c>
      <c r="AE13" s="40">
        <f>IFERROR(VLOOKUP($A13,'Parts List and Volumes'!$C$2:$W204,17,FALSE),"")</f>
        <v>0</v>
      </c>
      <c r="AF13" s="41">
        <f>IFERROR(VLOOKUP($A13,'Parts List and Volumes'!$C$2:$W204,18,FALSE),"")</f>
        <v>0</v>
      </c>
      <c r="AG13" s="42">
        <f>IFERROR((($F13*AE13)/SingleEndAssumption),"")</f>
        <v>0</v>
      </c>
      <c r="AH13" s="43">
        <f>IFERROR((($F13*AF13)/SingleEndAssumption),"")</f>
        <v>0</v>
      </c>
      <c r="AI13" s="49">
        <f>IFERROR(VLOOKUP($A13,'Parts List and Volumes'!$C$2:$W204,19,FALSE),"")</f>
        <v>0</v>
      </c>
      <c r="AJ13" s="50">
        <f>IFERROR(VLOOKUP($A13,'Parts List and Volumes'!$C$2:$W204,20,FALSE),"")</f>
        <v>0</v>
      </c>
      <c r="AK13" s="46">
        <f>IFERROR((($F13*AI13)/FourHeadAssumption),"")</f>
        <v>0</v>
      </c>
      <c r="AL13" s="47">
        <f>IFERROR((($F13*AJ13)/FourHeadAssumption),"")</f>
        <v>0</v>
      </c>
      <c r="AM13" s="40">
        <f>IFERROR(VLOOKUP($A13,'Parts List and Volumes'!$C$2:$W204,21,FALSE),"")</f>
        <v>0</v>
      </c>
      <c r="AN13" s="41" t="str">
        <f>IFERROR(VLOOKUP($A13,'Parts List and Volumes'!$C$2:$W204,22,FALSE),"")</f>
        <v/>
      </c>
      <c r="AO13" s="42">
        <f>IFERROR((($F13*AM13)/SingleEndAssumption),"")</f>
        <v>0</v>
      </c>
      <c r="AP13" s="43" t="str">
        <f>IFERROR((($F13*AN13)/SingleEndAssumption),"")</f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46" t="str">
        <f>IFERROR((($F13*AQ13)/FourHeadAssumption),"")</f>
        <v/>
      </c>
      <c r="AT13" s="47" t="str">
        <f>IFERROR((($F13*AR13)/FourHeadAssumption),"")</f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2" t="str">
        <f>IFERROR((($F13*AU13)/SingleEndAssumption),"")</f>
        <v/>
      </c>
      <c r="AX13" s="43" t="str">
        <f>IFERROR((($F13*AV13)/SingleEndAssumption),"")</f>
        <v/>
      </c>
    </row>
    <row r="14" spans="1:50" x14ac:dyDescent="0.25">
      <c r="A14" s="91" t="s">
        <v>341</v>
      </c>
      <c r="B14" s="24" t="s">
        <v>378</v>
      </c>
      <c r="C14" s="20" t="str">
        <f>IFERROR(VLOOKUP(A14,'Parts List and Volumes'!C13:D205,2,FALSE),"")</f>
        <v>NJ000758AAF20</v>
      </c>
      <c r="D14" s="39">
        <f>IFERROR(IF(VLOOKUP($A14,'Parts List and Volumes'!$C13:$F268,3,FALSE)=0,"",VLOOKUP(A14,'Parts List and Volumes'!C13:F268,3,FALSE)),"")</f>
        <v>4.76</v>
      </c>
      <c r="E14" s="39" t="str">
        <f>IFERROR(IF(VLOOKUP($A14,'Parts List and Volumes'!$C13:$F268,4,FALSE)=0,"",VLOOKUP(B14,'Parts List and Volumes'!D13:G268,3,FALSE)),"")</f>
        <v/>
      </c>
      <c r="F14" s="92">
        <v>15</v>
      </c>
      <c r="G14" s="40">
        <f>IFERROR(VLOOKUP($A14,'Parts List and Volumes'!$C$2:$W205,5,FALSE),"")</f>
        <v>0</v>
      </c>
      <c r="H14" s="41">
        <f>IFERROR(VLOOKUP($A14,'Parts List and Volumes'!$C$2:$W205,6,FALSE),"")</f>
        <v>15435.378492835003</v>
      </c>
      <c r="I14" s="42">
        <f>IFERROR((($F14*G14)/SingleEndAssumption),"")</f>
        <v>0</v>
      </c>
      <c r="J14" s="43">
        <f>IFERROR((($F14*H14)/SingleEndAssumption),"")</f>
        <v>1.5763254179774307E-2</v>
      </c>
      <c r="K14" s="58">
        <f>IFERROR(VLOOKUP($A14,'Parts List and Volumes'!$C$2:$W205,7,FALSE),"")</f>
        <v>0</v>
      </c>
      <c r="L14" s="45">
        <f>IFERROR(VLOOKUP($A14,'Parts List and Volumes'!$C$2:$W205,8,FALSE),"")</f>
        <v>37963.28570506566</v>
      </c>
      <c r="M14" s="46">
        <f>IFERROR((($F14*K14)/FourHeadAssumption),"")</f>
        <v>0</v>
      </c>
      <c r="N14" s="47">
        <f>IFERROR((($F14*L14)/FourHeadAssumption),"")</f>
        <v>4.1913184182416595E-2</v>
      </c>
      <c r="O14" s="41">
        <f>IFERROR(VLOOKUP($A14,'Parts List and Volumes'!$C$2:$W205,9,FALSE),"")</f>
        <v>0</v>
      </c>
      <c r="P14" s="41">
        <f>IFERROR(VLOOKUP($A14,'Parts List and Volumes'!$C$2:$W205,10,FALSE),"")</f>
        <v>39544.591507867808</v>
      </c>
      <c r="Q14" s="42">
        <f>IFERROR((($F14*O14)/SingleEndAssumption),"")</f>
        <v>0</v>
      </c>
      <c r="R14" s="43">
        <f>IFERROR((($F14*P14)/SingleEndAssumption),"")</f>
        <v>4.0384591000681994E-2</v>
      </c>
      <c r="S14" s="44">
        <f>IFERROR(VLOOKUP($A14,'Parts List and Volumes'!$C$2:$W205,11,FALSE),"")</f>
        <v>0</v>
      </c>
      <c r="T14" s="45">
        <f>IFERROR(VLOOKUP($A14,'Parts List and Volumes'!$C$2:$W205,12,FALSE),"")</f>
        <v>34999.999999999993</v>
      </c>
      <c r="U14" s="46">
        <f>IFERROR((($F14*S14)/FourHeadAssumption),"")</f>
        <v>0</v>
      </c>
      <c r="V14" s="47">
        <f>IFERROR((($F14*T14)/FourHeadAssumption),"")</f>
        <v>3.8641582759229812E-2</v>
      </c>
      <c r="W14" s="40">
        <f>IFERROR(VLOOKUP($A14,'Parts List and Volumes'!$C$2:$W205,13,FALSE),"")</f>
        <v>0</v>
      </c>
      <c r="X14" s="41">
        <f>IFERROR(VLOOKUP($A14,'Parts List and Volumes'!$C$2:$W205,14,FALSE),"")</f>
        <v>0</v>
      </c>
      <c r="Y14" s="42">
        <f>IFERROR((($F14*W14)/SingleEndAssumption),"")</f>
        <v>0</v>
      </c>
      <c r="Z14" s="43">
        <f>IFERROR((($F14*X14)/SingleEndAssumption),"")</f>
        <v>0</v>
      </c>
      <c r="AA14" s="49">
        <f>IFERROR(VLOOKUP($A14,'Parts List and Volumes'!$C$2:$W205,15,FALSE),"")</f>
        <v>0</v>
      </c>
      <c r="AB14" s="50">
        <f>IFERROR(VLOOKUP($A14,'Parts List and Volumes'!$C$2:$W205,16,FALSE),"")</f>
        <v>0</v>
      </c>
      <c r="AC14" s="46">
        <f>IFERROR((($F14*AA14)/FourHeadAssumption),"")</f>
        <v>0</v>
      </c>
      <c r="AD14" s="47">
        <f>IFERROR((($F14*AB14)/FourHeadAssumption),"")</f>
        <v>0</v>
      </c>
      <c r="AE14" s="40">
        <f>IFERROR(VLOOKUP($A14,'Parts List and Volumes'!$C$2:$W205,17,FALSE),"")</f>
        <v>0</v>
      </c>
      <c r="AF14" s="41">
        <f>IFERROR(VLOOKUP($A14,'Parts List and Volumes'!$C$2:$W205,18,FALSE),"")</f>
        <v>0</v>
      </c>
      <c r="AG14" s="42">
        <f>IFERROR((($F14*AE14)/SingleEndAssumption),"")</f>
        <v>0</v>
      </c>
      <c r="AH14" s="43">
        <f>IFERROR((($F14*AF14)/SingleEndAssumption),"")</f>
        <v>0</v>
      </c>
      <c r="AI14" s="49">
        <f>IFERROR(VLOOKUP($A14,'Parts List and Volumes'!$C$2:$W205,19,FALSE),"")</f>
        <v>0</v>
      </c>
      <c r="AJ14" s="50">
        <f>IFERROR(VLOOKUP($A14,'Parts List and Volumes'!$C$2:$W205,20,FALSE),"")</f>
        <v>0</v>
      </c>
      <c r="AK14" s="46">
        <f>IFERROR((($F14*AI14)/FourHeadAssumption),"")</f>
        <v>0</v>
      </c>
      <c r="AL14" s="47">
        <f>IFERROR((($F14*AJ14)/FourHeadAssumption),"")</f>
        <v>0</v>
      </c>
      <c r="AM14" s="40">
        <f>IFERROR(VLOOKUP($A14,'Parts List and Volumes'!$C$2:$W205,21,FALSE),"")</f>
        <v>0</v>
      </c>
      <c r="AN14" s="41" t="str">
        <f>IFERROR(VLOOKUP($A14,'Parts List and Volumes'!$C$2:$W205,22,FALSE),"")</f>
        <v/>
      </c>
      <c r="AO14" s="42">
        <f>IFERROR((($F14*AM14)/SingleEndAssumption),"")</f>
        <v>0</v>
      </c>
      <c r="AP14" s="43" t="str">
        <f>IFERROR((($F14*AN14)/SingleEndAssumption),"")</f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46" t="str">
        <f>IFERROR((($F14*AQ14)/FourHeadAssumption),"")</f>
        <v/>
      </c>
      <c r="AT14" s="47" t="str">
        <f>IFERROR((($F14*AR14)/FourHeadAssumption),"")</f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2" t="str">
        <f>IFERROR((($F14*AU14)/SingleEndAssumption),"")</f>
        <v/>
      </c>
      <c r="AX14" s="43" t="str">
        <f>IFERROR((($F14*AV14)/SingleEndAssumption),"")</f>
        <v/>
      </c>
    </row>
    <row r="15" spans="1:50" x14ac:dyDescent="0.25">
      <c r="A15" s="91" t="s">
        <v>349</v>
      </c>
      <c r="B15" s="24" t="s">
        <v>435</v>
      </c>
      <c r="C15" s="20" t="str">
        <f>IFERROR(VLOOKUP(A15,'Parts List and Volumes'!C14:D206,2,FALSE),"")</f>
        <v>NJ000748AAF20</v>
      </c>
      <c r="D15" s="39">
        <f>IFERROR(IF(VLOOKUP($A15,'Parts List and Volumes'!$C14:$F269,3,FALSE)=0,"",VLOOKUP(A15,'Parts List and Volumes'!C14:F269,3,FALSE)),"")</f>
        <v>4.76</v>
      </c>
      <c r="E15" s="39" t="str">
        <f>IFERROR(IF(VLOOKUP($A15,'Parts List and Volumes'!$C14:$F269,4,FALSE)=0,"",VLOOKUP(B15,'Parts List and Volumes'!D14:G269,3,FALSE)),"")</f>
        <v/>
      </c>
      <c r="F15" s="92">
        <v>56.2</v>
      </c>
      <c r="G15" s="40">
        <f>IFERROR(VLOOKUP($A15,'Parts List and Volumes'!$C$2:$W206,5,FALSE),"")</f>
        <v>14800</v>
      </c>
      <c r="H15" s="41">
        <f>IFERROR(VLOOKUP($A15,'Parts List and Volumes'!$C$2:$W206,6,FALSE),"")</f>
        <v>10439.96764258865</v>
      </c>
      <c r="I15" s="42">
        <f>IFERROR((($F15*G15)/SingleEndAssumption),"")</f>
        <v>5.6628540305010897E-2</v>
      </c>
      <c r="J15" s="43">
        <f>IFERROR((($F15*H15)/SingleEndAssumption),"")</f>
        <v>3.9945954623739253E-2</v>
      </c>
      <c r="K15" s="58">
        <f>IFERROR(VLOOKUP($A15,'Parts List and Volumes'!$C$2:$W206,7,FALSE),"")</f>
        <v>0</v>
      </c>
      <c r="L15" s="45">
        <f>IFERROR(VLOOKUP($A15,'Parts List and Volumes'!$C$2:$W206,8,FALSE),"")</f>
        <v>20447.63370430352</v>
      </c>
      <c r="M15" s="46">
        <f>IFERROR((($F15*K15)/FourHeadAssumption),"")</f>
        <v>0</v>
      </c>
      <c r="N15" s="47">
        <f>IFERROR((($F15*L15)/FourHeadAssumption),"")</f>
        <v>8.4581420698776569E-2</v>
      </c>
      <c r="O15" s="41">
        <f>IFERROR(VLOOKUP($A15,'Parts List and Volumes'!$C$2:$W206,9,FALSE),"")</f>
        <v>0</v>
      </c>
      <c r="P15" s="41">
        <f>IFERROR(VLOOKUP($A15,'Parts List and Volumes'!$C$2:$W206,10,FALSE),"")</f>
        <v>19929.446159936266</v>
      </c>
      <c r="Q15" s="42">
        <f>IFERROR((($F15*O15)/SingleEndAssumption),"")</f>
        <v>0</v>
      </c>
      <c r="R15" s="43">
        <f>IFERROR((($F15*P15)/SingleEndAssumption),"")</f>
        <v>7.6255097643547001E-2</v>
      </c>
      <c r="S15" s="44">
        <f>IFERROR(VLOOKUP($A15,'Parts List and Volumes'!$C$2:$W206,11,FALSE),"")</f>
        <v>0</v>
      </c>
      <c r="T15" s="45">
        <f>IFERROR(VLOOKUP($A15,'Parts List and Volumes'!$C$2:$W206,12,FALSE),"")</f>
        <v>15428.007023705004</v>
      </c>
      <c r="U15" s="46">
        <f>IFERROR((($F15*S15)/FourHeadAssumption),"")</f>
        <v>0</v>
      </c>
      <c r="V15" s="47">
        <f>IFERROR((($F15*T15)/FourHeadAssumption),"")</f>
        <v>6.3817787988887514E-2</v>
      </c>
      <c r="W15" s="40">
        <f>IFERROR(VLOOKUP($A15,'Parts List and Volumes'!$C$2:$W206,13,FALSE),"")</f>
        <v>0</v>
      </c>
      <c r="X15" s="41">
        <f>IFERROR(VLOOKUP($A15,'Parts List and Volumes'!$C$2:$W206,14,FALSE),"")</f>
        <v>0</v>
      </c>
      <c r="Y15" s="42">
        <f>IFERROR((($F15*W15)/SingleEndAssumption),"")</f>
        <v>0</v>
      </c>
      <c r="Z15" s="43">
        <f>IFERROR((($F15*X15)/SingleEndAssumption),"")</f>
        <v>0</v>
      </c>
      <c r="AA15" s="49">
        <f>IFERROR(VLOOKUP($A15,'Parts List and Volumes'!$C$2:$W206,15,FALSE),"")</f>
        <v>0</v>
      </c>
      <c r="AB15" s="50">
        <f>IFERROR(VLOOKUP($A15,'Parts List and Volumes'!$C$2:$W206,16,FALSE),"")</f>
        <v>0</v>
      </c>
      <c r="AC15" s="46">
        <f>IFERROR((($F15*AA15)/FourHeadAssumption),"")</f>
        <v>0</v>
      </c>
      <c r="AD15" s="47">
        <f>IFERROR((($F15*AB15)/FourHeadAssumption),"")</f>
        <v>0</v>
      </c>
      <c r="AE15" s="40">
        <f>IFERROR(VLOOKUP($A15,'Parts List and Volumes'!$C$2:$W206,17,FALSE),"")</f>
        <v>0</v>
      </c>
      <c r="AF15" s="41">
        <f>IFERROR(VLOOKUP($A15,'Parts List and Volumes'!$C$2:$W206,18,FALSE),"")</f>
        <v>0</v>
      </c>
      <c r="AG15" s="42">
        <f>IFERROR((($F15*AE15)/SingleEndAssumption),"")</f>
        <v>0</v>
      </c>
      <c r="AH15" s="43">
        <f>IFERROR((($F15*AF15)/SingleEndAssumption),"")</f>
        <v>0</v>
      </c>
      <c r="AI15" s="49">
        <f>IFERROR(VLOOKUP($A15,'Parts List and Volumes'!$C$2:$W206,19,FALSE),"")</f>
        <v>0</v>
      </c>
      <c r="AJ15" s="50">
        <f>IFERROR(VLOOKUP($A15,'Parts List and Volumes'!$C$2:$W206,20,FALSE),"")</f>
        <v>0</v>
      </c>
      <c r="AK15" s="46">
        <f>IFERROR((($F15*AI15)/FourHeadAssumption),"")</f>
        <v>0</v>
      </c>
      <c r="AL15" s="47">
        <f>IFERROR((($F15*AJ15)/FourHeadAssumption),"")</f>
        <v>0</v>
      </c>
      <c r="AM15" s="40">
        <f>IFERROR(VLOOKUP($A15,'Parts List and Volumes'!$C$2:$W206,21,FALSE),"")</f>
        <v>0</v>
      </c>
      <c r="AN15" s="41" t="str">
        <f>IFERROR(VLOOKUP($A15,'Parts List and Volumes'!$C$2:$W206,22,FALSE),"")</f>
        <v/>
      </c>
      <c r="AO15" s="42">
        <f>IFERROR((($F15*AM15)/SingleEndAssumption),"")</f>
        <v>0</v>
      </c>
      <c r="AP15" s="43" t="str">
        <f>IFERROR((($F15*AN15)/SingleEndAssumption),"")</f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46" t="str">
        <f>IFERROR((($F15*AQ15)/FourHeadAssumption),"")</f>
        <v/>
      </c>
      <c r="AT15" s="47" t="str">
        <f>IFERROR((($F15*AR15)/FourHeadAssumption),"")</f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2" t="str">
        <f>IFERROR((($F15*AU15)/SingleEndAssumption),"")</f>
        <v/>
      </c>
      <c r="AX15" s="43" t="str">
        <f>IFERROR((($F15*AV15)/SingleEndAssumption),"")</f>
        <v/>
      </c>
    </row>
    <row r="16" spans="1:50" x14ac:dyDescent="0.25">
      <c r="A16" s="91" t="s">
        <v>351</v>
      </c>
      <c r="B16" s="24" t="s">
        <v>435</v>
      </c>
      <c r="C16" s="20" t="str">
        <f>IFERROR(VLOOKUP(A16,'Parts List and Volumes'!C15:D207,2,FALSE),"")</f>
        <v>NJ000751AAF20</v>
      </c>
      <c r="D16" s="39">
        <f>IFERROR(IF(VLOOKUP($A16,'Parts List and Volumes'!$C15:$F270,3,FALSE)=0,"",VLOOKUP(A16,'Parts List and Volumes'!C15:F270,3,FALSE)),"")</f>
        <v>4.76</v>
      </c>
      <c r="E16" s="39" t="str">
        <f>IFERROR(IF(VLOOKUP($A16,'Parts List and Volumes'!$C15:$F270,4,FALSE)=0,"",VLOOKUP(B16,'Parts List and Volumes'!D15:G270,3,FALSE)),"")</f>
        <v/>
      </c>
      <c r="F16" s="92">
        <v>54.2</v>
      </c>
      <c r="G16" s="40">
        <f>IFERROR(VLOOKUP($A16,'Parts List and Volumes'!$C$2:$W207,5,FALSE),"")</f>
        <v>14660</v>
      </c>
      <c r="H16" s="41">
        <f>IFERROR(VLOOKUP($A16,'Parts List and Volumes'!$C$2:$W207,6,FALSE),"")</f>
        <v>10439.96764258865</v>
      </c>
      <c r="I16" s="42">
        <f>IFERROR((($F16*G16)/SingleEndAssumption),"")</f>
        <v>5.4096677559912855E-2</v>
      </c>
      <c r="J16" s="43">
        <f>IFERROR((($F16*H16)/SingleEndAssumption),"")</f>
        <v>3.8524390402253868E-2</v>
      </c>
      <c r="K16" s="58">
        <f>IFERROR(VLOOKUP($A16,'Parts List and Volumes'!$C$2:$W207,7,FALSE),"")</f>
        <v>0</v>
      </c>
      <c r="L16" s="45">
        <f>IFERROR(VLOOKUP($A16,'Parts List and Volumes'!$C$2:$W207,8,FALSE),"")</f>
        <v>20447.63370430352</v>
      </c>
      <c r="M16" s="46">
        <f>IFERROR((($F16*K16)/FourHeadAssumption),"")</f>
        <v>0</v>
      </c>
      <c r="N16" s="47">
        <f>IFERROR((($F16*L16)/FourHeadAssumption),"")</f>
        <v>8.1571405727289853E-2</v>
      </c>
      <c r="O16" s="41">
        <f>IFERROR(VLOOKUP($A16,'Parts List and Volumes'!$C$2:$W207,9,FALSE),"")</f>
        <v>0</v>
      </c>
      <c r="P16" s="41">
        <f>IFERROR(VLOOKUP($A16,'Parts List and Volumes'!$C$2:$W207,10,FALSE),"")</f>
        <v>19929.446159936266</v>
      </c>
      <c r="Q16" s="42">
        <f>IFERROR((($F16*O16)/SingleEndAssumption),"")</f>
        <v>0</v>
      </c>
      <c r="R16" s="43">
        <f>IFERROR((($F16*P16)/SingleEndAssumption),"")</f>
        <v>7.3541393101072008E-2</v>
      </c>
      <c r="S16" s="44">
        <f>IFERROR(VLOOKUP($A16,'Parts List and Volumes'!$C$2:$W207,11,FALSE),"")</f>
        <v>0</v>
      </c>
      <c r="T16" s="45">
        <f>IFERROR(VLOOKUP($A16,'Parts List and Volumes'!$C$2:$W207,12,FALSE),"")</f>
        <v>15428.007023705004</v>
      </c>
      <c r="U16" s="46">
        <f>IFERROR((($F16*S16)/FourHeadAssumption),"")</f>
        <v>0</v>
      </c>
      <c r="V16" s="47">
        <f>IFERROR((($F16*T16)/FourHeadAssumption),"")</f>
        <v>6.1546692330919979E-2</v>
      </c>
      <c r="W16" s="40">
        <f>IFERROR(VLOOKUP($A16,'Parts List and Volumes'!$C$2:$W207,13,FALSE),"")</f>
        <v>0</v>
      </c>
      <c r="X16" s="41">
        <f>IFERROR(VLOOKUP($A16,'Parts List and Volumes'!$C$2:$W207,14,FALSE),"")</f>
        <v>0</v>
      </c>
      <c r="Y16" s="42">
        <f>IFERROR((($F16*W16)/SingleEndAssumption),"")</f>
        <v>0</v>
      </c>
      <c r="Z16" s="43">
        <f>IFERROR((($F16*X16)/SingleEndAssumption),"")</f>
        <v>0</v>
      </c>
      <c r="AA16" s="49">
        <f>IFERROR(VLOOKUP($A16,'Parts List and Volumes'!$C$2:$W207,15,FALSE),"")</f>
        <v>0</v>
      </c>
      <c r="AB16" s="50">
        <f>IFERROR(VLOOKUP($A16,'Parts List and Volumes'!$C$2:$W207,16,FALSE),"")</f>
        <v>0</v>
      </c>
      <c r="AC16" s="46">
        <f>IFERROR((($F16*AA16)/FourHeadAssumption),"")</f>
        <v>0</v>
      </c>
      <c r="AD16" s="47">
        <f>IFERROR((($F16*AB16)/FourHeadAssumption),"")</f>
        <v>0</v>
      </c>
      <c r="AE16" s="40">
        <f>IFERROR(VLOOKUP($A16,'Parts List and Volumes'!$C$2:$W207,17,FALSE),"")</f>
        <v>0</v>
      </c>
      <c r="AF16" s="41">
        <f>IFERROR(VLOOKUP($A16,'Parts List and Volumes'!$C$2:$W207,18,FALSE),"")</f>
        <v>0</v>
      </c>
      <c r="AG16" s="42">
        <f>IFERROR((($F16*AE16)/SingleEndAssumption),"")</f>
        <v>0</v>
      </c>
      <c r="AH16" s="43">
        <f>IFERROR((($F16*AF16)/SingleEndAssumption),"")</f>
        <v>0</v>
      </c>
      <c r="AI16" s="49">
        <f>IFERROR(VLOOKUP($A16,'Parts List and Volumes'!$C$2:$W207,19,FALSE),"")</f>
        <v>0</v>
      </c>
      <c r="AJ16" s="50">
        <f>IFERROR(VLOOKUP($A16,'Parts List and Volumes'!$C$2:$W207,20,FALSE),"")</f>
        <v>0</v>
      </c>
      <c r="AK16" s="46">
        <f>IFERROR((($F16*AI16)/FourHeadAssumption),"")</f>
        <v>0</v>
      </c>
      <c r="AL16" s="47">
        <f>IFERROR((($F16*AJ16)/FourHeadAssumption),"")</f>
        <v>0</v>
      </c>
      <c r="AM16" s="40">
        <f>IFERROR(VLOOKUP($A16,'Parts List and Volumes'!$C$2:$W207,21,FALSE),"")</f>
        <v>0</v>
      </c>
      <c r="AN16" s="41" t="str">
        <f>IFERROR(VLOOKUP($A16,'Parts List and Volumes'!$C$2:$W207,22,FALSE),"")</f>
        <v/>
      </c>
      <c r="AO16" s="42">
        <f>IFERROR((($F16*AM16)/SingleEndAssumption),"")</f>
        <v>0</v>
      </c>
      <c r="AP16" s="43" t="str">
        <f>IFERROR((($F16*AN16)/SingleEndAssumption),"")</f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46" t="str">
        <f>IFERROR((($F16*AQ16)/FourHeadAssumption),"")</f>
        <v/>
      </c>
      <c r="AT16" s="47" t="str">
        <f>IFERROR((($F16*AR16)/FourHeadAssumption),"")</f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2" t="str">
        <f>IFERROR((($F16*AU16)/SingleEndAssumption),"")</f>
        <v/>
      </c>
      <c r="AX16" s="43" t="str">
        <f>IFERROR((($F16*AV16)/SingleEndAssumption),"")</f>
        <v/>
      </c>
    </row>
    <row r="17" spans="1:50" x14ac:dyDescent="0.25">
      <c r="A17" s="91" t="s">
        <v>337</v>
      </c>
      <c r="B17" s="24" t="s">
        <v>434</v>
      </c>
      <c r="C17" s="20" t="str">
        <f>IFERROR(VLOOKUP(A17,'Parts List and Volumes'!C16:D208,2,FALSE),"")</f>
        <v>NJ000766AAF20</v>
      </c>
      <c r="D17" s="39">
        <f>IFERROR(IF(VLOOKUP($A17,'Parts List and Volumes'!$C16:$F271,3,FALSE)=0,"",VLOOKUP(A17,'Parts List and Volumes'!C16:F271,3,FALSE)),"")</f>
        <v>7.96</v>
      </c>
      <c r="E17" s="39" t="str">
        <f>IFERROR(IF(VLOOKUP($A17,'Parts List and Volumes'!$C16:$F271,4,FALSE)=0,"",VLOOKUP(B17,'Parts List and Volumes'!D16:G271,3,FALSE)),"")</f>
        <v/>
      </c>
      <c r="F17" s="92">
        <v>33.1</v>
      </c>
      <c r="G17" s="40">
        <f>IFERROR(VLOOKUP($A17,'Parts List and Volumes'!$C$2:$W208,5,FALSE),"")</f>
        <v>0</v>
      </c>
      <c r="H17" s="41">
        <f>IFERROR(VLOOKUP($A17,'Parts List and Volumes'!$C$2:$W208,6,FALSE),"")</f>
        <v>4995.4108502463532</v>
      </c>
      <c r="I17" s="42">
        <f>IFERROR((($F17*G17)/SingleEndAssumption),"")</f>
        <v>0</v>
      </c>
      <c r="J17" s="43">
        <f>IFERROR((($F17*H17)/SingleEndAssumption),"")</f>
        <v>1.1257359691118893E-2</v>
      </c>
      <c r="K17" s="58">
        <f>IFERROR(VLOOKUP($A17,'Parts List and Volumes'!$C$2:$W208,7,FALSE),"")</f>
        <v>0</v>
      </c>
      <c r="L17" s="45">
        <f>IFERROR(VLOOKUP($A17,'Parts List and Volumes'!$C$2:$W208,8,FALSE),"")</f>
        <v>17515.652000762144</v>
      </c>
      <c r="M17" s="46">
        <f>IFERROR((($F17*K17)/FourHeadAssumption),"")</f>
        <v>0</v>
      </c>
      <c r="N17" s="47">
        <f>IFERROR((($F17*L17)/FourHeadAssumption),"")</f>
        <v>4.2672678651094254E-2</v>
      </c>
      <c r="O17" s="41">
        <f>IFERROR(VLOOKUP($A17,'Parts List and Volumes'!$C$2:$W208,9,FALSE),"")</f>
        <v>0</v>
      </c>
      <c r="P17" s="41">
        <f>IFERROR(VLOOKUP($A17,'Parts List and Volumes'!$C$2:$W208,10,FALSE),"")</f>
        <v>19615.145347931539</v>
      </c>
      <c r="Q17" s="42">
        <f>IFERROR((($F17*O17)/SingleEndAssumption),"")</f>
        <v>0</v>
      </c>
      <c r="R17" s="43">
        <f>IFERROR((($F17*P17)/SingleEndAssumption),"")</f>
        <v>4.4203520630210651E-2</v>
      </c>
      <c r="S17" s="44">
        <f>IFERROR(VLOOKUP($A17,'Parts List and Volumes'!$C$2:$W208,11,FALSE),"")</f>
        <v>0</v>
      </c>
      <c r="T17" s="45">
        <f>IFERROR(VLOOKUP($A17,'Parts List and Volumes'!$C$2:$W208,12,FALSE),"")</f>
        <v>19571.992976294991</v>
      </c>
      <c r="U17" s="46">
        <f>IFERROR((($F17*S17)/FourHeadAssumption),"")</f>
        <v>0</v>
      </c>
      <c r="V17" s="47">
        <f>IFERROR((($F17*T17)/FourHeadAssumption),"")</f>
        <v>4.7682459482671212E-2</v>
      </c>
      <c r="W17" s="40">
        <f>IFERROR(VLOOKUP($A17,'Parts List and Volumes'!$C$2:$W208,13,FALSE),"")</f>
        <v>0</v>
      </c>
      <c r="X17" s="41">
        <f>IFERROR(VLOOKUP($A17,'Parts List and Volumes'!$C$2:$W208,14,FALSE),"")</f>
        <v>0</v>
      </c>
      <c r="Y17" s="42">
        <f>IFERROR((($F17*W17)/SingleEndAssumption),"")</f>
        <v>0</v>
      </c>
      <c r="Z17" s="43">
        <f>IFERROR((($F17*X17)/SingleEndAssumption),"")</f>
        <v>0</v>
      </c>
      <c r="AA17" s="49">
        <f>IFERROR(VLOOKUP($A17,'Parts List and Volumes'!$C$2:$W208,15,FALSE),"")</f>
        <v>0</v>
      </c>
      <c r="AB17" s="50">
        <f>IFERROR(VLOOKUP($A17,'Parts List and Volumes'!$C$2:$W208,16,FALSE),"")</f>
        <v>0</v>
      </c>
      <c r="AC17" s="46">
        <f>IFERROR((($F17*AA17)/FourHeadAssumption),"")</f>
        <v>0</v>
      </c>
      <c r="AD17" s="47">
        <f>IFERROR((($F17*AB17)/FourHeadAssumption),"")</f>
        <v>0</v>
      </c>
      <c r="AE17" s="40">
        <f>IFERROR(VLOOKUP($A17,'Parts List and Volumes'!$C$2:$W208,17,FALSE),"")</f>
        <v>0</v>
      </c>
      <c r="AF17" s="41">
        <f>IFERROR(VLOOKUP($A17,'Parts List and Volumes'!$C$2:$W208,18,FALSE),"")</f>
        <v>0</v>
      </c>
      <c r="AG17" s="42">
        <f>IFERROR((($F17*AE17)/SingleEndAssumption),"")</f>
        <v>0</v>
      </c>
      <c r="AH17" s="43">
        <f>IFERROR((($F17*AF17)/SingleEndAssumption),"")</f>
        <v>0</v>
      </c>
      <c r="AI17" s="49">
        <f>IFERROR(VLOOKUP($A17,'Parts List and Volumes'!$C$2:$W208,19,FALSE),"")</f>
        <v>0</v>
      </c>
      <c r="AJ17" s="50">
        <f>IFERROR(VLOOKUP($A17,'Parts List and Volumes'!$C$2:$W208,20,FALSE),"")</f>
        <v>0</v>
      </c>
      <c r="AK17" s="46">
        <f>IFERROR((($F17*AI17)/FourHeadAssumption),"")</f>
        <v>0</v>
      </c>
      <c r="AL17" s="47">
        <f>IFERROR((($F17*AJ17)/FourHeadAssumption),"")</f>
        <v>0</v>
      </c>
      <c r="AM17" s="40">
        <f>IFERROR(VLOOKUP($A17,'Parts List and Volumes'!$C$2:$W208,21,FALSE),"")</f>
        <v>0</v>
      </c>
      <c r="AN17" s="41" t="str">
        <f>IFERROR(VLOOKUP($A17,'Parts List and Volumes'!$C$2:$W208,22,FALSE),"")</f>
        <v/>
      </c>
      <c r="AO17" s="42">
        <f>IFERROR((($F17*AM17)/SingleEndAssumption),"")</f>
        <v>0</v>
      </c>
      <c r="AP17" s="43" t="str">
        <f>IFERROR((($F17*AN17)/SingleEndAssumption),"")</f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46" t="str">
        <f>IFERROR((($F17*AQ17)/FourHeadAssumption),"")</f>
        <v/>
      </c>
      <c r="AT17" s="47" t="str">
        <f>IFERROR((($F17*AR17)/FourHeadAssumption),"")</f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2" t="str">
        <f>IFERROR((($F17*AU17)/SingleEndAssumption),"")</f>
        <v/>
      </c>
      <c r="AX17" s="43" t="str">
        <f>IFERROR((($F17*AV17)/SingleEndAssumption),"")</f>
        <v/>
      </c>
    </row>
    <row r="18" spans="1:50" x14ac:dyDescent="0.25">
      <c r="A18" s="91" t="s">
        <v>337</v>
      </c>
      <c r="B18" s="24" t="s">
        <v>434</v>
      </c>
      <c r="C18" s="20" t="str">
        <f>IFERROR(VLOOKUP(A18,'Parts List and Volumes'!C17:D209,2,FALSE),"")</f>
        <v>NJ000766AAF20</v>
      </c>
      <c r="D18" s="39">
        <f>IFERROR(IF(VLOOKUP($A18,'Parts List and Volumes'!$C17:$F272,3,FALSE)=0,"",VLOOKUP(A18,'Parts List and Volumes'!C17:F272,3,FALSE)),"")</f>
        <v>7.96</v>
      </c>
      <c r="E18" s="39" t="str">
        <f>IFERROR(IF(VLOOKUP($A18,'Parts List and Volumes'!$C17:$F272,4,FALSE)=0,"",VLOOKUP(B18,'Parts List and Volumes'!D17:G272,3,FALSE)),"")</f>
        <v/>
      </c>
      <c r="F18" s="92">
        <v>33.1</v>
      </c>
      <c r="G18" s="40">
        <f>IFERROR(VLOOKUP($A18,'Parts List and Volumes'!$C$2:$W209,5,FALSE),"")</f>
        <v>0</v>
      </c>
      <c r="H18" s="41">
        <f>IFERROR(VLOOKUP($A18,'Parts List and Volumes'!$C$2:$W209,6,FALSE),"")</f>
        <v>4995.4108502463532</v>
      </c>
      <c r="I18" s="42">
        <f>IFERROR((($F18*G18)/SingleEndAssumption),"")</f>
        <v>0</v>
      </c>
      <c r="J18" s="43">
        <f>IFERROR((($F18*H18)/SingleEndAssumption),"")</f>
        <v>1.1257359691118893E-2</v>
      </c>
      <c r="K18" s="58">
        <f>IFERROR(VLOOKUP($A18,'Parts List and Volumes'!$C$2:$W209,7,FALSE),"")</f>
        <v>0</v>
      </c>
      <c r="L18" s="45">
        <f>IFERROR(VLOOKUP($A18,'Parts List and Volumes'!$C$2:$W209,8,FALSE),"")</f>
        <v>17515.652000762144</v>
      </c>
      <c r="M18" s="46">
        <f>IFERROR((($F18*K18)/FourHeadAssumption),"")</f>
        <v>0</v>
      </c>
      <c r="N18" s="47">
        <f>IFERROR((($F18*L18)/FourHeadAssumption),"")</f>
        <v>4.2672678651094254E-2</v>
      </c>
      <c r="O18" s="41">
        <f>IFERROR(VLOOKUP($A18,'Parts List and Volumes'!$C$2:$W209,9,FALSE),"")</f>
        <v>0</v>
      </c>
      <c r="P18" s="41">
        <f>IFERROR(VLOOKUP($A18,'Parts List and Volumes'!$C$2:$W209,10,FALSE),"")</f>
        <v>19615.145347931539</v>
      </c>
      <c r="Q18" s="42">
        <f>IFERROR((($F18*O18)/SingleEndAssumption),"")</f>
        <v>0</v>
      </c>
      <c r="R18" s="43">
        <f>IFERROR((($F18*P18)/SingleEndAssumption),"")</f>
        <v>4.4203520630210651E-2</v>
      </c>
      <c r="S18" s="44">
        <f>IFERROR(VLOOKUP($A18,'Parts List and Volumes'!$C$2:$W209,11,FALSE),"")</f>
        <v>0</v>
      </c>
      <c r="T18" s="45">
        <f>IFERROR(VLOOKUP($A18,'Parts List and Volumes'!$C$2:$W209,12,FALSE),"")</f>
        <v>19571.992976294991</v>
      </c>
      <c r="U18" s="46">
        <f>IFERROR((($F18*S18)/FourHeadAssumption),"")</f>
        <v>0</v>
      </c>
      <c r="V18" s="47">
        <f>IFERROR((($F18*T18)/FourHeadAssumption),"")</f>
        <v>4.7682459482671212E-2</v>
      </c>
      <c r="W18" s="40">
        <f>IFERROR(VLOOKUP($A18,'Parts List and Volumes'!$C$2:$W209,13,FALSE),"")</f>
        <v>0</v>
      </c>
      <c r="X18" s="41">
        <f>IFERROR(VLOOKUP($A18,'Parts List and Volumes'!$C$2:$W209,14,FALSE),"")</f>
        <v>0</v>
      </c>
      <c r="Y18" s="42">
        <f>IFERROR((($F18*W18)/SingleEndAssumption),"")</f>
        <v>0</v>
      </c>
      <c r="Z18" s="43">
        <f>IFERROR((($F18*X18)/SingleEndAssumption),"")</f>
        <v>0</v>
      </c>
      <c r="AA18" s="49">
        <f>IFERROR(VLOOKUP($A18,'Parts List and Volumes'!$C$2:$W209,15,FALSE),"")</f>
        <v>0</v>
      </c>
      <c r="AB18" s="50">
        <f>IFERROR(VLOOKUP($A18,'Parts List and Volumes'!$C$2:$W209,16,FALSE),"")</f>
        <v>0</v>
      </c>
      <c r="AC18" s="46">
        <f>IFERROR((($F18*AA18)/FourHeadAssumption),"")</f>
        <v>0</v>
      </c>
      <c r="AD18" s="47">
        <f>IFERROR((($F18*AB18)/FourHeadAssumption),"")</f>
        <v>0</v>
      </c>
      <c r="AE18" s="40">
        <f>IFERROR(VLOOKUP($A18,'Parts List and Volumes'!$C$2:$W209,17,FALSE),"")</f>
        <v>0</v>
      </c>
      <c r="AF18" s="41">
        <f>IFERROR(VLOOKUP($A18,'Parts List and Volumes'!$C$2:$W209,18,FALSE),"")</f>
        <v>0</v>
      </c>
      <c r="AG18" s="42">
        <f>IFERROR((($F18*AE18)/SingleEndAssumption),"")</f>
        <v>0</v>
      </c>
      <c r="AH18" s="43">
        <f>IFERROR((($F18*AF18)/SingleEndAssumption),"")</f>
        <v>0</v>
      </c>
      <c r="AI18" s="49">
        <f>IFERROR(VLOOKUP($A18,'Parts List and Volumes'!$C$2:$W209,19,FALSE),"")</f>
        <v>0</v>
      </c>
      <c r="AJ18" s="50">
        <f>IFERROR(VLOOKUP($A18,'Parts List and Volumes'!$C$2:$W209,20,FALSE),"")</f>
        <v>0</v>
      </c>
      <c r="AK18" s="46">
        <f>IFERROR((($F18*AI18)/FourHeadAssumption),"")</f>
        <v>0</v>
      </c>
      <c r="AL18" s="47">
        <f>IFERROR((($F18*AJ18)/FourHeadAssumption),"")</f>
        <v>0</v>
      </c>
      <c r="AM18" s="40">
        <f>IFERROR(VLOOKUP($A18,'Parts List and Volumes'!$C$2:$W209,21,FALSE),"")</f>
        <v>0</v>
      </c>
      <c r="AN18" s="41" t="str">
        <f>IFERROR(VLOOKUP($A18,'Parts List and Volumes'!$C$2:$W209,22,FALSE),"")</f>
        <v/>
      </c>
      <c r="AO18" s="42">
        <f>IFERROR((($F18*AM18)/SingleEndAssumption),"")</f>
        <v>0</v>
      </c>
      <c r="AP18" s="43" t="str">
        <f>IFERROR((($F18*AN18)/SingleEndAssumption),"")</f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46" t="str">
        <f>IFERROR((($F18*AQ18)/FourHeadAssumption),"")</f>
        <v/>
      </c>
      <c r="AT18" s="47" t="str">
        <f>IFERROR((($F18*AR18)/FourHeadAssumption),"")</f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2" t="str">
        <f>IFERROR((($F18*AU18)/SingleEndAssumption),"")</f>
        <v/>
      </c>
      <c r="AX18" s="43" t="str">
        <f>IFERROR((($F18*AV18)/SingleEndAssumption),"")</f>
        <v/>
      </c>
    </row>
    <row r="19" spans="1:50" x14ac:dyDescent="0.25">
      <c r="A19" s="91" t="s">
        <v>339</v>
      </c>
      <c r="B19" s="24" t="s">
        <v>434</v>
      </c>
      <c r="C19" s="20" t="str">
        <f>IFERROR(VLOOKUP(A19,'Parts List and Volumes'!C18:D210,2,FALSE),"")</f>
        <v>NJ000768ABF20</v>
      </c>
      <c r="D19" s="39">
        <f>IFERROR(IF(VLOOKUP($A19,'Parts List and Volumes'!$C18:$F273,3,FALSE)=0,"",VLOOKUP(A19,'Parts List and Volumes'!C18:F273,3,FALSE)),"")</f>
        <v>4.76</v>
      </c>
      <c r="E19" s="39" t="str">
        <f>IFERROR(IF(VLOOKUP($A19,'Parts List and Volumes'!$C18:$F273,4,FALSE)=0,"",VLOOKUP(B19,'Parts List and Volumes'!D18:G273,3,FALSE)),"")</f>
        <v/>
      </c>
      <c r="F19" s="92">
        <v>53.1</v>
      </c>
      <c r="G19" s="40">
        <f>IFERROR(VLOOKUP($A19,'Parts List and Volumes'!$C$2:$W210,5,FALSE),"")</f>
        <v>0</v>
      </c>
      <c r="H19" s="41">
        <f>IFERROR(VLOOKUP($A19,'Parts List and Volumes'!$C$2:$W210,6,FALSE),"")</f>
        <v>4995.4108502463532</v>
      </c>
      <c r="I19" s="42">
        <f>IFERROR((($F19*G19)/SingleEndAssumption),"")</f>
        <v>0</v>
      </c>
      <c r="J19" s="43">
        <f>IFERROR((($F19*H19)/SingleEndAssumption),"")</f>
        <v>1.8059389715964148E-2</v>
      </c>
      <c r="K19" s="58">
        <f>IFERROR(VLOOKUP($A19,'Parts List and Volumes'!$C$2:$W210,7,FALSE),"")</f>
        <v>0</v>
      </c>
      <c r="L19" s="45">
        <f>IFERROR(VLOOKUP($A19,'Parts List and Volumes'!$C$2:$W210,8,FALSE),"")</f>
        <v>17515.652000762144</v>
      </c>
      <c r="M19" s="46">
        <f>IFERROR((($F19*K19)/FourHeadAssumption),"")</f>
        <v>0</v>
      </c>
      <c r="N19" s="47">
        <f>IFERROR((($F19*L19)/FourHeadAssumption),"")</f>
        <v>6.845677451278262E-2</v>
      </c>
      <c r="O19" s="41">
        <f>IFERROR(VLOOKUP($A19,'Parts List and Volumes'!$C$2:$W210,9,FALSE),"")</f>
        <v>0</v>
      </c>
      <c r="P19" s="41">
        <f>IFERROR(VLOOKUP($A19,'Parts List and Volumes'!$C$2:$W210,10,FALSE),"")</f>
        <v>19615.145347931539</v>
      </c>
      <c r="Q19" s="42">
        <f>IFERROR((($F19*O19)/SingleEndAssumption),"")</f>
        <v>0</v>
      </c>
      <c r="R19" s="43">
        <f>IFERROR((($F19*P19)/SingleEndAssumption),"")</f>
        <v>7.0912596539703485E-2</v>
      </c>
      <c r="S19" s="44">
        <f>IFERROR(VLOOKUP($A19,'Parts List and Volumes'!$C$2:$W210,11,FALSE),"")</f>
        <v>0</v>
      </c>
      <c r="T19" s="45">
        <f>IFERROR(VLOOKUP($A19,'Parts List and Volumes'!$C$2:$W210,12,FALSE),"")</f>
        <v>19571.992976294991</v>
      </c>
      <c r="U19" s="46">
        <f>IFERROR((($F19*S19)/FourHeadAssumption),"")</f>
        <v>0</v>
      </c>
      <c r="V19" s="47">
        <f>IFERROR((($F19*T19)/FourHeadAssumption),"")</f>
        <v>7.6493613248635697E-2</v>
      </c>
      <c r="W19" s="40">
        <f>IFERROR(VLOOKUP($A19,'Parts List and Volumes'!$C$2:$W210,13,FALSE),"")</f>
        <v>0</v>
      </c>
      <c r="X19" s="41">
        <f>IFERROR(VLOOKUP($A19,'Parts List and Volumes'!$C$2:$W210,14,FALSE),"")</f>
        <v>0</v>
      </c>
      <c r="Y19" s="42">
        <f>IFERROR((($F19*W19)/SingleEndAssumption),"")</f>
        <v>0</v>
      </c>
      <c r="Z19" s="43">
        <f>IFERROR((($F19*X19)/SingleEndAssumption),"")</f>
        <v>0</v>
      </c>
      <c r="AA19" s="49">
        <f>IFERROR(VLOOKUP($A19,'Parts List and Volumes'!$C$2:$W210,15,FALSE),"")</f>
        <v>0</v>
      </c>
      <c r="AB19" s="50">
        <f>IFERROR(VLOOKUP($A19,'Parts List and Volumes'!$C$2:$W210,16,FALSE),"")</f>
        <v>0</v>
      </c>
      <c r="AC19" s="46">
        <f>IFERROR((($F19*AA19)/FourHeadAssumption),"")</f>
        <v>0</v>
      </c>
      <c r="AD19" s="47">
        <f>IFERROR((($F19*AB19)/FourHeadAssumption),"")</f>
        <v>0</v>
      </c>
      <c r="AE19" s="40">
        <f>IFERROR(VLOOKUP($A19,'Parts List and Volumes'!$C$2:$W210,17,FALSE),"")</f>
        <v>0</v>
      </c>
      <c r="AF19" s="41">
        <f>IFERROR(VLOOKUP($A19,'Parts List and Volumes'!$C$2:$W210,18,FALSE),"")</f>
        <v>0</v>
      </c>
      <c r="AG19" s="42">
        <f>IFERROR((($F19*AE19)/SingleEndAssumption),"")</f>
        <v>0</v>
      </c>
      <c r="AH19" s="43">
        <f>IFERROR((($F19*AF19)/SingleEndAssumption),"")</f>
        <v>0</v>
      </c>
      <c r="AI19" s="49">
        <f>IFERROR(VLOOKUP($A19,'Parts List and Volumes'!$C$2:$W210,19,FALSE),"")</f>
        <v>0</v>
      </c>
      <c r="AJ19" s="50">
        <f>IFERROR(VLOOKUP($A19,'Parts List and Volumes'!$C$2:$W210,20,FALSE),"")</f>
        <v>0</v>
      </c>
      <c r="AK19" s="46">
        <f>IFERROR((($F19*AI19)/FourHeadAssumption),"")</f>
        <v>0</v>
      </c>
      <c r="AL19" s="47">
        <f>IFERROR((($F19*AJ19)/FourHeadAssumption),"")</f>
        <v>0</v>
      </c>
      <c r="AM19" s="40">
        <f>IFERROR(VLOOKUP($A19,'Parts List and Volumes'!$C$2:$W210,21,FALSE),"")</f>
        <v>0</v>
      </c>
      <c r="AN19" s="41" t="str">
        <f>IFERROR(VLOOKUP($A19,'Parts List and Volumes'!$C$2:$W210,22,FALSE),"")</f>
        <v/>
      </c>
      <c r="AO19" s="42">
        <f>IFERROR((($F19*AM19)/SingleEndAssumption),"")</f>
        <v>0</v>
      </c>
      <c r="AP19" s="43" t="str">
        <f>IFERROR((($F19*AN19)/SingleEndAssumption),"")</f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46" t="str">
        <f>IFERROR((($F19*AQ19)/FourHeadAssumption),"")</f>
        <v/>
      </c>
      <c r="AT19" s="47" t="str">
        <f>IFERROR((($F19*AR19)/FourHeadAssumption),"")</f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2" t="str">
        <f>IFERROR((($F19*AU19)/SingleEndAssumption),"")</f>
        <v/>
      </c>
      <c r="AX19" s="43" t="str">
        <f>IFERROR((($F19*AV19)/SingleEndAssumption),"")</f>
        <v/>
      </c>
    </row>
    <row r="20" spans="1:50" x14ac:dyDescent="0.25">
      <c r="A20" s="91" t="s">
        <v>338</v>
      </c>
      <c r="B20" s="24" t="s">
        <v>434</v>
      </c>
      <c r="C20" s="20" t="str">
        <f>IFERROR(VLOOKUP(A20,'Parts List and Volumes'!C19:D211,2,FALSE),"")</f>
        <v>NJ000770AAF20</v>
      </c>
      <c r="D20" s="39">
        <f>IFERROR(IF(VLOOKUP($A20,'Parts List and Volumes'!$C19:$F274,3,FALSE)=0,"",VLOOKUP(A20,'Parts List and Volumes'!C19:F274,3,FALSE)),"")</f>
        <v>4.76</v>
      </c>
      <c r="E20" s="39" t="str">
        <f>IFERROR(IF(VLOOKUP($A20,'Parts List and Volumes'!$C19:$F274,4,FALSE)=0,"",VLOOKUP(B20,'Parts List and Volumes'!D19:G274,3,FALSE)),"")</f>
        <v/>
      </c>
      <c r="F20" s="92">
        <v>59.3</v>
      </c>
      <c r="G20" s="40">
        <f>IFERROR(VLOOKUP($A20,'Parts List and Volumes'!$C$2:$W211,5,FALSE),"")</f>
        <v>0</v>
      </c>
      <c r="H20" s="41">
        <f>IFERROR(VLOOKUP($A20,'Parts List and Volumes'!$C$2:$W211,6,FALSE),"")</f>
        <v>4995.4108502463532</v>
      </c>
      <c r="I20" s="42">
        <f>IFERROR((($F20*G20)/SingleEndAssumption),"")</f>
        <v>0</v>
      </c>
      <c r="J20" s="43">
        <f>IFERROR((($F20*H20)/SingleEndAssumption),"")</f>
        <v>2.0168019023666172E-2</v>
      </c>
      <c r="K20" s="58">
        <f>IFERROR(VLOOKUP($A20,'Parts List and Volumes'!$C$2:$W211,7,FALSE),"")</f>
        <v>0</v>
      </c>
      <c r="L20" s="45">
        <f>IFERROR(VLOOKUP($A20,'Parts List and Volumes'!$C$2:$W211,8,FALSE),"")</f>
        <v>17515.652000762144</v>
      </c>
      <c r="M20" s="46">
        <f>IFERROR((($F20*K20)/FourHeadAssumption),"")</f>
        <v>0</v>
      </c>
      <c r="N20" s="47">
        <f>IFERROR((($F20*L20)/FourHeadAssumption),"")</f>
        <v>7.6449844229906014E-2</v>
      </c>
      <c r="O20" s="41">
        <f>IFERROR(VLOOKUP($A20,'Parts List and Volumes'!$C$2:$W211,9,FALSE),"")</f>
        <v>0</v>
      </c>
      <c r="P20" s="41">
        <f>IFERROR(VLOOKUP($A20,'Parts List and Volumes'!$C$2:$W211,10,FALSE),"")</f>
        <v>19615.145347931539</v>
      </c>
      <c r="Q20" s="42">
        <f>IFERROR((($F20*O20)/SingleEndAssumption),"")</f>
        <v>0</v>
      </c>
      <c r="R20" s="43">
        <f>IFERROR((($F20*P20)/SingleEndAssumption),"")</f>
        <v>7.9192410071646249E-2</v>
      </c>
      <c r="S20" s="44">
        <f>IFERROR(VLOOKUP($A20,'Parts List and Volumes'!$C$2:$W211,11,FALSE),"")</f>
        <v>0</v>
      </c>
      <c r="T20" s="45">
        <f>IFERROR(VLOOKUP($A20,'Parts List and Volumes'!$C$2:$W211,12,FALSE),"")</f>
        <v>19571.992976294991</v>
      </c>
      <c r="U20" s="46">
        <f>IFERROR((($F20*S20)/FourHeadAssumption),"")</f>
        <v>0</v>
      </c>
      <c r="V20" s="47">
        <f>IFERROR((($F20*T20)/FourHeadAssumption),"")</f>
        <v>8.5425070916084686E-2</v>
      </c>
      <c r="W20" s="40">
        <f>IFERROR(VLOOKUP($A20,'Parts List and Volumes'!$C$2:$W211,13,FALSE),"")</f>
        <v>0</v>
      </c>
      <c r="X20" s="41">
        <f>IFERROR(VLOOKUP($A20,'Parts List and Volumes'!$C$2:$W211,14,FALSE),"")</f>
        <v>0</v>
      </c>
      <c r="Y20" s="42">
        <f>IFERROR((($F20*W20)/SingleEndAssumption),"")</f>
        <v>0</v>
      </c>
      <c r="Z20" s="43">
        <f>IFERROR((($F20*X20)/SingleEndAssumption),"")</f>
        <v>0</v>
      </c>
      <c r="AA20" s="49">
        <f>IFERROR(VLOOKUP($A20,'Parts List and Volumes'!$C$2:$W211,15,FALSE),"")</f>
        <v>0</v>
      </c>
      <c r="AB20" s="50">
        <f>IFERROR(VLOOKUP($A20,'Parts List and Volumes'!$C$2:$W211,16,FALSE),"")</f>
        <v>0</v>
      </c>
      <c r="AC20" s="46">
        <f>IFERROR((($F20*AA20)/FourHeadAssumption),"")</f>
        <v>0</v>
      </c>
      <c r="AD20" s="47">
        <f>IFERROR((($F20*AB20)/FourHeadAssumption),"")</f>
        <v>0</v>
      </c>
      <c r="AE20" s="40">
        <f>IFERROR(VLOOKUP($A20,'Parts List and Volumes'!$C$2:$W211,17,FALSE),"")</f>
        <v>0</v>
      </c>
      <c r="AF20" s="41">
        <f>IFERROR(VLOOKUP($A20,'Parts List and Volumes'!$C$2:$W211,18,FALSE),"")</f>
        <v>0</v>
      </c>
      <c r="AG20" s="42">
        <f>IFERROR((($F20*AE20)/SingleEndAssumption),"")</f>
        <v>0</v>
      </c>
      <c r="AH20" s="43">
        <f>IFERROR((($F20*AF20)/SingleEndAssumption),"")</f>
        <v>0</v>
      </c>
      <c r="AI20" s="49">
        <f>IFERROR(VLOOKUP($A20,'Parts List and Volumes'!$C$2:$W211,19,FALSE),"")</f>
        <v>0</v>
      </c>
      <c r="AJ20" s="50">
        <f>IFERROR(VLOOKUP($A20,'Parts List and Volumes'!$C$2:$W211,20,FALSE),"")</f>
        <v>0</v>
      </c>
      <c r="AK20" s="46">
        <f>IFERROR((($F20*AI20)/FourHeadAssumption),"")</f>
        <v>0</v>
      </c>
      <c r="AL20" s="47">
        <f>IFERROR((($F20*AJ20)/FourHeadAssumption),"")</f>
        <v>0</v>
      </c>
      <c r="AM20" s="40">
        <f>IFERROR(VLOOKUP($A20,'Parts List and Volumes'!$C$2:$W211,21,FALSE),"")</f>
        <v>0</v>
      </c>
      <c r="AN20" s="41" t="str">
        <f>IFERROR(VLOOKUP($A20,'Parts List and Volumes'!$C$2:$W211,22,FALSE),"")</f>
        <v/>
      </c>
      <c r="AO20" s="42">
        <f>IFERROR((($F20*AM20)/SingleEndAssumption),"")</f>
        <v>0</v>
      </c>
      <c r="AP20" s="43" t="str">
        <f>IFERROR((($F20*AN20)/SingleEndAssumption),"")</f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46" t="str">
        <f>IFERROR((($F20*AQ20)/FourHeadAssumption),"")</f>
        <v/>
      </c>
      <c r="AT20" s="47" t="str">
        <f>IFERROR((($F20*AR20)/FourHeadAssumption),"")</f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2" t="str">
        <f>IFERROR((($F20*AU20)/SingleEndAssumption),"")</f>
        <v/>
      </c>
      <c r="AX20" s="43" t="str">
        <f>IFERROR((($F20*AV20)/SingleEndAssumption),"")</f>
        <v/>
      </c>
    </row>
    <row r="21" spans="1:50" x14ac:dyDescent="0.25">
      <c r="A21" s="91" t="s">
        <v>348</v>
      </c>
      <c r="B21" s="24" t="s">
        <v>435</v>
      </c>
      <c r="C21" s="20" t="str">
        <f>IFERROR(VLOOKUP(A21,'Parts List and Volumes'!C20:D212,2,FALSE),"")</f>
        <v>NJ000771AAF20</v>
      </c>
      <c r="D21" s="39">
        <f>IFERROR(IF(VLOOKUP($A21,'Parts List and Volumes'!$C20:$F275,3,FALSE)=0,"",VLOOKUP(A21,'Parts List and Volumes'!C20:F275,3,FALSE)),"")</f>
        <v>7.96</v>
      </c>
      <c r="E21" s="39" t="str">
        <f>IFERROR(IF(VLOOKUP($A21,'Parts List and Volumes'!$C20:$F275,4,FALSE)=0,"",VLOOKUP(B21,'Parts List and Volumes'!D20:G275,3,FALSE)),"")</f>
        <v/>
      </c>
      <c r="F21" s="92">
        <v>33.1</v>
      </c>
      <c r="G21" s="40">
        <f>IFERROR(VLOOKUP($A21,'Parts List and Volumes'!$C$2:$W212,5,FALSE),"")</f>
        <v>14800</v>
      </c>
      <c r="H21" s="41">
        <f>IFERROR(VLOOKUP($A21,'Parts List and Volumes'!$C$2:$W212,6,FALSE),"")</f>
        <v>10439.96764258865</v>
      </c>
      <c r="I21" s="42">
        <f>IFERROR((($F21*G21)/SingleEndAssumption),"")</f>
        <v>3.335239651416122E-2</v>
      </c>
      <c r="J21" s="43">
        <f>IFERROR((($F21*H21)/SingleEndAssumption),"")</f>
        <v>2.3526887865583084E-2</v>
      </c>
      <c r="K21" s="58">
        <f>IFERROR(VLOOKUP($A21,'Parts List and Volumes'!$C$2:$W212,7,FALSE),"")</f>
        <v>0</v>
      </c>
      <c r="L21" s="45">
        <f>IFERROR(VLOOKUP($A21,'Parts List and Volumes'!$C$2:$W212,8,FALSE),"")</f>
        <v>20447.63370430352</v>
      </c>
      <c r="M21" s="46">
        <f>IFERROR((($F21*K21)/FourHeadAssumption),"")</f>
        <v>0</v>
      </c>
      <c r="N21" s="47">
        <f>IFERROR((($F21*L21)/FourHeadAssumption),"")</f>
        <v>4.9815747778105053E-2</v>
      </c>
      <c r="O21" s="41">
        <f>IFERROR(VLOOKUP($A21,'Parts List and Volumes'!$C$2:$W212,9,FALSE),"")</f>
        <v>0</v>
      </c>
      <c r="P21" s="41">
        <f>IFERROR(VLOOKUP($A21,'Parts List and Volumes'!$C$2:$W212,10,FALSE),"")</f>
        <v>19929.446159936266</v>
      </c>
      <c r="Q21" s="42">
        <f>IFERROR((($F21*O21)/SingleEndAssumption),"")</f>
        <v>0</v>
      </c>
      <c r="R21" s="43">
        <f>IFERROR((($F21*P21)/SingleEndAssumption),"")</f>
        <v>4.4911810177960948E-2</v>
      </c>
      <c r="S21" s="44">
        <f>IFERROR(VLOOKUP($A21,'Parts List and Volumes'!$C$2:$W212,11,FALSE),"")</f>
        <v>0</v>
      </c>
      <c r="T21" s="45">
        <f>IFERROR(VLOOKUP($A21,'Parts List and Volumes'!$C$2:$W212,12,FALSE),"")</f>
        <v>15428.007023705004</v>
      </c>
      <c r="U21" s="46">
        <f>IFERROR((($F21*S21)/FourHeadAssumption),"")</f>
        <v>0</v>
      </c>
      <c r="V21" s="47">
        <f>IFERROR((($F21*T21)/FourHeadAssumption),"")</f>
        <v>3.7586633139362571E-2</v>
      </c>
      <c r="W21" s="40">
        <f>IFERROR(VLOOKUP($A21,'Parts List and Volumes'!$C$2:$W212,13,FALSE),"")</f>
        <v>0</v>
      </c>
      <c r="X21" s="41">
        <f>IFERROR(VLOOKUP($A21,'Parts List and Volumes'!$C$2:$W212,14,FALSE),"")</f>
        <v>0</v>
      </c>
      <c r="Y21" s="42">
        <f>IFERROR((($F21*W21)/SingleEndAssumption),"")</f>
        <v>0</v>
      </c>
      <c r="Z21" s="43">
        <f>IFERROR((($F21*X21)/SingleEndAssumption),"")</f>
        <v>0</v>
      </c>
      <c r="AA21" s="49">
        <f>IFERROR(VLOOKUP($A21,'Parts List and Volumes'!$C$2:$W212,15,FALSE),"")</f>
        <v>0</v>
      </c>
      <c r="AB21" s="50">
        <f>IFERROR(VLOOKUP($A21,'Parts List and Volumes'!$C$2:$W212,16,FALSE),"")</f>
        <v>0</v>
      </c>
      <c r="AC21" s="46">
        <f>IFERROR((($F21*AA21)/FourHeadAssumption),"")</f>
        <v>0</v>
      </c>
      <c r="AD21" s="47">
        <f>IFERROR((($F21*AB21)/FourHeadAssumption),"")</f>
        <v>0</v>
      </c>
      <c r="AE21" s="40">
        <f>IFERROR(VLOOKUP($A21,'Parts List and Volumes'!$C$2:$W212,17,FALSE),"")</f>
        <v>0</v>
      </c>
      <c r="AF21" s="41">
        <f>IFERROR(VLOOKUP($A21,'Parts List and Volumes'!$C$2:$W212,18,FALSE),"")</f>
        <v>0</v>
      </c>
      <c r="AG21" s="42">
        <f>IFERROR((($F21*AE21)/SingleEndAssumption),"")</f>
        <v>0</v>
      </c>
      <c r="AH21" s="43">
        <f>IFERROR((($F21*AF21)/SingleEndAssumption),"")</f>
        <v>0</v>
      </c>
      <c r="AI21" s="49">
        <f>IFERROR(VLOOKUP($A21,'Parts List and Volumes'!$C$2:$W212,19,FALSE),"")</f>
        <v>0</v>
      </c>
      <c r="AJ21" s="50">
        <f>IFERROR(VLOOKUP($A21,'Parts List and Volumes'!$C$2:$W212,20,FALSE),"")</f>
        <v>0</v>
      </c>
      <c r="AK21" s="46">
        <f>IFERROR((($F21*AI21)/FourHeadAssumption),"")</f>
        <v>0</v>
      </c>
      <c r="AL21" s="47">
        <f>IFERROR((($F21*AJ21)/FourHeadAssumption),"")</f>
        <v>0</v>
      </c>
      <c r="AM21" s="40">
        <f>IFERROR(VLOOKUP($A21,'Parts List and Volumes'!$C$2:$W212,21,FALSE),"")</f>
        <v>0</v>
      </c>
      <c r="AN21" s="41" t="str">
        <f>IFERROR(VLOOKUP($A21,'Parts List and Volumes'!$C$2:$W212,22,FALSE),"")</f>
        <v/>
      </c>
      <c r="AO21" s="42">
        <f>IFERROR((($F21*AM21)/SingleEndAssumption),"")</f>
        <v>0</v>
      </c>
      <c r="AP21" s="43" t="str">
        <f>IFERROR((($F21*AN21)/SingleEndAssumption),"")</f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46" t="str">
        <f>IFERROR((($F21*AQ21)/FourHeadAssumption),"")</f>
        <v/>
      </c>
      <c r="AT21" s="47" t="str">
        <f>IFERROR((($F21*AR21)/FourHeadAssumption),"")</f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2" t="str">
        <f>IFERROR((($F21*AU21)/SingleEndAssumption),"")</f>
        <v/>
      </c>
      <c r="AX21" s="43" t="str">
        <f>IFERROR((($F21*AV21)/SingleEndAssumption),"")</f>
        <v/>
      </c>
    </row>
    <row r="22" spans="1:50" x14ac:dyDescent="0.25">
      <c r="A22" s="91" t="s">
        <v>348</v>
      </c>
      <c r="B22" s="24" t="s">
        <v>435</v>
      </c>
      <c r="C22" s="20" t="str">
        <f>IFERROR(VLOOKUP(A22,'Parts List and Volumes'!C21:D213,2,FALSE),"")</f>
        <v>NJ000771AAF20</v>
      </c>
      <c r="D22" s="39">
        <f>IFERROR(IF(VLOOKUP($A22,'Parts List and Volumes'!$C21:$F276,3,FALSE)=0,"",VLOOKUP(A22,'Parts List and Volumes'!C21:F276,3,FALSE)),"")</f>
        <v>7.96</v>
      </c>
      <c r="E22" s="39" t="str">
        <f>IFERROR(IF(VLOOKUP($A22,'Parts List and Volumes'!$C21:$F276,4,FALSE)=0,"",VLOOKUP(B22,'Parts List and Volumes'!D21:G276,3,FALSE)),"")</f>
        <v/>
      </c>
      <c r="F22" s="92">
        <v>33.1</v>
      </c>
      <c r="G22" s="40">
        <f>IFERROR(VLOOKUP($A22,'Parts List and Volumes'!$C$2:$W213,5,FALSE),"")</f>
        <v>14800</v>
      </c>
      <c r="H22" s="41">
        <f>IFERROR(VLOOKUP($A22,'Parts List and Volumes'!$C$2:$W213,6,FALSE),"")</f>
        <v>10439.96764258865</v>
      </c>
      <c r="I22" s="42">
        <f>IFERROR((($F22*G22)/SingleEndAssumption),"")</f>
        <v>3.335239651416122E-2</v>
      </c>
      <c r="J22" s="43">
        <f>IFERROR((($F22*H22)/SingleEndAssumption),"")</f>
        <v>2.3526887865583084E-2</v>
      </c>
      <c r="K22" s="58">
        <f>IFERROR(VLOOKUP($A22,'Parts List and Volumes'!$C$2:$W213,7,FALSE),"")</f>
        <v>0</v>
      </c>
      <c r="L22" s="45">
        <f>IFERROR(VLOOKUP($A22,'Parts List and Volumes'!$C$2:$W213,8,FALSE),"")</f>
        <v>20447.63370430352</v>
      </c>
      <c r="M22" s="46">
        <f>IFERROR((($F22*K22)/FourHeadAssumption),"")</f>
        <v>0</v>
      </c>
      <c r="N22" s="47">
        <f>IFERROR((($F22*L22)/FourHeadAssumption),"")</f>
        <v>4.9815747778105053E-2</v>
      </c>
      <c r="O22" s="41">
        <f>IFERROR(VLOOKUP($A22,'Parts List and Volumes'!$C$2:$W213,9,FALSE),"")</f>
        <v>0</v>
      </c>
      <c r="P22" s="41">
        <f>IFERROR(VLOOKUP($A22,'Parts List and Volumes'!$C$2:$W213,10,FALSE),"")</f>
        <v>19929.446159936266</v>
      </c>
      <c r="Q22" s="42">
        <f>IFERROR((($F22*O22)/SingleEndAssumption),"")</f>
        <v>0</v>
      </c>
      <c r="R22" s="43">
        <f>IFERROR((($F22*P22)/SingleEndAssumption),"")</f>
        <v>4.4911810177960948E-2</v>
      </c>
      <c r="S22" s="44">
        <f>IFERROR(VLOOKUP($A22,'Parts List and Volumes'!$C$2:$W213,11,FALSE),"")</f>
        <v>0</v>
      </c>
      <c r="T22" s="45">
        <f>IFERROR(VLOOKUP($A22,'Parts List and Volumes'!$C$2:$W213,12,FALSE),"")</f>
        <v>15428.007023705004</v>
      </c>
      <c r="U22" s="46">
        <f>IFERROR((($F22*S22)/FourHeadAssumption),"")</f>
        <v>0</v>
      </c>
      <c r="V22" s="47">
        <f>IFERROR((($F22*T22)/FourHeadAssumption),"")</f>
        <v>3.7586633139362571E-2</v>
      </c>
      <c r="W22" s="40">
        <f>IFERROR(VLOOKUP($A22,'Parts List and Volumes'!$C$2:$W213,13,FALSE),"")</f>
        <v>0</v>
      </c>
      <c r="X22" s="41">
        <f>IFERROR(VLOOKUP($A22,'Parts List and Volumes'!$C$2:$W213,14,FALSE),"")</f>
        <v>0</v>
      </c>
      <c r="Y22" s="42">
        <f>IFERROR((($F22*W22)/SingleEndAssumption),"")</f>
        <v>0</v>
      </c>
      <c r="Z22" s="43">
        <f>IFERROR((($F22*X22)/SingleEndAssumption),"")</f>
        <v>0</v>
      </c>
      <c r="AA22" s="49">
        <f>IFERROR(VLOOKUP($A22,'Parts List and Volumes'!$C$2:$W213,15,FALSE),"")</f>
        <v>0</v>
      </c>
      <c r="AB22" s="50">
        <f>IFERROR(VLOOKUP($A22,'Parts List and Volumes'!$C$2:$W213,16,FALSE),"")</f>
        <v>0</v>
      </c>
      <c r="AC22" s="46">
        <f>IFERROR((($F22*AA22)/FourHeadAssumption),"")</f>
        <v>0</v>
      </c>
      <c r="AD22" s="47">
        <f>IFERROR((($F22*AB22)/FourHeadAssumption),"")</f>
        <v>0</v>
      </c>
      <c r="AE22" s="40">
        <f>IFERROR(VLOOKUP($A22,'Parts List and Volumes'!$C$2:$W213,17,FALSE),"")</f>
        <v>0</v>
      </c>
      <c r="AF22" s="41">
        <f>IFERROR(VLOOKUP($A22,'Parts List and Volumes'!$C$2:$W213,18,FALSE),"")</f>
        <v>0</v>
      </c>
      <c r="AG22" s="42">
        <f>IFERROR((($F22*AE22)/SingleEndAssumption),"")</f>
        <v>0</v>
      </c>
      <c r="AH22" s="43">
        <f>IFERROR((($F22*AF22)/SingleEndAssumption),"")</f>
        <v>0</v>
      </c>
      <c r="AI22" s="49">
        <f>IFERROR(VLOOKUP($A22,'Parts List and Volumes'!$C$2:$W213,19,FALSE),"")</f>
        <v>0</v>
      </c>
      <c r="AJ22" s="50">
        <f>IFERROR(VLOOKUP($A22,'Parts List and Volumes'!$C$2:$W213,20,FALSE),"")</f>
        <v>0</v>
      </c>
      <c r="AK22" s="46">
        <f>IFERROR((($F22*AI22)/FourHeadAssumption),"")</f>
        <v>0</v>
      </c>
      <c r="AL22" s="47">
        <f>IFERROR((($F22*AJ22)/FourHeadAssumption),"")</f>
        <v>0</v>
      </c>
      <c r="AM22" s="40">
        <f>IFERROR(VLOOKUP($A22,'Parts List and Volumes'!$C$2:$W213,21,FALSE),"")</f>
        <v>0</v>
      </c>
      <c r="AN22" s="41" t="str">
        <f>IFERROR(VLOOKUP($A22,'Parts List and Volumes'!$C$2:$W213,22,FALSE),"")</f>
        <v/>
      </c>
      <c r="AO22" s="42">
        <f>IFERROR((($F22*AM22)/SingleEndAssumption),"")</f>
        <v>0</v>
      </c>
      <c r="AP22" s="43" t="str">
        <f>IFERROR((($F22*AN22)/SingleEndAssumption),"")</f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46" t="str">
        <f>IFERROR((($F22*AQ22)/FourHeadAssumption),"")</f>
        <v/>
      </c>
      <c r="AT22" s="47" t="str">
        <f>IFERROR((($F22*AR22)/FourHeadAssumption),"")</f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2" t="str">
        <f>IFERROR((($F22*AU22)/SingleEndAssumption),"")</f>
        <v/>
      </c>
      <c r="AX22" s="43" t="str">
        <f>IFERROR((($F22*AV22)/SingleEndAssumption),"")</f>
        <v/>
      </c>
    </row>
    <row r="23" spans="1:50" x14ac:dyDescent="0.25">
      <c r="A23" s="91" t="s">
        <v>335</v>
      </c>
      <c r="B23" s="24" t="s">
        <v>435</v>
      </c>
      <c r="C23" s="20" t="str">
        <f>IFERROR(VLOOKUP(A23,'Parts List and Volumes'!C22:D214,2,FALSE),"")</f>
        <v>NJ000776AAF20</v>
      </c>
      <c r="D23" s="39">
        <f>IFERROR(IF(VLOOKUP($A23,'Parts List and Volumes'!$C22:$F277,3,FALSE)=0,"",VLOOKUP(A23,'Parts List and Volumes'!C22:F277,3,FALSE)),"")</f>
        <v>7.96</v>
      </c>
      <c r="E23" s="39" t="str">
        <f>IFERROR(IF(VLOOKUP($A23,'Parts List and Volumes'!$C22:$F277,4,FALSE)=0,"",VLOOKUP(B23,'Parts List and Volumes'!D22:G277,3,FALSE)),"")</f>
        <v/>
      </c>
      <c r="F23" s="92">
        <v>15</v>
      </c>
      <c r="G23" s="40">
        <f>IFERROR(VLOOKUP($A23,'Parts List and Volumes'!$C$2:$W214,5,FALSE),"")</f>
        <v>200</v>
      </c>
      <c r="H23" s="41">
        <f>IFERROR(VLOOKUP($A23,'Parts List and Volumes'!$C$2:$W214,6,FALSE),"")</f>
        <v>10439.96764258865</v>
      </c>
      <c r="I23" s="42">
        <f>IFERROR((($F23*G23)/SingleEndAssumption),"")</f>
        <v>2.042483660130719E-4</v>
      </c>
      <c r="J23" s="43">
        <f>IFERROR((($F23*H23)/SingleEndAssumption),"")</f>
        <v>1.0661731661140369E-2</v>
      </c>
      <c r="K23" s="58">
        <f>IFERROR(VLOOKUP($A23,'Parts List and Volumes'!$C$2:$W214,7,FALSE),"")</f>
        <v>0</v>
      </c>
      <c r="L23" s="45">
        <f>IFERROR(VLOOKUP($A23,'Parts List and Volumes'!$C$2:$W214,8,FALSE),"")</f>
        <v>20447.63370430352</v>
      </c>
      <c r="M23" s="46">
        <f>IFERROR((($F23*K23)/FourHeadAssumption),"")</f>
        <v>0</v>
      </c>
      <c r="N23" s="47">
        <f>IFERROR((($F23*L23)/FourHeadAssumption),"")</f>
        <v>2.2575112286150327E-2</v>
      </c>
      <c r="O23" s="41">
        <f>IFERROR(VLOOKUP($A23,'Parts List and Volumes'!$C$2:$W214,9,FALSE),"")</f>
        <v>0</v>
      </c>
      <c r="P23" s="41">
        <f>IFERROR(VLOOKUP($A23,'Parts List and Volumes'!$C$2:$W214,10,FALSE),"")</f>
        <v>19929.446159936266</v>
      </c>
      <c r="Q23" s="42">
        <f>IFERROR((($F23*O23)/SingleEndAssumption),"")</f>
        <v>0</v>
      </c>
      <c r="R23" s="43">
        <f>IFERROR((($F23*P23)/SingleEndAssumption),"")</f>
        <v>2.0352784068562363E-2</v>
      </c>
      <c r="S23" s="44">
        <f>IFERROR(VLOOKUP($A23,'Parts List and Volumes'!$C$2:$W214,11,FALSE),"")</f>
        <v>0</v>
      </c>
      <c r="T23" s="45">
        <f>IFERROR(VLOOKUP($A23,'Parts List and Volumes'!$C$2:$W214,12,FALSE),"")</f>
        <v>15428.007023705004</v>
      </c>
      <c r="U23" s="46">
        <f>IFERROR((($F23*S23)/FourHeadAssumption),"")</f>
        <v>0</v>
      </c>
      <c r="V23" s="47">
        <f>IFERROR((($F23*T23)/FourHeadAssumption),"")</f>
        <v>1.7033217434756453E-2</v>
      </c>
      <c r="W23" s="40">
        <f>IFERROR(VLOOKUP($A23,'Parts List and Volumes'!$C$2:$W214,13,FALSE),"")</f>
        <v>0</v>
      </c>
      <c r="X23" s="41">
        <f>IFERROR(VLOOKUP($A23,'Parts List and Volumes'!$C$2:$W214,14,FALSE),"")</f>
        <v>0</v>
      </c>
      <c r="Y23" s="42">
        <f>IFERROR((($F23*W23)/SingleEndAssumption),"")</f>
        <v>0</v>
      </c>
      <c r="Z23" s="43">
        <f>IFERROR((($F23*X23)/SingleEndAssumption),"")</f>
        <v>0</v>
      </c>
      <c r="AA23" s="49">
        <f>IFERROR(VLOOKUP($A23,'Parts List and Volumes'!$C$2:$W214,15,FALSE),"")</f>
        <v>0</v>
      </c>
      <c r="AB23" s="50">
        <f>IFERROR(VLOOKUP($A23,'Parts List and Volumes'!$C$2:$W214,16,FALSE),"")</f>
        <v>0</v>
      </c>
      <c r="AC23" s="46">
        <f>IFERROR((($F23*AA23)/FourHeadAssumption),"")</f>
        <v>0</v>
      </c>
      <c r="AD23" s="47">
        <f>IFERROR((($F23*AB23)/FourHeadAssumption),"")</f>
        <v>0</v>
      </c>
      <c r="AE23" s="40">
        <f>IFERROR(VLOOKUP($A23,'Parts List and Volumes'!$C$2:$W214,17,FALSE),"")</f>
        <v>0</v>
      </c>
      <c r="AF23" s="41">
        <f>IFERROR(VLOOKUP($A23,'Parts List and Volumes'!$C$2:$W214,18,FALSE),"")</f>
        <v>0</v>
      </c>
      <c r="AG23" s="42">
        <f>IFERROR((($F23*AE23)/SingleEndAssumption),"")</f>
        <v>0</v>
      </c>
      <c r="AH23" s="43">
        <f>IFERROR((($F23*AF23)/SingleEndAssumption),"")</f>
        <v>0</v>
      </c>
      <c r="AI23" s="49">
        <f>IFERROR(VLOOKUP($A23,'Parts List and Volumes'!$C$2:$W214,19,FALSE),"")</f>
        <v>0</v>
      </c>
      <c r="AJ23" s="50">
        <f>IFERROR(VLOOKUP($A23,'Parts List and Volumes'!$C$2:$W214,20,FALSE),"")</f>
        <v>0</v>
      </c>
      <c r="AK23" s="46">
        <f>IFERROR((($F23*AI23)/FourHeadAssumption),"")</f>
        <v>0</v>
      </c>
      <c r="AL23" s="47">
        <f>IFERROR((($F23*AJ23)/FourHeadAssumption),"")</f>
        <v>0</v>
      </c>
      <c r="AM23" s="40">
        <f>IFERROR(VLOOKUP($A23,'Parts List and Volumes'!$C$2:$W214,21,FALSE),"")</f>
        <v>0</v>
      </c>
      <c r="AN23" s="41" t="str">
        <f>IFERROR(VLOOKUP($A23,'Parts List and Volumes'!$C$2:$W214,22,FALSE),"")</f>
        <v/>
      </c>
      <c r="AO23" s="42">
        <f>IFERROR((($F23*AM23)/SingleEndAssumption),"")</f>
        <v>0</v>
      </c>
      <c r="AP23" s="43" t="str">
        <f>IFERROR((($F23*AN23)/SingleEndAssumption),"")</f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46" t="str">
        <f>IFERROR((($F23*AQ23)/FourHeadAssumption),"")</f>
        <v/>
      </c>
      <c r="AT23" s="47" t="str">
        <f>IFERROR((($F23*AR23)/FourHeadAssumption),"")</f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2" t="str">
        <f>IFERROR((($F23*AU23)/SingleEndAssumption),"")</f>
        <v/>
      </c>
      <c r="AX23" s="43" t="str">
        <f>IFERROR((($F23*AV23)/SingleEndAssumption),"")</f>
        <v/>
      </c>
    </row>
    <row r="24" spans="1:50" x14ac:dyDescent="0.25">
      <c r="A24" s="91" t="s">
        <v>336</v>
      </c>
      <c r="B24" s="24" t="s">
        <v>435</v>
      </c>
      <c r="C24" s="20" t="str">
        <f>IFERROR(VLOOKUP(A24,'Parts List and Volumes'!C23:D215,2,FALSE),"")</f>
        <v>NJ000777AAF20</v>
      </c>
      <c r="D24" s="39">
        <f>IFERROR(IF(VLOOKUP($A24,'Parts List and Volumes'!$C23:$F278,3,FALSE)=0,"",VLOOKUP(A24,'Parts List and Volumes'!C23:F278,3,FALSE)),"")</f>
        <v>7.96</v>
      </c>
      <c r="E24" s="39" t="str">
        <f>IFERROR(IF(VLOOKUP($A24,'Parts List and Volumes'!$C23:$F278,4,FALSE)=0,"",VLOOKUP(B24,'Parts List and Volumes'!D23:G278,3,FALSE)),"")</f>
        <v/>
      </c>
      <c r="F24" s="92">
        <v>15</v>
      </c>
      <c r="G24" s="40">
        <f>IFERROR(VLOOKUP($A24,'Parts List and Volumes'!$C$2:$W215,5,FALSE),"")</f>
        <v>200</v>
      </c>
      <c r="H24" s="41">
        <f>IFERROR(VLOOKUP($A24,'Parts List and Volumes'!$C$2:$W215,6,FALSE),"")</f>
        <v>10439.96764258865</v>
      </c>
      <c r="I24" s="42">
        <f>IFERROR((($F24*G24)/SingleEndAssumption),"")</f>
        <v>2.042483660130719E-4</v>
      </c>
      <c r="J24" s="43">
        <f>IFERROR((($F24*H24)/SingleEndAssumption),"")</f>
        <v>1.0661731661140369E-2</v>
      </c>
      <c r="K24" s="58">
        <f>IFERROR(VLOOKUP($A24,'Parts List and Volumes'!$C$2:$W215,7,FALSE),"")</f>
        <v>0</v>
      </c>
      <c r="L24" s="45">
        <f>IFERROR(VLOOKUP($A24,'Parts List and Volumes'!$C$2:$W215,8,FALSE),"")</f>
        <v>20447.63370430352</v>
      </c>
      <c r="M24" s="46">
        <f>IFERROR((($F24*K24)/FourHeadAssumption),"")</f>
        <v>0</v>
      </c>
      <c r="N24" s="47">
        <f>IFERROR((($F24*L24)/FourHeadAssumption),"")</f>
        <v>2.2575112286150327E-2</v>
      </c>
      <c r="O24" s="41">
        <f>IFERROR(VLOOKUP($A24,'Parts List and Volumes'!$C$2:$W215,9,FALSE),"")</f>
        <v>0</v>
      </c>
      <c r="P24" s="41">
        <f>IFERROR(VLOOKUP($A24,'Parts List and Volumes'!$C$2:$W215,10,FALSE),"")</f>
        <v>19929.446159936266</v>
      </c>
      <c r="Q24" s="42">
        <f>IFERROR((($F24*O24)/SingleEndAssumption),"")</f>
        <v>0</v>
      </c>
      <c r="R24" s="43">
        <f>IFERROR((($F24*P24)/SingleEndAssumption),"")</f>
        <v>2.0352784068562363E-2</v>
      </c>
      <c r="S24" s="44">
        <f>IFERROR(VLOOKUP($A24,'Parts List and Volumes'!$C$2:$W215,11,FALSE),"")</f>
        <v>0</v>
      </c>
      <c r="T24" s="45">
        <f>IFERROR(VLOOKUP($A24,'Parts List and Volumes'!$C$2:$W215,12,FALSE),"")</f>
        <v>15428.007023705004</v>
      </c>
      <c r="U24" s="46">
        <f>IFERROR((($F24*S24)/FourHeadAssumption),"")</f>
        <v>0</v>
      </c>
      <c r="V24" s="47">
        <f>IFERROR((($F24*T24)/FourHeadAssumption),"")</f>
        <v>1.7033217434756453E-2</v>
      </c>
      <c r="W24" s="40">
        <f>IFERROR(VLOOKUP($A24,'Parts List and Volumes'!$C$2:$W215,13,FALSE),"")</f>
        <v>0</v>
      </c>
      <c r="X24" s="41">
        <f>IFERROR(VLOOKUP($A24,'Parts List and Volumes'!$C$2:$W215,14,FALSE),"")</f>
        <v>0</v>
      </c>
      <c r="Y24" s="42">
        <f>IFERROR((($F24*W24)/SingleEndAssumption),"")</f>
        <v>0</v>
      </c>
      <c r="Z24" s="43">
        <f>IFERROR((($F24*X24)/SingleEndAssumption),"")</f>
        <v>0</v>
      </c>
      <c r="AA24" s="49">
        <f>IFERROR(VLOOKUP($A24,'Parts List and Volumes'!$C$2:$W215,15,FALSE),"")</f>
        <v>0</v>
      </c>
      <c r="AB24" s="50">
        <f>IFERROR(VLOOKUP($A24,'Parts List and Volumes'!$C$2:$W215,16,FALSE),"")</f>
        <v>0</v>
      </c>
      <c r="AC24" s="46">
        <f>IFERROR((($F24*AA24)/FourHeadAssumption),"")</f>
        <v>0</v>
      </c>
      <c r="AD24" s="47">
        <f>IFERROR((($F24*AB24)/FourHeadAssumption),"")</f>
        <v>0</v>
      </c>
      <c r="AE24" s="40">
        <f>IFERROR(VLOOKUP($A24,'Parts List and Volumes'!$C$2:$W215,17,FALSE),"")</f>
        <v>0</v>
      </c>
      <c r="AF24" s="41">
        <f>IFERROR(VLOOKUP($A24,'Parts List and Volumes'!$C$2:$W215,18,FALSE),"")</f>
        <v>0</v>
      </c>
      <c r="AG24" s="42">
        <f>IFERROR((($F24*AE24)/SingleEndAssumption),"")</f>
        <v>0</v>
      </c>
      <c r="AH24" s="43">
        <f>IFERROR((($F24*AF24)/SingleEndAssumption),"")</f>
        <v>0</v>
      </c>
      <c r="AI24" s="49">
        <f>IFERROR(VLOOKUP($A24,'Parts List and Volumes'!$C$2:$W215,19,FALSE),"")</f>
        <v>0</v>
      </c>
      <c r="AJ24" s="50">
        <f>IFERROR(VLOOKUP($A24,'Parts List and Volumes'!$C$2:$W215,20,FALSE),"")</f>
        <v>0</v>
      </c>
      <c r="AK24" s="46">
        <f>IFERROR((($F24*AI24)/FourHeadAssumption),"")</f>
        <v>0</v>
      </c>
      <c r="AL24" s="47">
        <f>IFERROR((($F24*AJ24)/FourHeadAssumption),"")</f>
        <v>0</v>
      </c>
      <c r="AM24" s="40">
        <f>IFERROR(VLOOKUP($A24,'Parts List and Volumes'!$C$2:$W215,21,FALSE),"")</f>
        <v>0</v>
      </c>
      <c r="AN24" s="41" t="str">
        <f>IFERROR(VLOOKUP($A24,'Parts List and Volumes'!$C$2:$W215,22,FALSE),"")</f>
        <v/>
      </c>
      <c r="AO24" s="42">
        <f>IFERROR((($F24*AM24)/SingleEndAssumption),"")</f>
        <v>0</v>
      </c>
      <c r="AP24" s="43" t="str">
        <f>IFERROR((($F24*AN24)/SingleEndAssumption),"")</f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46" t="str">
        <f>IFERROR((($F24*AQ24)/FourHeadAssumption),"")</f>
        <v/>
      </c>
      <c r="AT24" s="47" t="str">
        <f>IFERROR((($F24*AR24)/FourHeadAssumption),"")</f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2" t="str">
        <f>IFERROR((($F24*AU24)/SingleEndAssumption),"")</f>
        <v/>
      </c>
      <c r="AX24" s="43" t="str">
        <f>IFERROR((($F24*AV24)/SingleEndAssumption),"")</f>
        <v/>
      </c>
    </row>
    <row r="25" spans="1:50" x14ac:dyDescent="0.25">
      <c r="A25" s="91" t="s">
        <v>161</v>
      </c>
      <c r="B25" s="24" t="s">
        <v>378</v>
      </c>
      <c r="C25" s="20" t="str">
        <f>IFERROR(VLOOKUP(A25,'Parts List and Volumes'!C24:D216,2,FALSE),"")</f>
        <v>NBAA3546AAF20</v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92">
        <v>8</v>
      </c>
      <c r="G25" s="40">
        <f>IFERROR(VLOOKUP($A25,'Parts List and Volumes'!$C$2:$W216,5,FALSE),"")</f>
        <v>16872</v>
      </c>
      <c r="H25" s="41">
        <f>IFERROR(VLOOKUP($A25,'Parts List and Volumes'!$C$2:$W216,6,FALSE),"")</f>
        <v>27863.88</v>
      </c>
      <c r="I25" s="42">
        <f>IFERROR((($F25*G25)/SingleEndAssumption),"")</f>
        <v>9.1895424836601312E-3</v>
      </c>
      <c r="J25" s="43">
        <f>IFERROR((($F25*H25)/SingleEndAssumption),"")</f>
        <v>1.5176405228758171E-2</v>
      </c>
      <c r="K25" s="58">
        <f>IFERROR(VLOOKUP($A25,'Parts List and Volumes'!$C$2:$W216,7,FALSE),"")</f>
        <v>0</v>
      </c>
      <c r="L25" s="45">
        <f>IFERROR(VLOOKUP($A25,'Parts List and Volumes'!$C$2:$W216,8,FALSE),"")</f>
        <v>92482.676000000007</v>
      </c>
      <c r="M25" s="46">
        <f>IFERROR((($F25*K25)/FourHeadAssumption),"")</f>
        <v>0</v>
      </c>
      <c r="N25" s="47">
        <f>IFERROR((($F25*L25)/FourHeadAssumption),"")</f>
        <v>5.4456030147794855E-2</v>
      </c>
      <c r="O25" s="41">
        <f>IFERROR(VLOOKUP($A25,'Parts List and Volumes'!$C$2:$W216,9,FALSE),"")</f>
        <v>0</v>
      </c>
      <c r="P25" s="41">
        <f>IFERROR(VLOOKUP($A25,'Parts List and Volumes'!$C$2:$W216,10,FALSE),"")</f>
        <v>121648.76900000001</v>
      </c>
      <c r="Q25" s="42">
        <f>IFERROR((($F25*O25)/SingleEndAssumption),"")</f>
        <v>0</v>
      </c>
      <c r="R25" s="43">
        <f>IFERROR((($F25*P25)/SingleEndAssumption),"")</f>
        <v>6.6257499455337696E-2</v>
      </c>
      <c r="S25" s="44">
        <f>IFERROR(VLOOKUP($A25,'Parts List and Volumes'!$C$2:$W216,11,FALSE),"")</f>
        <v>0</v>
      </c>
      <c r="T25" s="45">
        <f>IFERROR(VLOOKUP($A25,'Parts List and Volumes'!$C$2:$W216,12,FALSE),"")</f>
        <v>130803.80500000001</v>
      </c>
      <c r="U25" s="46">
        <f>IFERROR((($F25*S25)/FourHeadAssumption),"")</f>
        <v>0</v>
      </c>
      <c r="V25" s="47">
        <f>IFERROR((($F25*T25)/FourHeadAssumption),"")</f>
        <v>7.7020435141023386E-2</v>
      </c>
      <c r="W25" s="40">
        <f>IFERROR(VLOOKUP($A25,'Parts List and Volumes'!$C$2:$W216,13,FALSE),"")</f>
        <v>0</v>
      </c>
      <c r="X25" s="41">
        <f>IFERROR(VLOOKUP($A25,'Parts List and Volumes'!$C$2:$W216,14,FALSE),"")</f>
        <v>133990.62600000002</v>
      </c>
      <c r="Y25" s="42">
        <f>IFERROR((($F25*W25)/SingleEndAssumption),"")</f>
        <v>0</v>
      </c>
      <c r="Z25" s="43">
        <f>IFERROR((($F25*X25)/SingleEndAssumption),"")</f>
        <v>7.2979643790849688E-2</v>
      </c>
      <c r="AA25" s="49">
        <f>IFERROR(VLOOKUP($A25,'Parts List and Volumes'!$C$2:$W216,15,FALSE),"")</f>
        <v>0</v>
      </c>
      <c r="AB25" s="50">
        <f>IFERROR(VLOOKUP($A25,'Parts List and Volumes'!$C$2:$W216,16,FALSE),"")</f>
        <v>121938.26700000001</v>
      </c>
      <c r="AC25" s="46">
        <f>IFERROR((($F25*AA25)/FourHeadAssumption),"")</f>
        <v>0</v>
      </c>
      <c r="AD25" s="47">
        <f>IFERROR((($F25*AB25)/FourHeadAssumption),"")</f>
        <v>7.1800192545486669E-2</v>
      </c>
      <c r="AE25" s="40">
        <f>IFERROR(VLOOKUP($A25,'Parts List and Volumes'!$C$2:$W216,17,FALSE),"")</f>
        <v>0</v>
      </c>
      <c r="AF25" s="41">
        <f>IFERROR(VLOOKUP($A25,'Parts List and Volumes'!$C$2:$W216,18,FALSE),"")</f>
        <v>116379.57100000001</v>
      </c>
      <c r="AG25" s="42">
        <f>IFERROR((($F25*AE25)/SingleEndAssumption),"")</f>
        <v>0</v>
      </c>
      <c r="AH25" s="43">
        <f>IFERROR((($F25*AF25)/SingleEndAssumption),"")</f>
        <v>6.3387565904139437E-2</v>
      </c>
      <c r="AI25" s="49">
        <f>IFERROR(VLOOKUP($A25,'Parts List and Volumes'!$C$2:$W216,19,FALSE),"")</f>
        <v>0</v>
      </c>
      <c r="AJ25" s="50">
        <f>IFERROR(VLOOKUP($A25,'Parts List and Volumes'!$C$2:$W216,20,FALSE),"")</f>
        <v>57066</v>
      </c>
      <c r="AK25" s="46">
        <f>IFERROR((($F25*AI25)/FourHeadAssumption),"")</f>
        <v>0</v>
      </c>
      <c r="AL25" s="47">
        <f>IFERROR((($F25*AJ25)/FourHeadAssumption),"")</f>
        <v>3.3601837131248896E-2</v>
      </c>
      <c r="AM25" s="40">
        <f>IFERROR(VLOOKUP($A25,'Parts List and Volumes'!$C$2:$W216,21,FALSE),"")</f>
        <v>0</v>
      </c>
      <c r="AN25" s="41" t="str">
        <f>IFERROR(VLOOKUP($A25,'Parts List and Volumes'!$C$2:$W216,22,FALSE),"")</f>
        <v/>
      </c>
      <c r="AO25" s="42">
        <f>IFERROR((($F25*AM25)/SingleEndAssumption),"")</f>
        <v>0</v>
      </c>
      <c r="AP25" s="43" t="str">
        <f>IFERROR((($F25*AN25)/SingleEndAssumption),"")</f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46" t="str">
        <f>IFERROR((($F25*AQ25)/FourHeadAssumption),"")</f>
        <v/>
      </c>
      <c r="AT25" s="47" t="str">
        <f>IFERROR((($F25*AR25)/FourHeadAssumption),"")</f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2" t="str">
        <f>IFERROR((($F25*AU25)/SingleEndAssumption),"")</f>
        <v/>
      </c>
      <c r="AX25" s="43" t="str">
        <f>IFERROR((($F25*AV25)/SingleEndAssumption),"")</f>
        <v/>
      </c>
    </row>
    <row r="26" spans="1:50" x14ac:dyDescent="0.25">
      <c r="A26" s="91" t="s">
        <v>175</v>
      </c>
      <c r="B26" s="24" t="s">
        <v>378</v>
      </c>
      <c r="C26" s="20" t="str">
        <f>IFERROR(VLOOKUP(A26,'Parts List and Volumes'!C25:D217,2,FALSE),"")</f>
        <v>NBAA3547AAF20</v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92">
        <v>18</v>
      </c>
      <c r="G26" s="40">
        <f>IFERROR(VLOOKUP($A26,'Parts List and Volumes'!$C$2:$W217,5,FALSE),"")</f>
        <v>536</v>
      </c>
      <c r="H26" s="41">
        <f>IFERROR(VLOOKUP($A26,'Parts List and Volumes'!$C$2:$W217,6,FALSE),"")</f>
        <v>2453.2200000000007</v>
      </c>
      <c r="I26" s="42">
        <f>IFERROR((($F26*G26)/SingleEndAssumption),"")</f>
        <v>6.5686274509803918E-4</v>
      </c>
      <c r="J26" s="43">
        <f>IFERROR((($F26*H26)/SingleEndAssumption),"")</f>
        <v>3.0063970588235303E-3</v>
      </c>
      <c r="K26" s="58">
        <f>IFERROR(VLOOKUP($A26,'Parts List and Volumes'!$C$2:$W217,7,FALSE),"")</f>
        <v>0</v>
      </c>
      <c r="L26" s="45">
        <f>IFERROR(VLOOKUP($A26,'Parts List and Volumes'!$C$2:$W217,8,FALSE),"")</f>
        <v>10965.724</v>
      </c>
      <c r="M26" s="46">
        <f>IFERROR((($F26*K26)/FourHeadAssumption),"")</f>
        <v>0</v>
      </c>
      <c r="N26" s="47">
        <f>IFERROR((($F26*L26)/FourHeadAssumption),"")</f>
        <v>1.4527986221515634E-2</v>
      </c>
      <c r="O26" s="41">
        <f>IFERROR(VLOOKUP($A26,'Parts List and Volumes'!$C$2:$W217,9,FALSE),"")</f>
        <v>0</v>
      </c>
      <c r="P26" s="41">
        <f>IFERROR(VLOOKUP($A26,'Parts List and Volumes'!$C$2:$W217,10,FALSE),"")</f>
        <v>15169.231000000002</v>
      </c>
      <c r="Q26" s="42">
        <f>IFERROR((($F26*O26)/SingleEndAssumption),"")</f>
        <v>0</v>
      </c>
      <c r="R26" s="43">
        <f>IFERROR((($F26*P26)/SingleEndAssumption),"")</f>
        <v>1.8589743872549025E-2</v>
      </c>
      <c r="S26" s="44">
        <f>IFERROR(VLOOKUP($A26,'Parts List and Volumes'!$C$2:$W217,11,FALSE),"")</f>
        <v>0</v>
      </c>
      <c r="T26" s="45">
        <f>IFERROR(VLOOKUP($A26,'Parts List and Volumes'!$C$2:$W217,12,FALSE),"")</f>
        <v>16380.595000000003</v>
      </c>
      <c r="U26" s="46">
        <f>IFERROR((($F26*S26)/FourHeadAssumption),"")</f>
        <v>0</v>
      </c>
      <c r="V26" s="47">
        <f>IFERROR((($F26*T26)/FourHeadAssumption),"")</f>
        <v>2.170190116587176E-2</v>
      </c>
      <c r="W26" s="40">
        <f>IFERROR(VLOOKUP($A26,'Parts List and Volumes'!$C$2:$W217,13,FALSE),"")</f>
        <v>0</v>
      </c>
      <c r="X26" s="41">
        <f>IFERROR(VLOOKUP($A26,'Parts List and Volumes'!$C$2:$W217,14,FALSE),"")</f>
        <v>16906.274000000001</v>
      </c>
      <c r="Y26" s="42">
        <f>IFERROR((($F26*W26)/SingleEndAssumption),"")</f>
        <v>0</v>
      </c>
      <c r="Z26" s="43">
        <f>IFERROR((($F26*X26)/SingleEndAssumption),"")</f>
        <v>2.0718473039215687E-2</v>
      </c>
      <c r="AA26" s="49">
        <f>IFERROR(VLOOKUP($A26,'Parts List and Volumes'!$C$2:$W217,15,FALSE),"")</f>
        <v>0</v>
      </c>
      <c r="AB26" s="50">
        <f>IFERROR(VLOOKUP($A26,'Parts List and Volumes'!$C$2:$W217,16,FALSE),"")</f>
        <v>15733.333000000004</v>
      </c>
      <c r="AC26" s="46">
        <f>IFERROR((($F26*AA26)/FourHeadAssumption),"")</f>
        <v>0</v>
      </c>
      <c r="AD26" s="47">
        <f>IFERROR((($F26*AB26)/FourHeadAssumption),"")</f>
        <v>2.0844373343932174E-2</v>
      </c>
      <c r="AE26" s="40">
        <f>IFERROR(VLOOKUP($A26,'Parts List and Volumes'!$C$2:$W217,17,FALSE),"")</f>
        <v>0</v>
      </c>
      <c r="AF26" s="41">
        <f>IFERROR(VLOOKUP($A26,'Parts List and Volumes'!$C$2:$W217,18,FALSE),"")</f>
        <v>14828.429000000004</v>
      </c>
      <c r="AG26" s="42">
        <f>IFERROR((($F26*AE26)/SingleEndAssumption),"")</f>
        <v>0</v>
      </c>
      <c r="AH26" s="43">
        <f>IFERROR((($F26*AF26)/SingleEndAssumption),"")</f>
        <v>1.8172094362745101E-2</v>
      </c>
      <c r="AI26" s="49">
        <f>IFERROR(VLOOKUP($A26,'Parts List and Volumes'!$C$2:$W217,19,FALSE),"")</f>
        <v>0</v>
      </c>
      <c r="AJ26" s="50">
        <f>IFERROR(VLOOKUP($A26,'Parts List and Volumes'!$C$2:$W217,20,FALSE),"")</f>
        <v>7454</v>
      </c>
      <c r="AK26" s="46">
        <f>IFERROR((($F26*AI26)/FourHeadAssumption),"")</f>
        <v>0</v>
      </c>
      <c r="AL26" s="47">
        <f>IFERROR((($F26*AJ26)/FourHeadAssumption),"")</f>
        <v>9.8754636989931109E-3</v>
      </c>
      <c r="AM26" s="40">
        <f>IFERROR(VLOOKUP($A26,'Parts List and Volumes'!$C$2:$W217,21,FALSE),"")</f>
        <v>0</v>
      </c>
      <c r="AN26" s="41" t="str">
        <f>IFERROR(VLOOKUP($A26,'Parts List and Volumes'!$C$2:$W217,22,FALSE),"")</f>
        <v/>
      </c>
      <c r="AO26" s="42">
        <f>IFERROR((($F26*AM26)/SingleEndAssumption),"")</f>
        <v>0</v>
      </c>
      <c r="AP26" s="43" t="str">
        <f>IFERROR((($F26*AN26)/SingleEndAssumption),"")</f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46" t="str">
        <f>IFERROR((($F26*AQ26)/FourHeadAssumption),"")</f>
        <v/>
      </c>
      <c r="AT26" s="47" t="str">
        <f>IFERROR((($F26*AR26)/FourHeadAssumption),"")</f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2" t="str">
        <f>IFERROR((($F26*AU26)/SingleEndAssumption),"")</f>
        <v/>
      </c>
      <c r="AX26" s="43" t="str">
        <f>IFERROR((($F26*AV26)/SingleEndAssumption),"")</f>
        <v/>
      </c>
    </row>
    <row r="27" spans="1:50" x14ac:dyDescent="0.25">
      <c r="A27" s="91" t="s">
        <v>163</v>
      </c>
      <c r="B27" s="24" t="s">
        <v>378</v>
      </c>
      <c r="C27" s="20" t="str">
        <f>IFERROR(VLOOKUP(A27,'Parts List and Volumes'!C26:D218,2,FALSE),"")</f>
        <v>NBAA3548AAF20</v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92">
        <v>15.6</v>
      </c>
      <c r="G27" s="40">
        <f>IFERROR(VLOOKUP($A27,'Parts List and Volumes'!$C$2:$W218,5,FALSE),"")</f>
        <v>16871</v>
      </c>
      <c r="H27" s="41">
        <f>IFERROR(VLOOKUP($A27,'Parts List and Volumes'!$C$2:$W218,6,FALSE),"")</f>
        <v>27863.88</v>
      </c>
      <c r="I27" s="42">
        <f>IFERROR((($F27*G27)/SingleEndAssumption),"")</f>
        <v>1.7918545751633985E-2</v>
      </c>
      <c r="J27" s="43">
        <f>IFERROR((($F27*H27)/SingleEndAssumption),"")</f>
        <v>2.9593990196078432E-2</v>
      </c>
      <c r="K27" s="58">
        <f>IFERROR(VLOOKUP($A27,'Parts List and Volumes'!$C$2:$W218,7,FALSE),"")</f>
        <v>0</v>
      </c>
      <c r="L27" s="45">
        <f>IFERROR(VLOOKUP($A27,'Parts List and Volumes'!$C$2:$W218,8,FALSE),"")</f>
        <v>92482.676000000007</v>
      </c>
      <c r="M27" s="46">
        <f>IFERROR((($F27*K27)/FourHeadAssumption),"")</f>
        <v>0</v>
      </c>
      <c r="N27" s="47">
        <f>IFERROR((($F27*L27)/FourHeadAssumption),"")</f>
        <v>0.10618925878819997</v>
      </c>
      <c r="O27" s="41">
        <f>IFERROR(VLOOKUP($A27,'Parts List and Volumes'!$C$2:$W218,9,FALSE),"")</f>
        <v>0</v>
      </c>
      <c r="P27" s="41">
        <f>IFERROR(VLOOKUP($A27,'Parts List and Volumes'!$C$2:$W218,10,FALSE),"")</f>
        <v>121648.76900000001</v>
      </c>
      <c r="Q27" s="42">
        <f>IFERROR((($F27*O27)/SingleEndAssumption),"")</f>
        <v>0</v>
      </c>
      <c r="R27" s="43">
        <f>IFERROR((($F27*P27)/SingleEndAssumption),"")</f>
        <v>0.1292021239379085</v>
      </c>
      <c r="S27" s="44">
        <f>IFERROR(VLOOKUP($A27,'Parts List and Volumes'!$C$2:$W218,11,FALSE),"")</f>
        <v>0</v>
      </c>
      <c r="T27" s="45">
        <f>IFERROR(VLOOKUP($A27,'Parts List and Volumes'!$C$2:$W218,12,FALSE),"")</f>
        <v>130803.80500000001</v>
      </c>
      <c r="U27" s="46">
        <f>IFERROR((($F27*S27)/FourHeadAssumption),"")</f>
        <v>0</v>
      </c>
      <c r="V27" s="47">
        <f>IFERROR((($F27*T27)/FourHeadAssumption),"")</f>
        <v>0.15018984852499559</v>
      </c>
      <c r="W27" s="40">
        <f>IFERROR(VLOOKUP($A27,'Parts List and Volumes'!$C$2:$W218,13,FALSE),"")</f>
        <v>0</v>
      </c>
      <c r="X27" s="41">
        <f>IFERROR(VLOOKUP($A27,'Parts List and Volumes'!$C$2:$W218,14,FALSE),"")</f>
        <v>133990.62600000002</v>
      </c>
      <c r="Y27" s="42">
        <f>IFERROR((($F27*W27)/SingleEndAssumption),"")</f>
        <v>0</v>
      </c>
      <c r="Z27" s="43">
        <f>IFERROR((($F27*X27)/SingleEndAssumption),"")</f>
        <v>0.14231030539215689</v>
      </c>
      <c r="AA27" s="49">
        <f>IFERROR(VLOOKUP($A27,'Parts List and Volumes'!$C$2:$W218,15,FALSE),"")</f>
        <v>0</v>
      </c>
      <c r="AB27" s="50">
        <f>IFERROR(VLOOKUP($A27,'Parts List and Volumes'!$C$2:$W218,16,FALSE),"")</f>
        <v>121938.26700000001</v>
      </c>
      <c r="AC27" s="46">
        <f>IFERROR((($F27*AA27)/FourHeadAssumption),"")</f>
        <v>0</v>
      </c>
      <c r="AD27" s="47">
        <f>IFERROR((($F27*AB27)/FourHeadAssumption),"")</f>
        <v>0.14001037546369899</v>
      </c>
      <c r="AE27" s="40">
        <f>IFERROR(VLOOKUP($A27,'Parts List and Volumes'!$C$2:$W218,17,FALSE),"")</f>
        <v>0</v>
      </c>
      <c r="AF27" s="41">
        <f>IFERROR(VLOOKUP($A27,'Parts List and Volumes'!$C$2:$W218,18,FALSE),"")</f>
        <v>116379.57100000001</v>
      </c>
      <c r="AG27" s="42">
        <f>IFERROR((($F27*AE27)/SingleEndAssumption),"")</f>
        <v>0</v>
      </c>
      <c r="AH27" s="43">
        <f>IFERROR((($F27*AF27)/SingleEndAssumption),"")</f>
        <v>0.1236057535130719</v>
      </c>
      <c r="AI27" s="49">
        <f>IFERROR(VLOOKUP($A27,'Parts List and Volumes'!$C$2:$W218,19,FALSE),"")</f>
        <v>0</v>
      </c>
      <c r="AJ27" s="50">
        <f>IFERROR(VLOOKUP($A27,'Parts List and Volumes'!$C$2:$W218,20,FALSE),"")</f>
        <v>57066</v>
      </c>
      <c r="AK27" s="46">
        <f>IFERROR((($F27*AI27)/FourHeadAssumption),"")</f>
        <v>0</v>
      </c>
      <c r="AL27" s="47">
        <f>IFERROR((($F27*AJ27)/FourHeadAssumption),"")</f>
        <v>6.5523582405935352E-2</v>
      </c>
      <c r="AM27" s="40">
        <f>IFERROR(VLOOKUP($A27,'Parts List and Volumes'!$C$2:$W218,21,FALSE),"")</f>
        <v>0</v>
      </c>
      <c r="AN27" s="41" t="str">
        <f>IFERROR(VLOOKUP($A27,'Parts List and Volumes'!$C$2:$W218,22,FALSE),"")</f>
        <v/>
      </c>
      <c r="AO27" s="42">
        <f>IFERROR((($F27*AM27)/SingleEndAssumption),"")</f>
        <v>0</v>
      </c>
      <c r="AP27" s="43" t="str">
        <f>IFERROR((($F27*AN27)/SingleEndAssumption),"")</f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46" t="str">
        <f>IFERROR((($F27*AQ27)/FourHeadAssumption),"")</f>
        <v/>
      </c>
      <c r="AT27" s="47" t="str">
        <f>IFERROR((($F27*AR27)/FourHeadAssumption),"")</f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2" t="str">
        <f>IFERROR((($F27*AU27)/SingleEndAssumption),"")</f>
        <v/>
      </c>
      <c r="AX27" s="43" t="str">
        <f>IFERROR((($F27*AV27)/SingleEndAssumption),"")</f>
        <v/>
      </c>
    </row>
    <row r="28" spans="1:50" x14ac:dyDescent="0.25">
      <c r="A28" s="91" t="s">
        <v>177</v>
      </c>
      <c r="B28" s="24" t="s">
        <v>378</v>
      </c>
      <c r="C28" s="20" t="str">
        <f>IFERROR(VLOOKUP(A28,'Parts List and Volumes'!C27:D219,2,FALSE),"")</f>
        <v>NBAA3549AAF20</v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92">
        <v>23</v>
      </c>
      <c r="G28" s="40">
        <f>IFERROR(VLOOKUP($A28,'Parts List and Volumes'!$C$2:$W219,5,FALSE),"")</f>
        <v>536</v>
      </c>
      <c r="H28" s="41">
        <f>IFERROR(VLOOKUP($A28,'Parts List and Volumes'!$C$2:$W219,6,FALSE),"")</f>
        <v>2453.2200000000007</v>
      </c>
      <c r="I28" s="42">
        <f>IFERROR((($F28*G28)/SingleEndAssumption),"")</f>
        <v>8.3932461873638343E-4</v>
      </c>
      <c r="J28" s="43">
        <f>IFERROR((($F28*H28)/SingleEndAssumption),"")</f>
        <v>3.8415073529411777E-3</v>
      </c>
      <c r="K28" s="58">
        <f>IFERROR(VLOOKUP($A28,'Parts List and Volumes'!$C$2:$W219,7,FALSE),"")</f>
        <v>0</v>
      </c>
      <c r="L28" s="45">
        <f>IFERROR(VLOOKUP($A28,'Parts List and Volumes'!$C$2:$W219,8,FALSE),"")</f>
        <v>10965.724</v>
      </c>
      <c r="M28" s="46">
        <f>IFERROR((($F28*K28)/FourHeadAssumption),"")</f>
        <v>0</v>
      </c>
      <c r="N28" s="47">
        <f>IFERROR((($F28*L28)/FourHeadAssumption),"")</f>
        <v>1.856353794971442E-2</v>
      </c>
      <c r="O28" s="41">
        <f>IFERROR(VLOOKUP($A28,'Parts List and Volumes'!$C$2:$W219,9,FALSE),"")</f>
        <v>0</v>
      </c>
      <c r="P28" s="41">
        <f>IFERROR(VLOOKUP($A28,'Parts List and Volumes'!$C$2:$W219,10,FALSE),"")</f>
        <v>15169.231000000002</v>
      </c>
      <c r="Q28" s="42">
        <f>IFERROR((($F28*O28)/SingleEndAssumption),"")</f>
        <v>0</v>
      </c>
      <c r="R28" s="43">
        <f>IFERROR((($F28*P28)/SingleEndAssumption),"")</f>
        <v>2.375356161492375E-2</v>
      </c>
      <c r="S28" s="44">
        <f>IFERROR(VLOOKUP($A28,'Parts List and Volumes'!$C$2:$W219,11,FALSE),"")</f>
        <v>0</v>
      </c>
      <c r="T28" s="45">
        <f>IFERROR(VLOOKUP($A28,'Parts List and Volumes'!$C$2:$W219,12,FALSE),"")</f>
        <v>16380.595000000003</v>
      </c>
      <c r="U28" s="46">
        <f>IFERROR((($F28*S28)/FourHeadAssumption),"")</f>
        <v>0</v>
      </c>
      <c r="V28" s="47">
        <f>IFERROR((($F28*T28)/FourHeadAssumption),"")</f>
        <v>2.7730207045280578E-2</v>
      </c>
      <c r="W28" s="40">
        <f>IFERROR(VLOOKUP($A28,'Parts List and Volumes'!$C$2:$W219,13,FALSE),"")</f>
        <v>0</v>
      </c>
      <c r="X28" s="41">
        <f>IFERROR(VLOOKUP($A28,'Parts List and Volumes'!$C$2:$W219,14,FALSE),"")</f>
        <v>16906.274000000001</v>
      </c>
      <c r="Y28" s="42">
        <f>IFERROR((($F28*W28)/SingleEndAssumption),"")</f>
        <v>0</v>
      </c>
      <c r="Z28" s="43">
        <f>IFERROR((($F28*X28)/SingleEndAssumption),"")</f>
        <v>2.6473604438997822E-2</v>
      </c>
      <c r="AA28" s="49">
        <f>IFERROR(VLOOKUP($A28,'Parts List and Volumes'!$C$2:$W219,15,FALSE),"")</f>
        <v>0</v>
      </c>
      <c r="AB28" s="50">
        <f>IFERROR(VLOOKUP($A28,'Parts List and Volumes'!$C$2:$W219,16,FALSE),"")</f>
        <v>15733.333000000004</v>
      </c>
      <c r="AC28" s="46">
        <f>IFERROR((($F28*AA28)/FourHeadAssumption),"")</f>
        <v>0</v>
      </c>
      <c r="AD28" s="47">
        <f>IFERROR((($F28*AB28)/FourHeadAssumption),"")</f>
        <v>2.6634477050579999E-2</v>
      </c>
      <c r="AE28" s="40">
        <f>IFERROR(VLOOKUP($A28,'Parts List and Volumes'!$C$2:$W219,17,FALSE),"")</f>
        <v>0</v>
      </c>
      <c r="AF28" s="41">
        <f>IFERROR(VLOOKUP($A28,'Parts List and Volumes'!$C$2:$W219,18,FALSE),"")</f>
        <v>14828.429000000004</v>
      </c>
      <c r="AG28" s="42">
        <f>IFERROR((($F28*AE28)/SingleEndAssumption),"")</f>
        <v>0</v>
      </c>
      <c r="AH28" s="43">
        <f>IFERROR((($F28*AF28)/SingleEndAssumption),"")</f>
        <v>2.3219898352396521E-2</v>
      </c>
      <c r="AI28" s="49">
        <f>IFERROR(VLOOKUP($A28,'Parts List and Volumes'!$C$2:$W219,19,FALSE),"")</f>
        <v>0</v>
      </c>
      <c r="AJ28" s="50">
        <f>IFERROR(VLOOKUP($A28,'Parts List and Volumes'!$C$2:$W219,20,FALSE),"")</f>
        <v>7454</v>
      </c>
      <c r="AK28" s="46">
        <f>IFERROR((($F28*AI28)/FourHeadAssumption),"")</f>
        <v>0</v>
      </c>
      <c r="AL28" s="47">
        <f>IFERROR((($F28*AJ28)/FourHeadAssumption),"")</f>
        <v>1.261864805982453E-2</v>
      </c>
      <c r="AM28" s="40">
        <f>IFERROR(VLOOKUP($A28,'Parts List and Volumes'!$C$2:$W219,21,FALSE),"")</f>
        <v>0</v>
      </c>
      <c r="AN28" s="41" t="str">
        <f>IFERROR(VLOOKUP($A28,'Parts List and Volumes'!$C$2:$W219,22,FALSE),"")</f>
        <v/>
      </c>
      <c r="AO28" s="42">
        <f>IFERROR((($F28*AM28)/SingleEndAssumption),"")</f>
        <v>0</v>
      </c>
      <c r="AP28" s="43" t="str">
        <f>IFERROR((($F28*AN28)/SingleEndAssumption),"")</f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46" t="str">
        <f>IFERROR((($F28*AQ28)/FourHeadAssumption),"")</f>
        <v/>
      </c>
      <c r="AT28" s="47" t="str">
        <f>IFERROR((($F28*AR28)/FourHeadAssumption),"")</f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2" t="str">
        <f>IFERROR((($F28*AU28)/SingleEndAssumption),"")</f>
        <v/>
      </c>
      <c r="AX28" s="43" t="str">
        <f>IFERROR((($F28*AV28)/SingleEndAssumption),"")</f>
        <v/>
      </c>
    </row>
    <row r="29" spans="1:50" x14ac:dyDescent="0.25">
      <c r="A29" s="91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92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>IFERROR((($F29*G29)/SingleEndAssumption),"")</f>
        <v/>
      </c>
      <c r="J29" s="43" t="str">
        <f>IFERROR((($F29*H29)/SingleEndAssumption),"")</f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>IFERROR((($F29*K29)/FourHeadAssumption),"")</f>
        <v/>
      </c>
      <c r="N29" s="47" t="str">
        <f>IFERROR((($F29*L29)/FourHeadAssumption),"")</f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2" t="str">
        <f>IFERROR((($F29*O29)/SingleEndAssumption),"")</f>
        <v/>
      </c>
      <c r="R29" s="43" t="str">
        <f>IFERROR((($F29*P29)/SingleEndAssumption),"")</f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>IFERROR((($F29*S29)/FourHeadAssumption),"")</f>
        <v/>
      </c>
      <c r="V29" s="47" t="str">
        <f>IFERROR((($F29*T29)/FourHeadAssumption),"")</f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2" t="str">
        <f>IFERROR((($F29*W29)/SingleEndAssumption),"")</f>
        <v/>
      </c>
      <c r="Z29" s="43" t="str">
        <f>IFERROR((($F29*X29)/SingleEndAssumption),"")</f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46" t="str">
        <f>IFERROR((($F29*AA29)/FourHeadAssumption),"")</f>
        <v/>
      </c>
      <c r="AD29" s="47" t="str">
        <f>IFERROR((($F29*AB29)/FourHeadAssumption),"")</f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2" t="str">
        <f>IFERROR((($F29*AE29)/SingleEndAssumption),"")</f>
        <v/>
      </c>
      <c r="AH29" s="43" t="str">
        <f>IFERROR((($F29*AF29)/SingleEndAssumption),"")</f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46" t="str">
        <f>IFERROR((($F29*AI29)/FourHeadAssumption),"")</f>
        <v/>
      </c>
      <c r="AL29" s="47" t="str">
        <f>IFERROR((($F29*AJ29)/FourHeadAssumption),"")</f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2" t="str">
        <f>IFERROR((($F29*AM29)/SingleEndAssumption),"")</f>
        <v/>
      </c>
      <c r="AP29" s="43" t="str">
        <f>IFERROR((($F29*AN29)/SingleEndAssumption),"")</f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46" t="str">
        <f>IFERROR((($F29*AQ29)/FourHeadAssumption),"")</f>
        <v/>
      </c>
      <c r="AT29" s="47" t="str">
        <f>IFERROR((($F29*AR29)/FourHeadAssumption),"")</f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2" t="str">
        <f>IFERROR((($F29*AU29)/SingleEndAssumption),"")</f>
        <v/>
      </c>
      <c r="AX29" s="43" t="str">
        <f>IFERROR((($F29*AV29)/SingleEndAssumption),"")</f>
        <v/>
      </c>
    </row>
    <row r="30" spans="1:50" x14ac:dyDescent="0.25">
      <c r="A30" s="91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92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>IFERROR((($F30*G30)/SingleEndAssumption),"")</f>
        <v/>
      </c>
      <c r="J30" s="43" t="str">
        <f>IFERROR((($F30*H30)/SingleEndAssumption),"")</f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>IFERROR((($F30*K30)/FourHeadAssumption),"")</f>
        <v/>
      </c>
      <c r="N30" s="47" t="str">
        <f>IFERROR((($F30*L30)/FourHeadAssumption),"")</f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2" t="str">
        <f>IFERROR((($F30*O30)/SingleEndAssumption),"")</f>
        <v/>
      </c>
      <c r="R30" s="43" t="str">
        <f>IFERROR((($F30*P30)/SingleEndAssumption),"")</f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>IFERROR((($F30*S30)/FourHeadAssumption),"")</f>
        <v/>
      </c>
      <c r="V30" s="47" t="str">
        <f>IFERROR((($F30*T30)/FourHeadAssumption),"")</f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2" t="str">
        <f>IFERROR((($F30*W30)/SingleEndAssumption),"")</f>
        <v/>
      </c>
      <c r="Z30" s="43" t="str">
        <f>IFERROR((($F30*X30)/SingleEndAssumption),"")</f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46" t="str">
        <f>IFERROR((($F30*AA30)/FourHeadAssumption),"")</f>
        <v/>
      </c>
      <c r="AD30" s="47" t="str">
        <f>IFERROR((($F30*AB30)/FourHeadAssumption),"")</f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2" t="str">
        <f>IFERROR((($F30*AE30)/SingleEndAssumption),"")</f>
        <v/>
      </c>
      <c r="AH30" s="43" t="str">
        <f>IFERROR((($F30*AF30)/SingleEndAssumption),"")</f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46" t="str">
        <f>IFERROR((($F30*AI30)/FourHeadAssumption),"")</f>
        <v/>
      </c>
      <c r="AL30" s="47" t="str">
        <f>IFERROR((($F30*AJ30)/FourHeadAssumption),"")</f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2" t="str">
        <f>IFERROR((($F30*AM30)/SingleEndAssumption),"")</f>
        <v/>
      </c>
      <c r="AP30" s="43" t="str">
        <f>IFERROR((($F30*AN30)/SingleEndAssumption),"")</f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46" t="str">
        <f>IFERROR((($F30*AQ30)/FourHeadAssumption),"")</f>
        <v/>
      </c>
      <c r="AT30" s="47" t="str">
        <f>IFERROR((($F30*AR30)/FourHeadAssumption),"")</f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2" t="str">
        <f>IFERROR((($F30*AU30)/SingleEndAssumption),"")</f>
        <v/>
      </c>
      <c r="AX30" s="43" t="str">
        <f>IFERROR((($F30*AV30)/SingleEndAssumption),"")</f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>IFERROR((($F31*G31)/SingleEndAssumption),"")</f>
        <v/>
      </c>
      <c r="J31" s="43" t="str">
        <f>IFERROR((($F31*H31)/SingleEndAssumption),"")</f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0"/>
        <v/>
      </c>
      <c r="N31" s="47" t="str">
        <f t="shared" si="0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2" t="str">
        <f>IFERROR((($F31*O31)/SingleEndAssumption),"")</f>
        <v/>
      </c>
      <c r="R31" s="43" t="str">
        <f>IFERROR((($F31*P31)/SingleEndAssumption),"")</f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1"/>
        <v/>
      </c>
      <c r="V31" s="47" t="str">
        <f t="shared" si="2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2" t="str">
        <f>IFERROR((($F31*W31)/SingleEndAssumption),"")</f>
        <v/>
      </c>
      <c r="Z31" s="43" t="str">
        <f>IFERROR((($F31*X31)/SingleEndAssumption),"")</f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46" t="str">
        <f t="shared" si="3"/>
        <v/>
      </c>
      <c r="AD31" s="47" t="str">
        <f t="shared" si="4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2" t="str">
        <f>IFERROR((($F31*AE31)/SingleEndAssumption),"")</f>
        <v/>
      </c>
      <c r="AH31" s="43" t="str">
        <f>IFERROR((($F31*AF31)/SingleEndAssumption),"")</f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46" t="str">
        <f t="shared" si="5"/>
        <v/>
      </c>
      <c r="AL31" s="47" t="str">
        <f t="shared" si="6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2" t="str">
        <f>IFERROR((($F31*AM31)/SingleEndAssumption),"")</f>
        <v/>
      </c>
      <c r="AP31" s="43" t="str">
        <f>IFERROR((($F31*AN31)/SingleEndAssumption),"")</f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46" t="str">
        <f t="shared" si="7"/>
        <v/>
      </c>
      <c r="AT31" s="47" t="str">
        <f t="shared" si="8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2" t="str">
        <f>IFERROR((($F31*AU31)/SingleEndAssumption),"")</f>
        <v/>
      </c>
      <c r="AX31" s="43" t="str">
        <f>IFERROR((($F31*AV31)/SingleEndAssumption),"")</f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>IFERROR((($F32*G32)/SingleEndAssumption),"")</f>
        <v/>
      </c>
      <c r="J32" s="43" t="str">
        <f>IFERROR((($F32*H32)/SingleEndAssumption),"")</f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0"/>
        <v/>
      </c>
      <c r="N32" s="47" t="str">
        <f t="shared" si="0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2" t="str">
        <f>IFERROR((($F32*O32)/SingleEndAssumption),"")</f>
        <v/>
      </c>
      <c r="R32" s="43" t="str">
        <f>IFERROR((($F32*P32)/SingleEndAssumption),"")</f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1"/>
        <v/>
      </c>
      <c r="V32" s="47" t="str">
        <f t="shared" si="2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2" t="str">
        <f>IFERROR((($F32*W32)/SingleEndAssumption),"")</f>
        <v/>
      </c>
      <c r="Z32" s="43" t="str">
        <f>IFERROR((($F32*X32)/SingleEndAssumption),"")</f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46" t="str">
        <f t="shared" si="3"/>
        <v/>
      </c>
      <c r="AD32" s="47" t="str">
        <f t="shared" si="4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2" t="str">
        <f>IFERROR((($F32*AE32)/SingleEndAssumption),"")</f>
        <v/>
      </c>
      <c r="AH32" s="43" t="str">
        <f>IFERROR((($F32*AF32)/SingleEndAssumption),"")</f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46" t="str">
        <f t="shared" si="5"/>
        <v/>
      </c>
      <c r="AL32" s="47" t="str">
        <f t="shared" si="6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2" t="str">
        <f>IFERROR((($F32*AM32)/SingleEndAssumption),"")</f>
        <v/>
      </c>
      <c r="AP32" s="43" t="str">
        <f>IFERROR((($F32*AN32)/SingleEndAssumption),"")</f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46" t="str">
        <f t="shared" si="7"/>
        <v/>
      </c>
      <c r="AT32" s="47" t="str">
        <f t="shared" si="8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2" t="str">
        <f>IFERROR((($F32*AU32)/SingleEndAssumption),"")</f>
        <v/>
      </c>
      <c r="AX32" s="43" t="str">
        <f>IFERROR((($F32*AV32)/SingleEndAssumption),"")</f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>IFERROR((($F33*G33)/SingleEndAssumption),"")</f>
        <v/>
      </c>
      <c r="J33" s="43" t="str">
        <f>IFERROR((($F33*H33)/SingleEndAssumption),"")</f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0"/>
        <v/>
      </c>
      <c r="N33" s="47" t="str">
        <f t="shared" si="0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2" t="str">
        <f>IFERROR((($F33*O33)/SingleEndAssumption),"")</f>
        <v/>
      </c>
      <c r="R33" s="43" t="str">
        <f>IFERROR((($F33*P33)/SingleEndAssumption),"")</f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1"/>
        <v/>
      </c>
      <c r="V33" s="47" t="str">
        <f t="shared" si="2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2" t="str">
        <f>IFERROR((($F33*W33)/SingleEndAssumption),"")</f>
        <v/>
      </c>
      <c r="Z33" s="43" t="str">
        <f>IFERROR((($F33*X33)/SingleEndAssumption),"")</f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46" t="str">
        <f t="shared" si="3"/>
        <v/>
      </c>
      <c r="AD33" s="47" t="str">
        <f t="shared" si="4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2" t="str">
        <f>IFERROR((($F33*AE33)/SingleEndAssumption),"")</f>
        <v/>
      </c>
      <c r="AH33" s="43" t="str">
        <f>IFERROR((($F33*AF33)/SingleEndAssumption),"")</f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46" t="str">
        <f t="shared" si="5"/>
        <v/>
      </c>
      <c r="AL33" s="47" t="str">
        <f t="shared" si="6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2" t="str">
        <f>IFERROR((($F33*AM33)/SingleEndAssumption),"")</f>
        <v/>
      </c>
      <c r="AP33" s="43" t="str">
        <f>IFERROR((($F33*AN33)/SingleEndAssumption),"")</f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46" t="str">
        <f t="shared" si="7"/>
        <v/>
      </c>
      <c r="AT33" s="47" t="str">
        <f t="shared" si="8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2" t="str">
        <f>IFERROR((($F33*AU33)/SingleEndAssumption),"")</f>
        <v/>
      </c>
      <c r="AX33" s="43" t="str">
        <f>IFERROR((($F33*AV33)/SingleEndAssumption),"")</f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>IFERROR((($F34*G34)/SingleEndAssumption),"")</f>
        <v/>
      </c>
      <c r="J34" s="43" t="str">
        <f>IFERROR((($F34*H34)/SingleEndAssumption),"")</f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0"/>
        <v/>
      </c>
      <c r="N34" s="47" t="str">
        <f t="shared" si="0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2" t="str">
        <f>IFERROR((($F34*O34)/SingleEndAssumption),"")</f>
        <v/>
      </c>
      <c r="R34" s="43" t="str">
        <f>IFERROR((($F34*P34)/SingleEndAssumption),"")</f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1"/>
        <v/>
      </c>
      <c r="V34" s="47" t="str">
        <f t="shared" si="2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2" t="str">
        <f>IFERROR((($F34*W34)/SingleEndAssumption),"")</f>
        <v/>
      </c>
      <c r="Z34" s="43" t="str">
        <f>IFERROR((($F34*X34)/SingleEndAssumption),"")</f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46" t="str">
        <f t="shared" si="3"/>
        <v/>
      </c>
      <c r="AD34" s="47" t="str">
        <f t="shared" si="4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2" t="str">
        <f>IFERROR((($F34*AE34)/SingleEndAssumption),"")</f>
        <v/>
      </c>
      <c r="AH34" s="43" t="str">
        <f>IFERROR((($F34*AF34)/SingleEndAssumption),"")</f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46" t="str">
        <f t="shared" si="5"/>
        <v/>
      </c>
      <c r="AL34" s="47" t="str">
        <f t="shared" si="6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2" t="str">
        <f>IFERROR((($F34*AM34)/SingleEndAssumption),"")</f>
        <v/>
      </c>
      <c r="AP34" s="43" t="str">
        <f>IFERROR((($F34*AN34)/SingleEndAssumption),"")</f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46" t="str">
        <f t="shared" si="7"/>
        <v/>
      </c>
      <c r="AT34" s="47" t="str">
        <f t="shared" si="8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2" t="str">
        <f>IFERROR((($F34*AU34)/SingleEndAssumption),"")</f>
        <v/>
      </c>
      <c r="AX34" s="43" t="str">
        <f>IFERROR((($F34*AV34)/SingleEndAssumption),"")</f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>IFERROR((($F35*G35)/SingleEndAssumption),"")</f>
        <v/>
      </c>
      <c r="J35" s="43" t="str">
        <f>IFERROR((($F35*H35)/SingleEndAssumption),"")</f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0"/>
        <v/>
      </c>
      <c r="N35" s="47" t="str">
        <f t="shared" si="0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2" t="str">
        <f>IFERROR((($F35*O35)/SingleEndAssumption),"")</f>
        <v/>
      </c>
      <c r="R35" s="43" t="str">
        <f>IFERROR((($F35*P35)/SingleEndAssumption),"")</f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1"/>
        <v/>
      </c>
      <c r="V35" s="47" t="str">
        <f t="shared" si="2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2" t="str">
        <f>IFERROR((($F35*W35)/SingleEndAssumption),"")</f>
        <v/>
      </c>
      <c r="Z35" s="43" t="str">
        <f>IFERROR((($F35*X35)/SingleEndAssumption),"")</f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46" t="str">
        <f t="shared" si="3"/>
        <v/>
      </c>
      <c r="AD35" s="47" t="str">
        <f t="shared" si="4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2" t="str">
        <f>IFERROR((($F35*AE35)/SingleEndAssumption),"")</f>
        <v/>
      </c>
      <c r="AH35" s="43" t="str">
        <f>IFERROR((($F35*AF35)/SingleEndAssumption),"")</f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46" t="str">
        <f t="shared" si="5"/>
        <v/>
      </c>
      <c r="AL35" s="47" t="str">
        <f t="shared" si="6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2" t="str">
        <f>IFERROR((($F35*AM35)/SingleEndAssumption),"")</f>
        <v/>
      </c>
      <c r="AP35" s="43" t="str">
        <f>IFERROR((($F35*AN35)/SingleEndAssumption),"")</f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46" t="str">
        <f t="shared" si="7"/>
        <v/>
      </c>
      <c r="AT35" s="47" t="str">
        <f t="shared" si="8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2" t="str">
        <f>IFERROR((($F35*AU35)/SingleEndAssumption),"")</f>
        <v/>
      </c>
      <c r="AX35" s="43" t="str">
        <f>IFERROR((($F35*AV35)/SingleEndAssumption),"")</f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>IFERROR((($F36*G36)/SingleEndAssumption),"")</f>
        <v/>
      </c>
      <c r="J36" s="43" t="str">
        <f>IFERROR((($F36*H36)/SingleEndAssumption),"")</f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0"/>
        <v/>
      </c>
      <c r="N36" s="47" t="str">
        <f t="shared" si="0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2" t="str">
        <f>IFERROR((($F36*O36)/SingleEndAssumption),"")</f>
        <v/>
      </c>
      <c r="R36" s="43" t="str">
        <f>IFERROR((($F36*P36)/SingleEndAssumption),"")</f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1"/>
        <v/>
      </c>
      <c r="V36" s="47" t="str">
        <f t="shared" si="2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2" t="str">
        <f>IFERROR((($F36*W36)/SingleEndAssumption),"")</f>
        <v/>
      </c>
      <c r="Z36" s="43" t="str">
        <f>IFERROR((($F36*X36)/SingleEndAssumption),"")</f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46" t="str">
        <f t="shared" si="3"/>
        <v/>
      </c>
      <c r="AD36" s="47" t="str">
        <f t="shared" si="4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2" t="str">
        <f>IFERROR((($F36*AE36)/SingleEndAssumption),"")</f>
        <v/>
      </c>
      <c r="AH36" s="43" t="str">
        <f>IFERROR((($F36*AF36)/SingleEndAssumption),"")</f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46" t="str">
        <f t="shared" si="5"/>
        <v/>
      </c>
      <c r="AL36" s="47" t="str">
        <f t="shared" si="6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2" t="str">
        <f>IFERROR((($F36*AM36)/SingleEndAssumption),"")</f>
        <v/>
      </c>
      <c r="AP36" s="43" t="str">
        <f>IFERROR((($F36*AN36)/SingleEndAssumption),"")</f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46" t="str">
        <f t="shared" si="7"/>
        <v/>
      </c>
      <c r="AT36" s="47" t="str">
        <f t="shared" si="8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2" t="str">
        <f>IFERROR((($F36*AU36)/SingleEndAssumption),"")</f>
        <v/>
      </c>
      <c r="AX36" s="43" t="str">
        <f>IFERROR((($F36*AV36)/SingleEndAssumption),"")</f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>IFERROR((($F37*G37)/SingleEndAssumption),"")</f>
        <v/>
      </c>
      <c r="J37" s="43" t="str">
        <f>IFERROR((($F37*H37)/SingleEndAssumption),"")</f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0"/>
        <v/>
      </c>
      <c r="N37" s="47" t="str">
        <f t="shared" si="0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2" t="str">
        <f>IFERROR((($F37*O37)/SingleEndAssumption),"")</f>
        <v/>
      </c>
      <c r="R37" s="43" t="str">
        <f>IFERROR((($F37*P37)/SingleEndAssumption),"")</f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1"/>
        <v/>
      </c>
      <c r="V37" s="47" t="str">
        <f t="shared" si="2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2" t="str">
        <f>IFERROR((($F37*W37)/SingleEndAssumption),"")</f>
        <v/>
      </c>
      <c r="Z37" s="43" t="str">
        <f>IFERROR((($F37*X37)/SingleEndAssumption),"")</f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46" t="str">
        <f t="shared" si="3"/>
        <v/>
      </c>
      <c r="AD37" s="47" t="str">
        <f t="shared" si="4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2" t="str">
        <f>IFERROR((($F37*AE37)/SingleEndAssumption),"")</f>
        <v/>
      </c>
      <c r="AH37" s="43" t="str">
        <f>IFERROR((($F37*AF37)/SingleEndAssumption),"")</f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46" t="str">
        <f t="shared" si="5"/>
        <v/>
      </c>
      <c r="AL37" s="47" t="str">
        <f t="shared" si="6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2" t="str">
        <f>IFERROR((($F37*AM37)/SingleEndAssumption),"")</f>
        <v/>
      </c>
      <c r="AP37" s="43" t="str">
        <f>IFERROR((($F37*AN37)/SingleEndAssumption),"")</f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46" t="str">
        <f t="shared" si="7"/>
        <v/>
      </c>
      <c r="AT37" s="47" t="str">
        <f t="shared" si="8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2" t="str">
        <f>IFERROR((($F37*AU37)/SingleEndAssumption),"")</f>
        <v/>
      </c>
      <c r="AX37" s="43" t="str">
        <f>IFERROR((($F37*AV37)/SingleEndAssumption),"")</f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>IFERROR((($F38*G38)/SingleEndAssumption),"")</f>
        <v/>
      </c>
      <c r="J38" s="43" t="str">
        <f>IFERROR((($F38*H38)/SingleEndAssumption),"")</f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0"/>
        <v/>
      </c>
      <c r="N38" s="47" t="str">
        <f t="shared" si="0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2" t="str">
        <f>IFERROR((($F38*O38)/SingleEndAssumption),"")</f>
        <v/>
      </c>
      <c r="R38" s="43" t="str">
        <f>IFERROR((($F38*P38)/SingleEndAssumption),"")</f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1"/>
        <v/>
      </c>
      <c r="V38" s="47" t="str">
        <f t="shared" si="2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2" t="str">
        <f>IFERROR((($F38*W38)/SingleEndAssumption),"")</f>
        <v/>
      </c>
      <c r="Z38" s="43" t="str">
        <f>IFERROR((($F38*X38)/SingleEndAssumption),"")</f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46" t="str">
        <f t="shared" si="3"/>
        <v/>
      </c>
      <c r="AD38" s="47" t="str">
        <f t="shared" si="4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2" t="str">
        <f>IFERROR((($F38*AE38)/SingleEndAssumption),"")</f>
        <v/>
      </c>
      <c r="AH38" s="43" t="str">
        <f>IFERROR((($F38*AF38)/SingleEndAssumption),"")</f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46" t="str">
        <f t="shared" si="5"/>
        <v/>
      </c>
      <c r="AL38" s="47" t="str">
        <f t="shared" si="6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2" t="str">
        <f>IFERROR((($F38*AM38)/SingleEndAssumption),"")</f>
        <v/>
      </c>
      <c r="AP38" s="43" t="str">
        <f>IFERROR((($F38*AN38)/SingleEndAssumption),"")</f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46" t="str">
        <f t="shared" si="7"/>
        <v/>
      </c>
      <c r="AT38" s="47" t="str">
        <f t="shared" si="8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2" t="str">
        <f>IFERROR((($F38*AU38)/SingleEndAssumption),"")</f>
        <v/>
      </c>
      <c r="AX38" s="43" t="str">
        <f>IFERROR((($F38*AV38)/SingleEndAssumption),"")</f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>IFERROR((($F39*G39)/SingleEndAssumption),"")</f>
        <v/>
      </c>
      <c r="J39" s="43" t="str">
        <f>IFERROR((($F39*H39)/SingleEndAssumption),"")</f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0"/>
        <v/>
      </c>
      <c r="N39" s="47" t="str">
        <f t="shared" si="0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2" t="str">
        <f>IFERROR((($F39*O39)/SingleEndAssumption),"")</f>
        <v/>
      </c>
      <c r="R39" s="43" t="str">
        <f>IFERROR((($F39*P39)/SingleEndAssumption),"")</f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1"/>
        <v/>
      </c>
      <c r="V39" s="47" t="str">
        <f t="shared" si="2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2" t="str">
        <f>IFERROR((($F39*W39)/SingleEndAssumption),"")</f>
        <v/>
      </c>
      <c r="Z39" s="43" t="str">
        <f>IFERROR((($F39*X39)/SingleEndAssumption),"")</f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46" t="str">
        <f t="shared" si="3"/>
        <v/>
      </c>
      <c r="AD39" s="47" t="str">
        <f t="shared" si="4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2" t="str">
        <f>IFERROR((($F39*AE39)/SingleEndAssumption),"")</f>
        <v/>
      </c>
      <c r="AH39" s="43" t="str">
        <f>IFERROR((($F39*AF39)/SingleEndAssumption),"")</f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46" t="str">
        <f t="shared" si="5"/>
        <v/>
      </c>
      <c r="AL39" s="47" t="str">
        <f t="shared" si="6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2" t="str">
        <f>IFERROR((($F39*AM39)/SingleEndAssumption),"")</f>
        <v/>
      </c>
      <c r="AP39" s="43" t="str">
        <f>IFERROR((($F39*AN39)/SingleEndAssumption),"")</f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46" t="str">
        <f t="shared" si="7"/>
        <v/>
      </c>
      <c r="AT39" s="47" t="str">
        <f t="shared" si="8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2" t="str">
        <f>IFERROR((($F39*AU39)/SingleEndAssumption),"")</f>
        <v/>
      </c>
      <c r="AX39" s="43" t="str">
        <f>IFERROR((($F39*AV39)/SingleEndAssumption),"")</f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>IFERROR((($F40*G40)/SingleEndAssumption),"")</f>
        <v/>
      </c>
      <c r="J40" s="43" t="str">
        <f>IFERROR((($F40*H40)/SingleEndAssumption),"")</f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0"/>
        <v/>
      </c>
      <c r="N40" s="47" t="str">
        <f t="shared" si="0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2" t="str">
        <f>IFERROR((($F40*O40)/SingleEndAssumption),"")</f>
        <v/>
      </c>
      <c r="R40" s="43" t="str">
        <f>IFERROR((($F40*P40)/SingleEndAssumption),"")</f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1"/>
        <v/>
      </c>
      <c r="V40" s="47" t="str">
        <f t="shared" si="2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2" t="str">
        <f>IFERROR((($F40*W40)/SingleEndAssumption),"")</f>
        <v/>
      </c>
      <c r="Z40" s="43" t="str">
        <f>IFERROR((($F40*X40)/SingleEndAssumption),"")</f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46" t="str">
        <f t="shared" si="3"/>
        <v/>
      </c>
      <c r="AD40" s="47" t="str">
        <f t="shared" si="4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2" t="str">
        <f>IFERROR((($F40*AE40)/SingleEndAssumption),"")</f>
        <v/>
      </c>
      <c r="AH40" s="43" t="str">
        <f>IFERROR((($F40*AF40)/SingleEndAssumption),"")</f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46" t="str">
        <f t="shared" si="5"/>
        <v/>
      </c>
      <c r="AL40" s="47" t="str">
        <f t="shared" si="6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2" t="str">
        <f>IFERROR((($F40*AM40)/SingleEndAssumption),"")</f>
        <v/>
      </c>
      <c r="AP40" s="43" t="str">
        <f>IFERROR((($F40*AN40)/SingleEndAssumption),"")</f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46" t="str">
        <f t="shared" si="7"/>
        <v/>
      </c>
      <c r="AT40" s="47" t="str">
        <f t="shared" si="8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2" t="str">
        <f>IFERROR((($F40*AU40)/SingleEndAssumption),"")</f>
        <v/>
      </c>
      <c r="AX40" s="43" t="str">
        <f>IFERROR((($F40*AV40)/SingleEndAssumption),"")</f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>IFERROR((($F41*G41)/SingleEndAssumption),"")</f>
        <v/>
      </c>
      <c r="J41" s="43" t="str">
        <f>IFERROR((($F41*H41)/SingleEndAssumption),"")</f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0"/>
        <v/>
      </c>
      <c r="N41" s="47" t="str">
        <f t="shared" si="0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2" t="str">
        <f>IFERROR((($F41*O41)/SingleEndAssumption),"")</f>
        <v/>
      </c>
      <c r="R41" s="43" t="str">
        <f>IFERROR((($F41*P41)/SingleEndAssumption),"")</f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1"/>
        <v/>
      </c>
      <c r="V41" s="47" t="str">
        <f t="shared" si="2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2" t="str">
        <f>IFERROR((($F41*W41)/SingleEndAssumption),"")</f>
        <v/>
      </c>
      <c r="Z41" s="43" t="str">
        <f>IFERROR((($F41*X41)/SingleEndAssumption),"")</f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46" t="str">
        <f t="shared" si="3"/>
        <v/>
      </c>
      <c r="AD41" s="47" t="str">
        <f t="shared" si="4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2" t="str">
        <f>IFERROR((($F41*AE41)/SingleEndAssumption),"")</f>
        <v/>
      </c>
      <c r="AH41" s="43" t="str">
        <f>IFERROR((($F41*AF41)/SingleEndAssumption),"")</f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46" t="str">
        <f t="shared" si="5"/>
        <v/>
      </c>
      <c r="AL41" s="47" t="str">
        <f t="shared" si="6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2" t="str">
        <f>IFERROR((($F41*AM41)/SingleEndAssumption),"")</f>
        <v/>
      </c>
      <c r="AP41" s="43" t="str">
        <f>IFERROR((($F41*AN41)/SingleEndAssumption),"")</f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46" t="str">
        <f t="shared" si="7"/>
        <v/>
      </c>
      <c r="AT41" s="47" t="str">
        <f t="shared" si="8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2" t="str">
        <f>IFERROR((($F41*AU41)/SingleEndAssumption),"")</f>
        <v/>
      </c>
      <c r="AX41" s="43" t="str">
        <f>IFERROR((($F41*AV41)/SingleEndAssumption),"")</f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>IFERROR((($F42*G42)/SingleEndAssumption),"")</f>
        <v/>
      </c>
      <c r="J42" s="43" t="str">
        <f>IFERROR((($F42*H42)/SingleEndAssumption),"")</f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0"/>
        <v/>
      </c>
      <c r="N42" s="47" t="str">
        <f t="shared" si="0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2" t="str">
        <f>IFERROR((($F42*O42)/SingleEndAssumption),"")</f>
        <v/>
      </c>
      <c r="R42" s="43" t="str">
        <f>IFERROR((($F42*P42)/SingleEndAssumption),"")</f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1"/>
        <v/>
      </c>
      <c r="V42" s="47" t="str">
        <f t="shared" si="2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2" t="str">
        <f>IFERROR((($F42*W42)/SingleEndAssumption),"")</f>
        <v/>
      </c>
      <c r="Z42" s="43" t="str">
        <f>IFERROR((($F42*X42)/SingleEndAssumption),"")</f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46" t="str">
        <f t="shared" si="3"/>
        <v/>
      </c>
      <c r="AD42" s="47" t="str">
        <f t="shared" si="4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2" t="str">
        <f>IFERROR((($F42*AE42)/SingleEndAssumption),"")</f>
        <v/>
      </c>
      <c r="AH42" s="43" t="str">
        <f>IFERROR((($F42*AF42)/SingleEndAssumption),"")</f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46" t="str">
        <f t="shared" si="5"/>
        <v/>
      </c>
      <c r="AL42" s="47" t="str">
        <f t="shared" si="6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2" t="str">
        <f>IFERROR((($F42*AM42)/SingleEndAssumption),"")</f>
        <v/>
      </c>
      <c r="AP42" s="43" t="str">
        <f>IFERROR((($F42*AN42)/SingleEndAssumption),"")</f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46" t="str">
        <f t="shared" si="7"/>
        <v/>
      </c>
      <c r="AT42" s="47" t="str">
        <f t="shared" si="8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2" t="str">
        <f>IFERROR((($F42*AU42)/SingleEndAssumption),"")</f>
        <v/>
      </c>
      <c r="AX42" s="43" t="str">
        <f>IFERROR((($F42*AV42)/SingleEndAssumption),"")</f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>IFERROR((($F43*G43)/SingleEndAssumption),"")</f>
        <v/>
      </c>
      <c r="J43" s="43" t="str">
        <f>IFERROR((($F43*H43)/SingleEndAssumption),"")</f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0"/>
        <v/>
      </c>
      <c r="N43" s="47" t="str">
        <f t="shared" si="0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2" t="str">
        <f>IFERROR((($F43*O43)/SingleEndAssumption),"")</f>
        <v/>
      </c>
      <c r="R43" s="43" t="str">
        <f>IFERROR((($F43*P43)/SingleEndAssumption),"")</f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1"/>
        <v/>
      </c>
      <c r="V43" s="47" t="str">
        <f t="shared" si="2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2" t="str">
        <f>IFERROR((($F43*W43)/SingleEndAssumption),"")</f>
        <v/>
      </c>
      <c r="Z43" s="43" t="str">
        <f>IFERROR((($F43*X43)/SingleEndAssumption),"")</f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46" t="str">
        <f t="shared" si="3"/>
        <v/>
      </c>
      <c r="AD43" s="47" t="str">
        <f t="shared" si="4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2" t="str">
        <f>IFERROR((($F43*AE43)/SingleEndAssumption),"")</f>
        <v/>
      </c>
      <c r="AH43" s="43" t="str">
        <f>IFERROR((($F43*AF43)/SingleEndAssumption),"")</f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46" t="str">
        <f t="shared" si="5"/>
        <v/>
      </c>
      <c r="AL43" s="47" t="str">
        <f t="shared" si="6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2" t="str">
        <f>IFERROR((($F43*AM43)/SingleEndAssumption),"")</f>
        <v/>
      </c>
      <c r="AP43" s="43" t="str">
        <f>IFERROR((($F43*AN43)/SingleEndAssumption),"")</f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46" t="str">
        <f t="shared" si="7"/>
        <v/>
      </c>
      <c r="AT43" s="47" t="str">
        <f t="shared" si="8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2" t="str">
        <f>IFERROR((($F43*AU43)/SingleEndAssumption),"")</f>
        <v/>
      </c>
      <c r="AX43" s="43" t="str">
        <f>IFERROR((($F43*AV43)/SingleEndAssumption),"")</f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>IFERROR((($F44*G44)/SingleEndAssumption),"")</f>
        <v/>
      </c>
      <c r="J44" s="43" t="str">
        <f>IFERROR((($F44*H44)/SingleEndAssumption),"")</f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0"/>
        <v/>
      </c>
      <c r="N44" s="47" t="str">
        <f t="shared" si="0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2" t="str">
        <f>IFERROR((($F44*O44)/SingleEndAssumption),"")</f>
        <v/>
      </c>
      <c r="R44" s="43" t="str">
        <f>IFERROR((($F44*P44)/SingleEndAssumption),"")</f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1"/>
        <v/>
      </c>
      <c r="V44" s="47" t="str">
        <f t="shared" si="2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2" t="str">
        <f>IFERROR((($F44*W44)/SingleEndAssumption),"")</f>
        <v/>
      </c>
      <c r="Z44" s="43" t="str">
        <f>IFERROR((($F44*X44)/SingleEndAssumption),"")</f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46" t="str">
        <f t="shared" si="3"/>
        <v/>
      </c>
      <c r="AD44" s="47" t="str">
        <f t="shared" si="4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2" t="str">
        <f>IFERROR((($F44*AE44)/SingleEndAssumption),"")</f>
        <v/>
      </c>
      <c r="AH44" s="43" t="str">
        <f>IFERROR((($F44*AF44)/SingleEndAssumption),"")</f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46" t="str">
        <f t="shared" si="5"/>
        <v/>
      </c>
      <c r="AL44" s="47" t="str">
        <f t="shared" si="6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2" t="str">
        <f>IFERROR((($F44*AM44)/SingleEndAssumption),"")</f>
        <v/>
      </c>
      <c r="AP44" s="43" t="str">
        <f>IFERROR((($F44*AN44)/SingleEndAssumption),"")</f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46" t="str">
        <f t="shared" si="7"/>
        <v/>
      </c>
      <c r="AT44" s="47" t="str">
        <f t="shared" si="8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2" t="str">
        <f>IFERROR((($F44*AU44)/SingleEndAssumption),"")</f>
        <v/>
      </c>
      <c r="AX44" s="43" t="str">
        <f>IFERROR((($F44*AV44)/SingleEndAssumption),"")</f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>IFERROR((($F45*G45)/SingleEndAssumption),"")</f>
        <v/>
      </c>
      <c r="J45" s="43" t="str">
        <f>IFERROR((($F45*H45)/SingleEndAssumption),"")</f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0"/>
        <v/>
      </c>
      <c r="N45" s="47" t="str">
        <f t="shared" si="0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2" t="str">
        <f>IFERROR((($F45*O45)/SingleEndAssumption),"")</f>
        <v/>
      </c>
      <c r="R45" s="43" t="str">
        <f>IFERROR((($F45*P45)/SingleEndAssumption),"")</f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1"/>
        <v/>
      </c>
      <c r="V45" s="47" t="str">
        <f t="shared" si="2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2" t="str">
        <f>IFERROR((($F45*W45)/SingleEndAssumption),"")</f>
        <v/>
      </c>
      <c r="Z45" s="43" t="str">
        <f>IFERROR((($F45*X45)/SingleEndAssumption),"")</f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46" t="str">
        <f t="shared" si="3"/>
        <v/>
      </c>
      <c r="AD45" s="47" t="str">
        <f t="shared" si="4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2" t="str">
        <f>IFERROR((($F45*AE45)/SingleEndAssumption),"")</f>
        <v/>
      </c>
      <c r="AH45" s="43" t="str">
        <f>IFERROR((($F45*AF45)/SingleEndAssumption),"")</f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46" t="str">
        <f t="shared" si="5"/>
        <v/>
      </c>
      <c r="AL45" s="47" t="str">
        <f t="shared" si="6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2" t="str">
        <f>IFERROR((($F45*AM45)/SingleEndAssumption),"")</f>
        <v/>
      </c>
      <c r="AP45" s="43" t="str">
        <f>IFERROR((($F45*AN45)/SingleEndAssumption),"")</f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46" t="str">
        <f t="shared" si="7"/>
        <v/>
      </c>
      <c r="AT45" s="47" t="str">
        <f t="shared" si="8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2" t="str">
        <f>IFERROR((($F45*AU45)/SingleEndAssumption),"")</f>
        <v/>
      </c>
      <c r="AX45" s="43" t="str">
        <f>IFERROR((($F45*AV45)/SingleEndAssumption),"")</f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>IFERROR((($F46*G46)/SingleEndAssumption),"")</f>
        <v/>
      </c>
      <c r="J46" s="43" t="str">
        <f>IFERROR((($F46*H46)/SingleEndAssumption),"")</f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0"/>
        <v/>
      </c>
      <c r="N46" s="47" t="str">
        <f t="shared" si="0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2" t="str">
        <f>IFERROR((($F46*O46)/SingleEndAssumption),"")</f>
        <v/>
      </c>
      <c r="R46" s="43" t="str">
        <f>IFERROR((($F46*P46)/SingleEndAssumption),"")</f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1"/>
        <v/>
      </c>
      <c r="V46" s="47" t="str">
        <f t="shared" si="2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2" t="str">
        <f>IFERROR((($F46*W46)/SingleEndAssumption),"")</f>
        <v/>
      </c>
      <c r="Z46" s="43" t="str">
        <f>IFERROR((($F46*X46)/SingleEndAssumption),"")</f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46" t="str">
        <f t="shared" si="3"/>
        <v/>
      </c>
      <c r="AD46" s="47" t="str">
        <f t="shared" si="4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2" t="str">
        <f>IFERROR((($F46*AE46)/SingleEndAssumption),"")</f>
        <v/>
      </c>
      <c r="AH46" s="43" t="str">
        <f>IFERROR((($F46*AF46)/SingleEndAssumption),"")</f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46" t="str">
        <f t="shared" si="5"/>
        <v/>
      </c>
      <c r="AL46" s="47" t="str">
        <f t="shared" si="6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2" t="str">
        <f>IFERROR((($F46*AM46)/SingleEndAssumption),"")</f>
        <v/>
      </c>
      <c r="AP46" s="43" t="str">
        <f>IFERROR((($F46*AN46)/SingleEndAssumption),"")</f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46" t="str">
        <f t="shared" si="7"/>
        <v/>
      </c>
      <c r="AT46" s="47" t="str">
        <f t="shared" si="8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2" t="str">
        <f>IFERROR((($F46*AU46)/SingleEndAssumption),"")</f>
        <v/>
      </c>
      <c r="AX46" s="43" t="str">
        <f>IFERROR((($F46*AV46)/SingleEndAssumption),"")</f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>IFERROR((($F47*G47)/SingleEndAssumption),"")</f>
        <v/>
      </c>
      <c r="J47" s="43" t="str">
        <f>IFERROR((($F47*H47)/SingleEndAssumption),"")</f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0"/>
        <v/>
      </c>
      <c r="N47" s="47" t="str">
        <f t="shared" si="0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2" t="str">
        <f>IFERROR((($F47*O47)/SingleEndAssumption),"")</f>
        <v/>
      </c>
      <c r="R47" s="43" t="str">
        <f>IFERROR((($F47*P47)/SingleEndAssumption),"")</f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1"/>
        <v/>
      </c>
      <c r="V47" s="47" t="str">
        <f t="shared" si="2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2" t="str">
        <f>IFERROR((($F47*W47)/SingleEndAssumption),"")</f>
        <v/>
      </c>
      <c r="Z47" s="43" t="str">
        <f>IFERROR((($F47*X47)/SingleEndAssumption),"")</f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46" t="str">
        <f t="shared" si="3"/>
        <v/>
      </c>
      <c r="AD47" s="47" t="str">
        <f t="shared" si="4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2" t="str">
        <f>IFERROR((($F47*AE47)/SingleEndAssumption),"")</f>
        <v/>
      </c>
      <c r="AH47" s="43" t="str">
        <f>IFERROR((($F47*AF47)/SingleEndAssumption),"")</f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46" t="str">
        <f t="shared" si="5"/>
        <v/>
      </c>
      <c r="AL47" s="47" t="str">
        <f t="shared" si="6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2" t="str">
        <f>IFERROR((($F47*AM47)/SingleEndAssumption),"")</f>
        <v/>
      </c>
      <c r="AP47" s="43" t="str">
        <f>IFERROR((($F47*AN47)/SingleEndAssumption),"")</f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46" t="str">
        <f t="shared" si="7"/>
        <v/>
      </c>
      <c r="AT47" s="47" t="str">
        <f t="shared" si="8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2" t="str">
        <f>IFERROR((($F47*AU47)/SingleEndAssumption),"")</f>
        <v/>
      </c>
      <c r="AX47" s="43" t="str">
        <f>IFERROR((($F47*AV47)/SingleEndAssumption),"")</f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>IFERROR((($F48*G48)/SingleEndAssumption),"")</f>
        <v/>
      </c>
      <c r="J48" s="43" t="str">
        <f>IFERROR((($F48*H48)/SingleEndAssumption),"")</f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0"/>
        <v/>
      </c>
      <c r="N48" s="47" t="str">
        <f t="shared" si="0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2" t="str">
        <f>IFERROR((($F48*O48)/SingleEndAssumption),"")</f>
        <v/>
      </c>
      <c r="R48" s="43" t="str">
        <f>IFERROR((($F48*P48)/SingleEndAssumption),"")</f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1"/>
        <v/>
      </c>
      <c r="V48" s="47" t="str">
        <f t="shared" si="2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2" t="str">
        <f>IFERROR((($F48*W48)/SingleEndAssumption),"")</f>
        <v/>
      </c>
      <c r="Z48" s="43" t="str">
        <f>IFERROR((($F48*X48)/SingleEndAssumption),"")</f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46" t="str">
        <f t="shared" si="3"/>
        <v/>
      </c>
      <c r="AD48" s="47" t="str">
        <f t="shared" si="4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2" t="str">
        <f>IFERROR((($F48*AE48)/SingleEndAssumption),"")</f>
        <v/>
      </c>
      <c r="AH48" s="43" t="str">
        <f>IFERROR((($F48*AF48)/SingleEndAssumption),"")</f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46" t="str">
        <f t="shared" si="5"/>
        <v/>
      </c>
      <c r="AL48" s="47" t="str">
        <f t="shared" si="6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2" t="str">
        <f>IFERROR((($F48*AM48)/SingleEndAssumption),"")</f>
        <v/>
      </c>
      <c r="AP48" s="43" t="str">
        <f>IFERROR((($F48*AN48)/SingleEndAssumption),"")</f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46" t="str">
        <f t="shared" si="7"/>
        <v/>
      </c>
      <c r="AT48" s="47" t="str">
        <f t="shared" si="8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2" t="str">
        <f>IFERROR((($F48*AU48)/SingleEndAssumption),"")</f>
        <v/>
      </c>
      <c r="AX48" s="43" t="str">
        <f>IFERROR((($F48*AV48)/SingleEndAssumption),"")</f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>IFERROR((($F49*G49)/SingleEndAssumption),"")</f>
        <v/>
      </c>
      <c r="J49" s="43" t="str">
        <f>IFERROR((($F49*H49)/SingleEndAssumption),"")</f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0"/>
        <v/>
      </c>
      <c r="N49" s="47" t="str">
        <f t="shared" si="0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2" t="str">
        <f>IFERROR((($F49*O49)/SingleEndAssumption),"")</f>
        <v/>
      </c>
      <c r="R49" s="43" t="str">
        <f>IFERROR((($F49*P49)/SingleEndAssumption),"")</f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1"/>
        <v/>
      </c>
      <c r="V49" s="47" t="str">
        <f t="shared" si="2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2" t="str">
        <f>IFERROR((($F49*W49)/SingleEndAssumption),"")</f>
        <v/>
      </c>
      <c r="Z49" s="43" t="str">
        <f>IFERROR((($F49*X49)/SingleEndAssumption),"")</f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46" t="str">
        <f t="shared" si="3"/>
        <v/>
      </c>
      <c r="AD49" s="47" t="str">
        <f t="shared" si="4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2" t="str">
        <f>IFERROR((($F49*AE49)/SingleEndAssumption),"")</f>
        <v/>
      </c>
      <c r="AH49" s="43" t="str">
        <f>IFERROR((($F49*AF49)/SingleEndAssumption),"")</f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46" t="str">
        <f t="shared" si="5"/>
        <v/>
      </c>
      <c r="AL49" s="47" t="str">
        <f t="shared" si="6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2" t="str">
        <f>IFERROR((($F49*AM49)/SingleEndAssumption),"")</f>
        <v/>
      </c>
      <c r="AP49" s="43" t="str">
        <f>IFERROR((($F49*AN49)/SingleEndAssumption),"")</f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46" t="str">
        <f t="shared" si="7"/>
        <v/>
      </c>
      <c r="AT49" s="47" t="str">
        <f t="shared" si="8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2" t="str">
        <f>IFERROR((($F49*AU49)/SingleEndAssumption),"")</f>
        <v/>
      </c>
      <c r="AX49" s="43" t="str">
        <f>IFERROR((($F49*AV49)/SingleEndAssumption),"")</f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>IFERROR((($F50*G50)/SingleEndAssumption),"")</f>
        <v/>
      </c>
      <c r="J50" s="43" t="str">
        <f>IFERROR((($F50*H50)/SingleEndAssumption),"")</f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0"/>
        <v/>
      </c>
      <c r="N50" s="47" t="str">
        <f t="shared" si="0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2" t="str">
        <f>IFERROR((($F50*O50)/SingleEndAssumption),"")</f>
        <v/>
      </c>
      <c r="R50" s="43" t="str">
        <f>IFERROR((($F50*P50)/SingleEndAssumption),"")</f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1"/>
        <v/>
      </c>
      <c r="V50" s="47" t="str">
        <f t="shared" si="2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2" t="str">
        <f>IFERROR((($F50*W50)/SingleEndAssumption),"")</f>
        <v/>
      </c>
      <c r="Z50" s="43" t="str">
        <f>IFERROR((($F50*X50)/SingleEndAssumption),"")</f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46" t="str">
        <f t="shared" si="3"/>
        <v/>
      </c>
      <c r="AD50" s="47" t="str">
        <f t="shared" si="4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2" t="str">
        <f>IFERROR((($F50*AE50)/SingleEndAssumption),"")</f>
        <v/>
      </c>
      <c r="AH50" s="43" t="str">
        <f>IFERROR((($F50*AF50)/SingleEndAssumption),"")</f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46" t="str">
        <f t="shared" si="5"/>
        <v/>
      </c>
      <c r="AL50" s="47" t="str">
        <f t="shared" si="6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2" t="str">
        <f>IFERROR((($F50*AM50)/SingleEndAssumption),"")</f>
        <v/>
      </c>
      <c r="AP50" s="43" t="str">
        <f>IFERROR((($F50*AN50)/SingleEndAssumption),"")</f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46" t="str">
        <f t="shared" si="7"/>
        <v/>
      </c>
      <c r="AT50" s="47" t="str">
        <f t="shared" si="8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2" t="str">
        <f>IFERROR((($F50*AU50)/SingleEndAssumption),"")</f>
        <v/>
      </c>
      <c r="AX50" s="43" t="str">
        <f>IFERROR((($F50*AV50)/SingleEndAssumption),"")</f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0.78202761437908486</v>
      </c>
      <c r="J52" s="53">
        <f>SUM(J3:J50)</f>
        <v>0.94142811534648374</v>
      </c>
      <c r="M52" s="53">
        <f>SUM(M3:M50)</f>
        <v>0</v>
      </c>
      <c r="N52" s="53">
        <f>SUM(N3:N50)</f>
        <v>1.8129803138130385</v>
      </c>
      <c r="Q52" s="53">
        <f>SUM(Q3:Q50)</f>
        <v>0</v>
      </c>
      <c r="R52" s="53">
        <f>SUM(R3:R50)</f>
        <v>1.7030516806155105</v>
      </c>
      <c r="U52" s="53">
        <f>SUM(U3:U50)</f>
        <v>0</v>
      </c>
      <c r="V52" s="53">
        <f>SUM(V3:V50)</f>
        <v>1.7471558609833171</v>
      </c>
      <c r="Y52" s="53">
        <f>SUM(Y3:Y50)</f>
        <v>0</v>
      </c>
      <c r="Z52" s="53">
        <f>SUM(Z3:Z50)</f>
        <v>0.8505471138071895</v>
      </c>
      <c r="AC52" s="53">
        <f>SUM(AC3:AC50)</f>
        <v>0</v>
      </c>
      <c r="AD52" s="53">
        <f>SUM(AD3:AD50)</f>
        <v>0.89503545856150268</v>
      </c>
      <c r="AG52" s="53">
        <f>SUM(AG3:AG50)</f>
        <v>0</v>
      </c>
      <c r="AH52" s="53">
        <f>SUM(AH3:AH50)</f>
        <v>0.81645039927832253</v>
      </c>
      <c r="AK52" s="53">
        <f>SUM(AK3:AK50)</f>
        <v>0</v>
      </c>
      <c r="AL52" s="53">
        <f>SUM(AL3:AL50)</f>
        <v>0.12161953129600189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1:F50 D3:E30">
    <cfRule type="expression" dxfId="1808" priority="134" stopIfTrue="1">
      <formula>#REF!="DLN"</formula>
    </cfRule>
  </conditionalFormatting>
  <conditionalFormatting sqref="D3:E50">
    <cfRule type="expression" dxfId="1807" priority="133" stopIfTrue="1">
      <formula>#REF!="DLN"</formula>
    </cfRule>
  </conditionalFormatting>
  <conditionalFormatting sqref="L3:L50">
    <cfRule type="expression" dxfId="1806" priority="132" stopIfTrue="1">
      <formula>#REF!="DLN"</formula>
    </cfRule>
  </conditionalFormatting>
  <conditionalFormatting sqref="L3:L50">
    <cfRule type="expression" dxfId="1805" priority="131" stopIfTrue="1">
      <formula>#REF!="DLN"</formula>
    </cfRule>
  </conditionalFormatting>
  <conditionalFormatting sqref="T3:T50">
    <cfRule type="expression" dxfId="1804" priority="130" stopIfTrue="1">
      <formula>#REF!="DLN"</formula>
    </cfRule>
  </conditionalFormatting>
  <conditionalFormatting sqref="T3:T50">
    <cfRule type="expression" dxfId="1803" priority="129" stopIfTrue="1">
      <formula>#REF!="DLN"</formula>
    </cfRule>
  </conditionalFormatting>
  <conditionalFormatting sqref="X3:X50">
    <cfRule type="expression" dxfId="1802" priority="128" stopIfTrue="1">
      <formula>#REF!="DLN"</formula>
    </cfRule>
  </conditionalFormatting>
  <conditionalFormatting sqref="X3:X50">
    <cfRule type="expression" dxfId="1801" priority="127" stopIfTrue="1">
      <formula>#REF!="DLN"</formula>
    </cfRule>
  </conditionalFormatting>
  <conditionalFormatting sqref="G2">
    <cfRule type="expression" dxfId="1800" priority="126" stopIfTrue="1">
      <formula>#REF!="DLN"</formula>
    </cfRule>
  </conditionalFormatting>
  <conditionalFormatting sqref="G2">
    <cfRule type="expression" dxfId="1799" priority="125" stopIfTrue="1">
      <formula>#REF!="DLN"</formula>
    </cfRule>
  </conditionalFormatting>
  <conditionalFormatting sqref="K2">
    <cfRule type="expression" dxfId="1798" priority="124" stopIfTrue="1">
      <formula>#REF!="DLN"</formula>
    </cfRule>
  </conditionalFormatting>
  <conditionalFormatting sqref="K2">
    <cfRule type="expression" dxfId="1797" priority="123" stopIfTrue="1">
      <formula>#REF!="DLN"</formula>
    </cfRule>
  </conditionalFormatting>
  <conditionalFormatting sqref="O2">
    <cfRule type="expression" dxfId="1796" priority="122" stopIfTrue="1">
      <formula>#REF!="DLN"</formula>
    </cfRule>
  </conditionalFormatting>
  <conditionalFormatting sqref="O2">
    <cfRule type="expression" dxfId="1795" priority="121" stopIfTrue="1">
      <formula>#REF!="DLN"</formula>
    </cfRule>
  </conditionalFormatting>
  <conditionalFormatting sqref="S2">
    <cfRule type="expression" dxfId="1794" priority="120" stopIfTrue="1">
      <formula>#REF!="DLN"</formula>
    </cfRule>
  </conditionalFormatting>
  <conditionalFormatting sqref="S2">
    <cfRule type="expression" dxfId="1793" priority="119" stopIfTrue="1">
      <formula>#REF!="DLN"</formula>
    </cfRule>
  </conditionalFormatting>
  <conditionalFormatting sqref="W2">
    <cfRule type="expression" dxfId="1792" priority="118" stopIfTrue="1">
      <formula>#REF!="DLN"</formula>
    </cfRule>
  </conditionalFormatting>
  <conditionalFormatting sqref="W2">
    <cfRule type="expression" dxfId="1791" priority="117" stopIfTrue="1">
      <formula>#REF!="DLN"</formula>
    </cfRule>
  </conditionalFormatting>
  <conditionalFormatting sqref="AF3:AF50">
    <cfRule type="expression" dxfId="1790" priority="69" stopIfTrue="1">
      <formula>#REF!="DLN"</formula>
    </cfRule>
  </conditionalFormatting>
  <conditionalFormatting sqref="W3:W50">
    <cfRule type="expression" dxfId="1789" priority="116" stopIfTrue="1">
      <formula>#REF!="DLN"</formula>
    </cfRule>
  </conditionalFormatting>
  <conditionalFormatting sqref="W3:W50">
    <cfRule type="expression" dxfId="1788" priority="115" stopIfTrue="1">
      <formula>#REF!="DLN"</formula>
    </cfRule>
  </conditionalFormatting>
  <conditionalFormatting sqref="S3:S50">
    <cfRule type="expression" dxfId="1787" priority="114" stopIfTrue="1">
      <formula>#REF!="DLN"</formula>
    </cfRule>
  </conditionalFormatting>
  <conditionalFormatting sqref="S3:S50">
    <cfRule type="expression" dxfId="1786" priority="113" stopIfTrue="1">
      <formula>#REF!="DLN"</formula>
    </cfRule>
  </conditionalFormatting>
  <conditionalFormatting sqref="K3:K50">
    <cfRule type="expression" dxfId="1785" priority="112" stopIfTrue="1">
      <formula>#REF!="DLN"</formula>
    </cfRule>
  </conditionalFormatting>
  <conditionalFormatting sqref="K3:K50">
    <cfRule type="expression" dxfId="1784" priority="111" stopIfTrue="1">
      <formula>#REF!="DLN"</formula>
    </cfRule>
  </conditionalFormatting>
  <conditionalFormatting sqref="AF3:AF50">
    <cfRule type="expression" dxfId="1783" priority="70" stopIfTrue="1">
      <formula>#REF!="DLN"</formula>
    </cfRule>
  </conditionalFormatting>
  <conditionalFormatting sqref="J52">
    <cfRule type="cellIs" dxfId="1782" priority="107" stopIfTrue="1" operator="greaterThanOrEqual">
      <formula>0.801</formula>
    </cfRule>
    <cfRule type="cellIs" dxfId="1781" priority="108" stopIfTrue="1" operator="between">
      <formula>0.61</formula>
      <formula>0.8</formula>
    </cfRule>
    <cfRule type="cellIs" dxfId="1780" priority="109" stopIfTrue="1" operator="between">
      <formula>0</formula>
      <formula>0.6</formula>
    </cfRule>
  </conditionalFormatting>
  <conditionalFormatting sqref="J52">
    <cfRule type="expression" dxfId="1779" priority="110" stopIfTrue="1">
      <formula>#REF!="DLN"</formula>
    </cfRule>
  </conditionalFormatting>
  <conditionalFormatting sqref="I52">
    <cfRule type="cellIs" dxfId="1778" priority="103" stopIfTrue="1" operator="greaterThanOrEqual">
      <formula>0.801</formula>
    </cfRule>
    <cfRule type="cellIs" dxfId="1777" priority="104" stopIfTrue="1" operator="between">
      <formula>0.61</formula>
      <formula>0.8</formula>
    </cfRule>
    <cfRule type="cellIs" dxfId="1776" priority="105" stopIfTrue="1" operator="between">
      <formula>0</formula>
      <formula>0.6</formula>
    </cfRule>
  </conditionalFormatting>
  <conditionalFormatting sqref="I52">
    <cfRule type="expression" dxfId="1775" priority="106" stopIfTrue="1">
      <formula>#REF!="DLN"</formula>
    </cfRule>
  </conditionalFormatting>
  <conditionalFormatting sqref="M52:N52">
    <cfRule type="cellIs" dxfId="1774" priority="99" stopIfTrue="1" operator="greaterThanOrEqual">
      <formula>0.801</formula>
    </cfRule>
    <cfRule type="cellIs" dxfId="1773" priority="100" stopIfTrue="1" operator="between">
      <formula>0.61</formula>
      <formula>0.8</formula>
    </cfRule>
    <cfRule type="cellIs" dxfId="1772" priority="101" stopIfTrue="1" operator="between">
      <formula>0</formula>
      <formula>0.6</formula>
    </cfRule>
  </conditionalFormatting>
  <conditionalFormatting sqref="M52:N52">
    <cfRule type="expression" dxfId="1771" priority="102" stopIfTrue="1">
      <formula>#REF!="DLN"</formula>
    </cfRule>
  </conditionalFormatting>
  <conditionalFormatting sqref="Q52:R52">
    <cfRule type="cellIs" dxfId="1770" priority="95" stopIfTrue="1" operator="greaterThanOrEqual">
      <formula>0.801</formula>
    </cfRule>
    <cfRule type="cellIs" dxfId="1769" priority="96" stopIfTrue="1" operator="between">
      <formula>0.61</formula>
      <formula>0.8</formula>
    </cfRule>
    <cfRule type="cellIs" dxfId="1768" priority="97" stopIfTrue="1" operator="between">
      <formula>0</formula>
      <formula>0.6</formula>
    </cfRule>
  </conditionalFormatting>
  <conditionalFormatting sqref="Q52:R52">
    <cfRule type="expression" dxfId="1767" priority="98" stopIfTrue="1">
      <formula>#REF!="DLN"</formula>
    </cfRule>
  </conditionalFormatting>
  <conditionalFormatting sqref="U52:V52">
    <cfRule type="cellIs" dxfId="1766" priority="91" stopIfTrue="1" operator="greaterThanOrEqual">
      <formula>0.801</formula>
    </cfRule>
    <cfRule type="cellIs" dxfId="1765" priority="92" stopIfTrue="1" operator="between">
      <formula>0.61</formula>
      <formula>0.8</formula>
    </cfRule>
    <cfRule type="cellIs" dxfId="1764" priority="93" stopIfTrue="1" operator="between">
      <formula>0</formula>
      <formula>0.6</formula>
    </cfRule>
  </conditionalFormatting>
  <conditionalFormatting sqref="U52:V52">
    <cfRule type="expression" dxfId="1763" priority="94" stopIfTrue="1">
      <formula>#REF!="DLN"</formula>
    </cfRule>
  </conditionalFormatting>
  <conditionalFormatting sqref="Y52:Z52">
    <cfRule type="cellIs" dxfId="1762" priority="87" stopIfTrue="1" operator="greaterThanOrEqual">
      <formula>0.801</formula>
    </cfRule>
    <cfRule type="cellIs" dxfId="1761" priority="88" stopIfTrue="1" operator="between">
      <formula>0.61</formula>
      <formula>0.8</formula>
    </cfRule>
    <cfRule type="cellIs" dxfId="1760" priority="89" stopIfTrue="1" operator="between">
      <formula>0</formula>
      <formula>0.6</formula>
    </cfRule>
  </conditionalFormatting>
  <conditionalFormatting sqref="Y52:Z52">
    <cfRule type="expression" dxfId="1759" priority="90" stopIfTrue="1">
      <formula>#REF!="DLN"</formula>
    </cfRule>
  </conditionalFormatting>
  <conditionalFormatting sqref="AC52:AD52">
    <cfRule type="cellIs" dxfId="1758" priority="83" stopIfTrue="1" operator="greaterThanOrEqual">
      <formula>0.801</formula>
    </cfRule>
    <cfRule type="cellIs" dxfId="1757" priority="84" stopIfTrue="1" operator="between">
      <formula>0.61</formula>
      <formula>0.8</formula>
    </cfRule>
    <cfRule type="cellIs" dxfId="1756" priority="85" stopIfTrue="1" operator="between">
      <formula>0</formula>
      <formula>0.6</formula>
    </cfRule>
  </conditionalFormatting>
  <conditionalFormatting sqref="AC52:AD52">
    <cfRule type="expression" dxfId="1755" priority="86" stopIfTrue="1">
      <formula>#REF!="DLN"</formula>
    </cfRule>
  </conditionalFormatting>
  <conditionalFormatting sqref="G3:G50">
    <cfRule type="expression" dxfId="1754" priority="81" stopIfTrue="1">
      <formula>#REF!="DLN"</formula>
    </cfRule>
  </conditionalFormatting>
  <conditionalFormatting sqref="G3:G50">
    <cfRule type="expression" dxfId="1753" priority="82" stopIfTrue="1">
      <formula>#REF!="DLN"</formula>
    </cfRule>
  </conditionalFormatting>
  <conditionalFormatting sqref="P3:P50">
    <cfRule type="expression" dxfId="1752" priority="80" stopIfTrue="1">
      <formula>#REF!="DLN"</formula>
    </cfRule>
  </conditionalFormatting>
  <conditionalFormatting sqref="P3:P50">
    <cfRule type="expression" dxfId="1751" priority="79" stopIfTrue="1">
      <formula>#REF!="DLN"</formula>
    </cfRule>
  </conditionalFormatting>
  <conditionalFormatting sqref="O3:O50">
    <cfRule type="expression" dxfId="1750" priority="78" stopIfTrue="1">
      <formula>#REF!="DLN"</formula>
    </cfRule>
  </conditionalFormatting>
  <conditionalFormatting sqref="O3:O50">
    <cfRule type="expression" dxfId="1749" priority="77" stopIfTrue="1">
      <formula>#REF!="DLN"</formula>
    </cfRule>
  </conditionalFormatting>
  <conditionalFormatting sqref="H3:H50">
    <cfRule type="expression" dxfId="1748" priority="76" stopIfTrue="1">
      <formula>#REF!="DLN"</formula>
    </cfRule>
  </conditionalFormatting>
  <conditionalFormatting sqref="H3:H50">
    <cfRule type="expression" dxfId="1747" priority="75" stopIfTrue="1">
      <formula>#REF!="DLN"</formula>
    </cfRule>
  </conditionalFormatting>
  <conditionalFormatting sqref="A31:A50">
    <cfRule type="expression" dxfId="1744" priority="72" stopIfTrue="1">
      <formula>#REF!="DLN"</formula>
    </cfRule>
  </conditionalFormatting>
  <conditionalFormatting sqref="A31:A50">
    <cfRule type="expression" dxfId="1743" priority="71" stopIfTrue="1">
      <formula>#REF!="DLN"</formula>
    </cfRule>
  </conditionalFormatting>
  <conditionalFormatting sqref="AE2">
    <cfRule type="expression" dxfId="1742" priority="68" stopIfTrue="1">
      <formula>#REF!="DLN"</formula>
    </cfRule>
  </conditionalFormatting>
  <conditionalFormatting sqref="AE2">
    <cfRule type="expression" dxfId="1741" priority="67" stopIfTrue="1">
      <formula>#REF!="DLN"</formula>
    </cfRule>
  </conditionalFormatting>
  <conditionalFormatting sqref="AE3:AE50">
    <cfRule type="expression" dxfId="1740" priority="66" stopIfTrue="1">
      <formula>#REF!="DLN"</formula>
    </cfRule>
  </conditionalFormatting>
  <conditionalFormatting sqref="AE3:AE50">
    <cfRule type="expression" dxfId="1739" priority="65" stopIfTrue="1">
      <formula>#REF!="DLN"</formula>
    </cfRule>
  </conditionalFormatting>
  <conditionalFormatting sqref="AG52:AH52">
    <cfRule type="cellIs" dxfId="1738" priority="61" stopIfTrue="1" operator="greaterThanOrEqual">
      <formula>0.801</formula>
    </cfRule>
    <cfRule type="cellIs" dxfId="1737" priority="62" stopIfTrue="1" operator="between">
      <formula>0.61</formula>
      <formula>0.8</formula>
    </cfRule>
    <cfRule type="cellIs" dxfId="1736" priority="63" stopIfTrue="1" operator="between">
      <formula>0</formula>
      <formula>0.6</formula>
    </cfRule>
  </conditionalFormatting>
  <conditionalFormatting sqref="AG52:AH52">
    <cfRule type="expression" dxfId="1735" priority="64" stopIfTrue="1">
      <formula>#REF!="DLN"</formula>
    </cfRule>
  </conditionalFormatting>
  <conditionalFormatting sqref="AK52:AL52">
    <cfRule type="cellIs" dxfId="1734" priority="57" stopIfTrue="1" operator="greaterThanOrEqual">
      <formula>0.801</formula>
    </cfRule>
    <cfRule type="cellIs" dxfId="1733" priority="58" stopIfTrue="1" operator="between">
      <formula>0.61</formula>
      <formula>0.8</formula>
    </cfRule>
    <cfRule type="cellIs" dxfId="1732" priority="59" stopIfTrue="1" operator="between">
      <formula>0</formula>
      <formula>0.6</formula>
    </cfRule>
  </conditionalFormatting>
  <conditionalFormatting sqref="AK52:AL52">
    <cfRule type="expression" dxfId="1731" priority="60" stopIfTrue="1">
      <formula>#REF!="DLN"</formula>
    </cfRule>
  </conditionalFormatting>
  <conditionalFormatting sqref="AN3:AN50">
    <cfRule type="expression" dxfId="1730" priority="56" stopIfTrue="1">
      <formula>#REF!="DLN"</formula>
    </cfRule>
  </conditionalFormatting>
  <conditionalFormatting sqref="AN3:AN50">
    <cfRule type="expression" dxfId="1729" priority="55" stopIfTrue="1">
      <formula>#REF!="DLN"</formula>
    </cfRule>
  </conditionalFormatting>
  <conditionalFormatting sqref="AM2">
    <cfRule type="expression" dxfId="1728" priority="54" stopIfTrue="1">
      <formula>#REF!="DLN"</formula>
    </cfRule>
  </conditionalFormatting>
  <conditionalFormatting sqref="AM2">
    <cfRule type="expression" dxfId="1727" priority="53" stopIfTrue="1">
      <formula>#REF!="DLN"</formula>
    </cfRule>
  </conditionalFormatting>
  <conditionalFormatting sqref="AM3:AM50">
    <cfRule type="expression" dxfId="1726" priority="52" stopIfTrue="1">
      <formula>#REF!="DLN"</formula>
    </cfRule>
  </conditionalFormatting>
  <conditionalFormatting sqref="AM3:AM50">
    <cfRule type="expression" dxfId="1725" priority="51" stopIfTrue="1">
      <formula>#REF!="DLN"</formula>
    </cfRule>
  </conditionalFormatting>
  <conditionalFormatting sqref="AO52:AP52">
    <cfRule type="cellIs" dxfId="1724" priority="47" stopIfTrue="1" operator="greaterThanOrEqual">
      <formula>0.801</formula>
    </cfRule>
    <cfRule type="cellIs" dxfId="1723" priority="48" stopIfTrue="1" operator="between">
      <formula>0.61</formula>
      <formula>0.8</formula>
    </cfRule>
    <cfRule type="cellIs" dxfId="1722" priority="49" stopIfTrue="1" operator="between">
      <formula>0</formula>
      <formula>0.6</formula>
    </cfRule>
  </conditionalFormatting>
  <conditionalFormatting sqref="AO52:AP52">
    <cfRule type="expression" dxfId="1721" priority="50" stopIfTrue="1">
      <formula>#REF!="DLN"</formula>
    </cfRule>
  </conditionalFormatting>
  <conditionalFormatting sqref="AS52:AT52">
    <cfRule type="cellIs" dxfId="1720" priority="43" stopIfTrue="1" operator="greaterThanOrEqual">
      <formula>0.801</formula>
    </cfRule>
    <cfRule type="cellIs" dxfId="1719" priority="44" stopIfTrue="1" operator="between">
      <formula>0.61</formula>
      <formula>0.8</formula>
    </cfRule>
    <cfRule type="cellIs" dxfId="1718" priority="45" stopIfTrue="1" operator="between">
      <formula>0</formula>
      <formula>0.6</formula>
    </cfRule>
  </conditionalFormatting>
  <conditionalFormatting sqref="AS52:AT52">
    <cfRule type="expression" dxfId="1717" priority="46" stopIfTrue="1">
      <formula>#REF!="DLN"</formula>
    </cfRule>
  </conditionalFormatting>
  <conditionalFormatting sqref="AV3:AV50">
    <cfRule type="expression" dxfId="1716" priority="42" stopIfTrue="1">
      <formula>#REF!="DLN"</formula>
    </cfRule>
  </conditionalFormatting>
  <conditionalFormatting sqref="AV3:AV50">
    <cfRule type="expression" dxfId="1715" priority="41" stopIfTrue="1">
      <formula>#REF!="DLN"</formula>
    </cfRule>
  </conditionalFormatting>
  <conditionalFormatting sqref="AU2">
    <cfRule type="expression" dxfId="1714" priority="40" stopIfTrue="1">
      <formula>#REF!="DLN"</formula>
    </cfRule>
  </conditionalFormatting>
  <conditionalFormatting sqref="AU2">
    <cfRule type="expression" dxfId="1713" priority="39" stopIfTrue="1">
      <formula>#REF!="DLN"</formula>
    </cfRule>
  </conditionalFormatting>
  <conditionalFormatting sqref="AU3:AU50">
    <cfRule type="expression" dxfId="1712" priority="38" stopIfTrue="1">
      <formula>#REF!="DLN"</formula>
    </cfRule>
  </conditionalFormatting>
  <conditionalFormatting sqref="AU3:AU50">
    <cfRule type="expression" dxfId="1711" priority="37" stopIfTrue="1">
      <formula>#REF!="DLN"</formula>
    </cfRule>
  </conditionalFormatting>
  <conditionalFormatting sqref="AW52:AX52">
    <cfRule type="cellIs" dxfId="1710" priority="33" stopIfTrue="1" operator="greaterThanOrEqual">
      <formula>0.801</formula>
    </cfRule>
    <cfRule type="cellIs" dxfId="1709" priority="34" stopIfTrue="1" operator="between">
      <formula>0.61</formula>
      <formula>0.8</formula>
    </cfRule>
    <cfRule type="cellIs" dxfId="1708" priority="35" stopIfTrue="1" operator="between">
      <formula>0</formula>
      <formula>0.6</formula>
    </cfRule>
  </conditionalFormatting>
  <conditionalFormatting sqref="AW52:AX52">
    <cfRule type="expression" dxfId="1707" priority="36" stopIfTrue="1">
      <formula>#REF!="DLN"</formula>
    </cfRule>
  </conditionalFormatting>
  <conditionalFormatting sqref="F3:F7">
    <cfRule type="expression" dxfId="1691" priority="17" stopIfTrue="1">
      <formula>#REF!="DLN"</formula>
    </cfRule>
  </conditionalFormatting>
  <conditionalFormatting sqref="F3:F7">
    <cfRule type="expression" dxfId="1690" priority="16" stopIfTrue="1">
      <formula>#REF!="DLN"</formula>
    </cfRule>
  </conditionalFormatting>
  <conditionalFormatting sqref="F8">
    <cfRule type="expression" dxfId="1689" priority="12" stopIfTrue="1">
      <formula>#REF!="DLN"</formula>
    </cfRule>
  </conditionalFormatting>
  <conditionalFormatting sqref="F8">
    <cfRule type="expression" dxfId="1688" priority="11" stopIfTrue="1">
      <formula>#REF!="DLN"</formula>
    </cfRule>
  </conditionalFormatting>
  <conditionalFormatting sqref="F29:F30">
    <cfRule type="expression" dxfId="1684" priority="9" stopIfTrue="1">
      <formula>#REF!="DLN"</formula>
    </cfRule>
  </conditionalFormatting>
  <conditionalFormatting sqref="F29:F30">
    <cfRule type="expression" dxfId="1683" priority="10" stopIfTrue="1">
      <formula>#REF!="DLN"</formula>
    </cfRule>
  </conditionalFormatting>
  <conditionalFormatting sqref="F17:F18">
    <cfRule type="expression" dxfId="1681" priority="7" stopIfTrue="1">
      <formula>#REF!="DLN"</formula>
    </cfRule>
  </conditionalFormatting>
  <conditionalFormatting sqref="F21:F22">
    <cfRule type="expression" dxfId="1680" priority="6" stopIfTrue="1">
      <formula>#REF!="DLN"</formula>
    </cfRule>
  </conditionalFormatting>
  <conditionalFormatting sqref="F25:F28">
    <cfRule type="expression" dxfId="1679" priority="4" stopIfTrue="1">
      <formula>#REF!="DLN"</formula>
    </cfRule>
  </conditionalFormatting>
  <conditionalFormatting sqref="F25:F28">
    <cfRule type="expression" dxfId="1678" priority="5" stopIfTrue="1">
      <formula>#REF!="DLN"</formula>
    </cfRule>
  </conditionalFormatting>
  <conditionalFormatting sqref="F9:F16">
    <cfRule type="expression" dxfId="1677" priority="3" stopIfTrue="1">
      <formula>#REF!="DLN"</formula>
    </cfRule>
  </conditionalFormatting>
  <conditionalFormatting sqref="F19:F20">
    <cfRule type="expression" dxfId="1676" priority="2" stopIfTrue="1">
      <formula>#REF!="DLN"</formula>
    </cfRule>
  </conditionalFormatting>
  <conditionalFormatting sqref="F23:F24">
    <cfRule type="expression" dxfId="1675" priority="1" stopIfTrue="1">
      <formula>#REF!="DLN"</formula>
    </cfRule>
  </conditionalFormatting>
  <dataValidations count="1">
    <dataValidation type="list" allowBlank="1" showInputMessage="1" showErrorMessage="1" sqref="A3:A50" xr:uid="{28196CB5-9D2E-46BD-A286-86D747A02622}">
      <formula1>INDIRECT(B3)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2ADB2C-8D1B-4C74-8397-EDF25DECEB1C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47E7-D705-484A-8519-8C12D373089D}">
  <sheetPr codeName="Sheet11"/>
  <dimension ref="A1:AX84"/>
  <sheetViews>
    <sheetView workbookViewId="0">
      <selection activeCell="J3" sqref="J3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93" t="s">
        <v>155</v>
      </c>
      <c r="B3" s="24" t="s">
        <v>378</v>
      </c>
      <c r="C3" s="20" t="str">
        <f>IFERROR(VLOOKUP(A3,'Parts List and Volumes'!C2:D194,2,FALSE),"")</f>
        <v>NBAA3543AAF20</v>
      </c>
      <c r="D3" s="39" t="str">
        <f>IFERROR(IF(VLOOKUP($A3,'Parts List and Volumes'!$C2:$F266,3,FALSE)=0,"",VLOOKUP(A3,'Parts List and Volumes'!C2:F266,3,FALSE)),"")</f>
        <v/>
      </c>
      <c r="E3" s="39" t="str">
        <f>IFERROR(IF(VLOOKUP($A3,'Parts List and Volumes'!$C2:$F266,4,FALSE)=0,"",VLOOKUP(B3,'Parts List and Volumes'!D2:G266,3,FALSE)),"")</f>
        <v/>
      </c>
      <c r="F3" s="25">
        <v>28</v>
      </c>
      <c r="G3" s="40">
        <f>IFERROR(VLOOKUP($A3,'Parts List and Volumes'!$C$2:$W194,5,FALSE),"")</f>
        <v>16925</v>
      </c>
      <c r="H3" s="41">
        <f>IFERROR(VLOOKUP($A3,'Parts List and Volumes'!$C$2:$W194,6,FALSE),"")</f>
        <v>27863.88</v>
      </c>
      <c r="I3" s="42">
        <f t="shared" ref="I3:J50" si="0">IFERROR((($F3*G3)/FourHeadAssumption),"")</f>
        <v>3.4880468703998115E-2</v>
      </c>
      <c r="J3" s="43">
        <f t="shared" si="0"/>
        <v>5.7424236000706591E-2</v>
      </c>
      <c r="K3" s="44">
        <f>IFERROR(VLOOKUP($A3,'Parts List and Volumes'!$C$2:$W194,7,FALSE),"")</f>
        <v>0</v>
      </c>
      <c r="L3" s="45">
        <f>IFERROR(VLOOKUP($A3,'Parts List and Volumes'!$C$2:$W194,8,FALSE),"")</f>
        <v>92482.676000000007</v>
      </c>
      <c r="M3" s="46">
        <f t="shared" ref="M3:N50" si="1">IFERROR((($F3*K3)/FourHeadAssumption),"")</f>
        <v>0</v>
      </c>
      <c r="N3" s="47">
        <f t="shared" si="1"/>
        <v>0.19059610551728201</v>
      </c>
      <c r="O3" s="41">
        <f>IFERROR(VLOOKUP($A3,'Parts List and Volumes'!$C$2:$W194,9,FALSE),"")</f>
        <v>0</v>
      </c>
      <c r="P3" s="41">
        <f>IFERROR(VLOOKUP($A3,'Parts List and Volumes'!$C$2:$W194,10,FALSE),"")</f>
        <v>121648.76900000001</v>
      </c>
      <c r="Q3" s="48">
        <f t="shared" ref="Q3:R50" si="2">IFERROR((($F3*O3)/FourHeadAssumption),"")</f>
        <v>0</v>
      </c>
      <c r="R3" s="43">
        <f t="shared" si="2"/>
        <v>0.2507040519931697</v>
      </c>
      <c r="S3" s="44">
        <f>IFERROR(VLOOKUP($A3,'Parts List and Volumes'!$C$2:$W194,11,FALSE),"")</f>
        <v>0</v>
      </c>
      <c r="T3" s="45">
        <f>IFERROR(VLOOKUP($A3,'Parts List and Volumes'!$C$2:$W194,12,FALSE),"")</f>
        <v>130803.80500000001</v>
      </c>
      <c r="U3" s="46">
        <f t="shared" ref="U3:V50" si="3">IFERROR((($F3*S3)/FourHeadAssumption),"")</f>
        <v>0</v>
      </c>
      <c r="V3" s="47">
        <f t="shared" si="3"/>
        <v>0.26957152299358184</v>
      </c>
      <c r="W3" s="40">
        <f>IFERROR(VLOOKUP($A3,'Parts List and Volumes'!$C$2:$W194,13,FALSE),"")</f>
        <v>0</v>
      </c>
      <c r="X3" s="41">
        <f>IFERROR(VLOOKUP($A3,'Parts List and Volumes'!$C$2:$W194,14,FALSE),"")</f>
        <v>133990.62600000002</v>
      </c>
      <c r="Y3" s="48">
        <f t="shared" ref="Y3:Z50" si="4">IFERROR((($F3*W3)/FourHeadAssumption),"")</f>
        <v>0</v>
      </c>
      <c r="Z3" s="43">
        <f t="shared" si="4"/>
        <v>0.27613919272213394</v>
      </c>
      <c r="AA3" s="49">
        <f>IFERROR(VLOOKUP($A3,'Parts List and Volumes'!$C$2:$W194,15,FALSE),"")</f>
        <v>0</v>
      </c>
      <c r="AB3" s="50">
        <f>IFERROR(VLOOKUP($A3,'Parts List and Volumes'!$C$2:$W194,16,FALSE),"")</f>
        <v>121938.26700000001</v>
      </c>
      <c r="AC3" s="51">
        <f t="shared" ref="AC3:AD50" si="5">IFERROR((($F3*AA3)/FourHeadAssumption),"")</f>
        <v>0</v>
      </c>
      <c r="AD3" s="52">
        <f t="shared" si="5"/>
        <v>0.25130067390920335</v>
      </c>
      <c r="AE3" s="40">
        <f>IFERROR(VLOOKUP($A3,'Parts List and Volumes'!$C$2:$W194,17,FALSE),"")</f>
        <v>0</v>
      </c>
      <c r="AF3" s="41">
        <f>IFERROR(VLOOKUP($A3,'Parts List and Volumes'!$C$2:$W194,18,FALSE),"")</f>
        <v>116379.57100000001</v>
      </c>
      <c r="AG3" s="48">
        <f t="shared" ref="AG3:AH50" si="6">IFERROR((($F3*AE3)/FourHeadAssumption),"")</f>
        <v>0</v>
      </c>
      <c r="AH3" s="43">
        <f t="shared" si="6"/>
        <v>0.23984484396160868</v>
      </c>
      <c r="AI3" s="49">
        <f>IFERROR(VLOOKUP($A3,'Parts List and Volumes'!$C$2:$W194,19,FALSE),"")</f>
        <v>0</v>
      </c>
      <c r="AJ3" s="50">
        <f>IFERROR(VLOOKUP($A3,'Parts List and Volumes'!$C$2:$W194,20,FALSE),"")</f>
        <v>57066</v>
      </c>
      <c r="AK3" s="51">
        <f t="shared" ref="AK3:AL50" si="7">IFERROR((($F3*AI3)/FourHeadAssumption),"")</f>
        <v>0</v>
      </c>
      <c r="AL3" s="52">
        <f t="shared" si="7"/>
        <v>0.11760642995937114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93" t="s">
        <v>181</v>
      </c>
      <c r="B4" s="24" t="s">
        <v>378</v>
      </c>
      <c r="C4" s="20" t="str">
        <f>IFERROR(VLOOKUP(A4,'Parts List and Volumes'!C3:D195,2,FALSE),"")</f>
        <v>NBAA3554AAF20</v>
      </c>
      <c r="D4" s="39" t="str">
        <f>IFERROR(IF(VLOOKUP($A4,'Parts List and Volumes'!$C3:$F266,3,FALSE)=0,"",VLOOKUP(A4,'Parts List and Volumes'!C3:F266,3,FALSE)),"")</f>
        <v/>
      </c>
      <c r="E4" s="39" t="str">
        <f>IFERROR(IF(VLOOKUP($A4,'Parts List and Volumes'!$C3:$F266,4,FALSE)=0,"",VLOOKUP(B4,'Parts List and Volumes'!D3:G266,3,FALSE)),"")</f>
        <v/>
      </c>
      <c r="F4" s="26">
        <v>31</v>
      </c>
      <c r="G4" s="40">
        <f>IFERROR(VLOOKUP($A4,'Parts List and Volumes'!$C$2:$W195,5,FALSE),"")</f>
        <v>536</v>
      </c>
      <c r="H4" s="41">
        <f>IFERROR(VLOOKUP($A4,'Parts List and Volumes'!$C$2:$W195,6,FALSE),"")</f>
        <v>2453.2200000000007</v>
      </c>
      <c r="I4" s="42">
        <f t="shared" si="0"/>
        <v>1.2229876935759289E-3</v>
      </c>
      <c r="J4" s="43">
        <f t="shared" si="0"/>
        <v>5.5974960254372031E-3</v>
      </c>
      <c r="K4" s="44">
        <f>IFERROR(VLOOKUP($A4,'Parts List and Volumes'!$C$2:$W195,7,FALSE),"")</f>
        <v>0</v>
      </c>
      <c r="L4" s="45">
        <f>IFERROR(VLOOKUP($A4,'Parts List and Volumes'!$C$2:$W195,8,FALSE),"")</f>
        <v>10965.724</v>
      </c>
      <c r="M4" s="46">
        <f t="shared" si="1"/>
        <v>0</v>
      </c>
      <c r="N4" s="47">
        <f t="shared" si="1"/>
        <v>2.5020420714832479E-2</v>
      </c>
      <c r="O4" s="41">
        <f>IFERROR(VLOOKUP($A4,'Parts List and Volumes'!$C$2:$W195,9,FALSE),"")</f>
        <v>0</v>
      </c>
      <c r="P4" s="41">
        <f>IFERROR(VLOOKUP($A4,'Parts List and Volumes'!$C$2:$W195,10,FALSE),"")</f>
        <v>15169.231000000002</v>
      </c>
      <c r="Q4" s="48">
        <f t="shared" si="2"/>
        <v>0</v>
      </c>
      <c r="R4" s="43">
        <f t="shared" si="2"/>
        <v>3.4611535138079255E-2</v>
      </c>
      <c r="S4" s="44">
        <f>IFERROR(VLOOKUP($A4,'Parts List and Volumes'!$C$2:$W195,11,FALSE),"")</f>
        <v>0</v>
      </c>
      <c r="T4" s="45">
        <f>IFERROR(VLOOKUP($A4,'Parts List and Volumes'!$C$2:$W195,12,FALSE),"")</f>
        <v>16380.595000000003</v>
      </c>
      <c r="U4" s="46">
        <f t="shared" si="3"/>
        <v>0</v>
      </c>
      <c r="V4" s="47">
        <f t="shared" si="3"/>
        <v>3.7375496452334692E-2</v>
      </c>
      <c r="W4" s="40">
        <f>IFERROR(VLOOKUP($A4,'Parts List and Volumes'!$C$2:$W195,13,FALSE),"")</f>
        <v>0</v>
      </c>
      <c r="X4" s="41">
        <f>IFERROR(VLOOKUP($A4,'Parts List and Volumes'!$C$2:$W195,14,FALSE),"")</f>
        <v>16906.274000000001</v>
      </c>
      <c r="Y4" s="48">
        <f t="shared" si="4"/>
        <v>0</v>
      </c>
      <c r="Z4" s="43">
        <f t="shared" si="4"/>
        <v>3.8574934787728908E-2</v>
      </c>
      <c r="AA4" s="49">
        <f>IFERROR(VLOOKUP($A4,'Parts List and Volumes'!$C$2:$W195,15,FALSE),"")</f>
        <v>0</v>
      </c>
      <c r="AB4" s="50">
        <f>IFERROR(VLOOKUP($A4,'Parts List and Volumes'!$C$2:$W195,16,FALSE),"")</f>
        <v>15733.333000000004</v>
      </c>
      <c r="AC4" s="51">
        <f t="shared" si="5"/>
        <v>0</v>
      </c>
      <c r="AD4" s="52">
        <f t="shared" si="5"/>
        <v>3.5898642981216519E-2</v>
      </c>
      <c r="AE4" s="40">
        <f>IFERROR(VLOOKUP($A4,'Parts List and Volumes'!$C$2:$W195,17,FALSE),"")</f>
        <v>0</v>
      </c>
      <c r="AF4" s="41">
        <f>IFERROR(VLOOKUP($A4,'Parts List and Volumes'!$C$2:$W195,18,FALSE),"")</f>
        <v>14828.429000000004</v>
      </c>
      <c r="AG4" s="48">
        <f t="shared" si="6"/>
        <v>0</v>
      </c>
      <c r="AH4" s="43">
        <f t="shared" si="6"/>
        <v>3.3833929444150042E-2</v>
      </c>
      <c r="AI4" s="49">
        <f>IFERROR(VLOOKUP($A4,'Parts List and Volumes'!$C$2:$W195,19,FALSE),"")</f>
        <v>0</v>
      </c>
      <c r="AJ4" s="50">
        <f>IFERROR(VLOOKUP($A4,'Parts List and Volumes'!$C$2:$W195,20,FALSE),"")</f>
        <v>7454</v>
      </c>
      <c r="AK4" s="51">
        <f t="shared" si="7"/>
        <v>0</v>
      </c>
      <c r="AL4" s="52">
        <f t="shared" si="7"/>
        <v>1.7007743037154802E-2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93" t="s">
        <v>179</v>
      </c>
      <c r="B5" s="24" t="s">
        <v>378</v>
      </c>
      <c r="C5" s="20" t="str">
        <f>IFERROR(VLOOKUP(A5,'Parts List and Volumes'!C4:D196,2,FALSE),"")</f>
        <v>NBAA3552AAF20</v>
      </c>
      <c r="D5" s="39" t="str">
        <f>IFERROR(IF(VLOOKUP($A5,'Parts List and Volumes'!$C4:$F266,3,FALSE)=0,"",VLOOKUP(A5,'Parts List and Volumes'!C4:F266,3,FALSE)),"")</f>
        <v/>
      </c>
      <c r="E5" s="39" t="str">
        <f>IFERROR(IF(VLOOKUP($A5,'Parts List and Volumes'!$C4:$F266,4,FALSE)=0,"",VLOOKUP(B5,'Parts List and Volumes'!D4:G266,3,FALSE)),"")</f>
        <v/>
      </c>
      <c r="F5" s="26">
        <v>60</v>
      </c>
      <c r="G5" s="40">
        <f>IFERROR(VLOOKUP($A5,'Parts List and Volumes'!$C$2:$W196,5,FALSE),"")</f>
        <v>536</v>
      </c>
      <c r="H5" s="41">
        <f>IFERROR(VLOOKUP($A5,'Parts List and Volumes'!$C$2:$W196,6,FALSE),"")</f>
        <v>2453.2200000000007</v>
      </c>
      <c r="I5" s="42">
        <f t="shared" si="0"/>
        <v>2.3670729553082496E-3</v>
      </c>
      <c r="J5" s="43">
        <f t="shared" si="0"/>
        <v>1.0833863275039749E-2</v>
      </c>
      <c r="K5" s="44">
        <f>IFERROR(VLOOKUP($A5,'Parts List and Volumes'!$C$2:$W196,7,FALSE),"")</f>
        <v>0</v>
      </c>
      <c r="L5" s="45">
        <f>IFERROR(VLOOKUP($A5,'Parts List and Volumes'!$C$2:$W196,8,FALSE),"")</f>
        <v>10965.724</v>
      </c>
      <c r="M5" s="46">
        <f t="shared" si="1"/>
        <v>0</v>
      </c>
      <c r="N5" s="47">
        <f t="shared" si="1"/>
        <v>4.8426620738385447E-2</v>
      </c>
      <c r="O5" s="41">
        <f>IFERROR(VLOOKUP($A5,'Parts List and Volumes'!$C$2:$W196,9,FALSE),"")</f>
        <v>0</v>
      </c>
      <c r="P5" s="41">
        <f>IFERROR(VLOOKUP($A5,'Parts List and Volumes'!$C$2:$W196,10,FALSE),"")</f>
        <v>15169.231000000002</v>
      </c>
      <c r="Q5" s="48">
        <f t="shared" si="2"/>
        <v>0</v>
      </c>
      <c r="R5" s="43">
        <f t="shared" si="2"/>
        <v>6.6990068009185666E-2</v>
      </c>
      <c r="S5" s="44">
        <f>IFERROR(VLOOKUP($A5,'Parts List and Volumes'!$C$2:$W196,11,FALSE),"")</f>
        <v>0</v>
      </c>
      <c r="T5" s="45">
        <f>IFERROR(VLOOKUP($A5,'Parts List and Volumes'!$C$2:$W196,12,FALSE),"")</f>
        <v>16380.595000000003</v>
      </c>
      <c r="U5" s="46">
        <f t="shared" si="3"/>
        <v>0</v>
      </c>
      <c r="V5" s="47">
        <f t="shared" si="3"/>
        <v>7.2339670552905855E-2</v>
      </c>
      <c r="W5" s="40">
        <f>IFERROR(VLOOKUP($A5,'Parts List and Volumes'!$C$2:$W196,13,FALSE),"")</f>
        <v>0</v>
      </c>
      <c r="X5" s="41">
        <f>IFERROR(VLOOKUP($A5,'Parts List and Volumes'!$C$2:$W196,14,FALSE),"")</f>
        <v>16906.274000000001</v>
      </c>
      <c r="Y5" s="48">
        <f t="shared" si="4"/>
        <v>0</v>
      </c>
      <c r="Z5" s="43">
        <f t="shared" si="4"/>
        <v>7.4661164105281758E-2</v>
      </c>
      <c r="AA5" s="49">
        <f>IFERROR(VLOOKUP($A5,'Parts List and Volumes'!$C$2:$W196,15,FALSE),"")</f>
        <v>0</v>
      </c>
      <c r="AB5" s="50">
        <f>IFERROR(VLOOKUP($A5,'Parts List and Volumes'!$C$2:$W196,16,FALSE),"")</f>
        <v>15733.333000000004</v>
      </c>
      <c r="AC5" s="51">
        <f t="shared" si="5"/>
        <v>0</v>
      </c>
      <c r="AD5" s="52">
        <f t="shared" si="5"/>
        <v>6.9481244479773913E-2</v>
      </c>
      <c r="AE5" s="40">
        <f>IFERROR(VLOOKUP($A5,'Parts List and Volumes'!$C$2:$W196,17,FALSE),"")</f>
        <v>0</v>
      </c>
      <c r="AF5" s="41">
        <f>IFERROR(VLOOKUP($A5,'Parts List and Volumes'!$C$2:$W196,18,FALSE),"")</f>
        <v>14828.429000000004</v>
      </c>
      <c r="AG5" s="48">
        <f t="shared" si="6"/>
        <v>0</v>
      </c>
      <c r="AH5" s="43">
        <f t="shared" si="6"/>
        <v>6.5485024730612976E-2</v>
      </c>
      <c r="AI5" s="49">
        <f>IFERROR(VLOOKUP($A5,'Parts List and Volumes'!$C$2:$W196,19,FALSE),"")</f>
        <v>0</v>
      </c>
      <c r="AJ5" s="50">
        <f>IFERROR(VLOOKUP($A5,'Parts List and Volumes'!$C$2:$W196,20,FALSE),"")</f>
        <v>7454</v>
      </c>
      <c r="AK5" s="51">
        <f t="shared" si="7"/>
        <v>0</v>
      </c>
      <c r="AL5" s="52">
        <f t="shared" si="7"/>
        <v>3.2918212329977034E-2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94" t="s">
        <v>171</v>
      </c>
      <c r="B6" s="24" t="s">
        <v>378</v>
      </c>
      <c r="C6" s="20" t="str">
        <f>IFERROR(VLOOKUP(A6,'Parts List and Volumes'!C5:D197,2,FALSE),"")</f>
        <v>NBAA3541AAF20</v>
      </c>
      <c r="D6" s="39" t="str">
        <f>IFERROR(IF(VLOOKUP($A6,'Parts List and Volumes'!$C5:$F266,3,FALSE)=0,"",VLOOKUP(A6,'Parts List and Volumes'!C5:F266,3,FALSE)),"")</f>
        <v/>
      </c>
      <c r="E6" s="39" t="str">
        <f>IFERROR(IF(VLOOKUP($A6,'Parts List and Volumes'!$C5:$F266,4,FALSE)=0,"",VLOOKUP(B6,'Parts List and Volumes'!D5:G266,3,FALSE)),"")</f>
        <v/>
      </c>
      <c r="F6" s="26">
        <v>21</v>
      </c>
      <c r="G6" s="40">
        <f>IFERROR(VLOOKUP($A6,'Parts List and Volumes'!$C$2:$W197,5,FALSE),"")</f>
        <v>4729</v>
      </c>
      <c r="H6" s="41">
        <f>IFERROR(VLOOKUP($A6,'Parts List and Volumes'!$C$2:$W197,6,FALSE),"")</f>
        <v>4728.9000000000005</v>
      </c>
      <c r="I6" s="42">
        <f t="shared" si="0"/>
        <v>7.3094417947359124E-3</v>
      </c>
      <c r="J6" s="43">
        <f t="shared" si="0"/>
        <v>7.309287228404876E-3</v>
      </c>
      <c r="K6" s="58">
        <f>IFERROR(VLOOKUP($A6,'Parts List and Volumes'!$C$2:$W197,7,FALSE),"")</f>
        <v>0</v>
      </c>
      <c r="L6" s="45">
        <f>IFERROR(VLOOKUP($A6,'Parts List and Volumes'!$C$2:$W197,8,FALSE),"")</f>
        <v>53204.800000000003</v>
      </c>
      <c r="M6" s="46">
        <f t="shared" si="1"/>
        <v>0</v>
      </c>
      <c r="N6" s="47">
        <f t="shared" si="1"/>
        <v>8.2236707295530828E-2</v>
      </c>
      <c r="O6" s="41">
        <f>IFERROR(VLOOKUP($A6,'Parts List and Volumes'!$C$2:$W197,9,FALSE),"")</f>
        <v>0</v>
      </c>
      <c r="P6" s="41">
        <f>IFERROR(VLOOKUP($A6,'Parts List and Volumes'!$C$2:$W197,10,FALSE),"")</f>
        <v>79885.3</v>
      </c>
      <c r="Q6" s="48">
        <f t="shared" si="2"/>
        <v>0</v>
      </c>
      <c r="R6" s="43">
        <f t="shared" si="2"/>
        <v>0.12347577724783608</v>
      </c>
      <c r="S6" s="44">
        <f>IFERROR(VLOOKUP($A6,'Parts List and Volumes'!$C$2:$W197,11,FALSE),"")</f>
        <v>0</v>
      </c>
      <c r="T6" s="45">
        <f>IFERROR(VLOOKUP($A6,'Parts List and Volumes'!$C$2:$W197,12,FALSE),"")</f>
        <v>86824.1</v>
      </c>
      <c r="U6" s="46">
        <f t="shared" si="3"/>
        <v>0</v>
      </c>
      <c r="V6" s="47">
        <f t="shared" si="3"/>
        <v>0.13420082582582582</v>
      </c>
      <c r="W6" s="40">
        <f>IFERROR(VLOOKUP($A6,'Parts List and Volumes'!$C$2:$W197,13,FALSE),"")</f>
        <v>0</v>
      </c>
      <c r="X6" s="41">
        <f>IFERROR(VLOOKUP($A6,'Parts List and Volumes'!$C$2:$W197,14,FALSE),"")</f>
        <v>90621.3</v>
      </c>
      <c r="Y6" s="48">
        <f t="shared" si="4"/>
        <v>0</v>
      </c>
      <c r="Z6" s="43">
        <f t="shared" si="4"/>
        <v>0.14007001854795972</v>
      </c>
      <c r="AA6" s="49">
        <f>IFERROR(VLOOKUP($A6,'Parts List and Volumes'!$C$2:$W197,15,FALSE),"")</f>
        <v>0</v>
      </c>
      <c r="AB6" s="50">
        <f>IFERROR(VLOOKUP($A6,'Parts List and Volumes'!$C$2:$W197,16,FALSE),"")</f>
        <v>87090.3</v>
      </c>
      <c r="AC6" s="51">
        <f t="shared" si="5"/>
        <v>0</v>
      </c>
      <c r="AD6" s="52">
        <f t="shared" si="5"/>
        <v>0.1346122813990461</v>
      </c>
      <c r="AE6" s="40">
        <f>IFERROR(VLOOKUP($A6,'Parts List and Volumes'!$C$2:$W197,17,FALSE),"")</f>
        <v>0</v>
      </c>
      <c r="AF6" s="41">
        <f>IFERROR(VLOOKUP($A6,'Parts List and Volumes'!$C$2:$W197,18,FALSE),"")</f>
        <v>80626.700000000012</v>
      </c>
      <c r="AG6" s="48">
        <f t="shared" si="6"/>
        <v>0</v>
      </c>
      <c r="AH6" s="43">
        <f t="shared" si="6"/>
        <v>0.12462173202614381</v>
      </c>
      <c r="AI6" s="49">
        <f>IFERROR(VLOOKUP($A6,'Parts List and Volumes'!$C$2:$W197,19,FALSE),"")</f>
        <v>0</v>
      </c>
      <c r="AJ6" s="50">
        <f>IFERROR(VLOOKUP($A6,'Parts List and Volumes'!$C$2:$W197,20,FALSE),"")</f>
        <v>41970</v>
      </c>
      <c r="AK6" s="51">
        <f t="shared" si="7"/>
        <v>0</v>
      </c>
      <c r="AL6" s="52">
        <f t="shared" si="7"/>
        <v>6.4871489136195018E-2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8">
        <f t="shared" si="8"/>
        <v>0</v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94" t="s">
        <v>173</v>
      </c>
      <c r="B7" s="24" t="s">
        <v>378</v>
      </c>
      <c r="C7" s="20" t="str">
        <f>IFERROR(VLOOKUP(A7,'Parts List and Volumes'!C6:D198,2,FALSE),"")</f>
        <v>NBAA3542AAF20</v>
      </c>
      <c r="D7" s="39" t="str">
        <f>IFERROR(IF(VLOOKUP($A7,'Parts List and Volumes'!$C6:$F266,3,FALSE)=0,"",VLOOKUP(A7,'Parts List and Volumes'!C6:F266,3,FALSE)),"")</f>
        <v/>
      </c>
      <c r="E7" s="39" t="str">
        <f>IFERROR(IF(VLOOKUP($A7,'Parts List and Volumes'!$C6:$F266,4,FALSE)=0,"",VLOOKUP(B7,'Parts List and Volumes'!D6:G266,3,FALSE)),"")</f>
        <v/>
      </c>
      <c r="F7" s="26">
        <v>20</v>
      </c>
      <c r="G7" s="40">
        <f>IFERROR(VLOOKUP($A7,'Parts List and Volumes'!$C$2:$W198,5,FALSE),"")</f>
        <v>4729</v>
      </c>
      <c r="H7" s="41">
        <f>IFERROR(VLOOKUP($A7,'Parts List and Volumes'!$C$2:$W198,6,FALSE),"")</f>
        <v>4728.9000000000005</v>
      </c>
      <c r="I7" s="42">
        <f t="shared" si="0"/>
        <v>6.9613731378437259E-3</v>
      </c>
      <c r="J7" s="43">
        <f t="shared" si="0"/>
        <v>6.9612259318141681E-3</v>
      </c>
      <c r="K7" s="58">
        <f>IFERROR(VLOOKUP($A7,'Parts List and Volumes'!$C$2:$W198,7,FALSE),"")</f>
        <v>0</v>
      </c>
      <c r="L7" s="45">
        <f>IFERROR(VLOOKUP($A7,'Parts List and Volumes'!$C$2:$W198,8,FALSE),"")</f>
        <v>53204.800000000003</v>
      </c>
      <c r="M7" s="46">
        <f t="shared" si="1"/>
        <v>0</v>
      </c>
      <c r="N7" s="47">
        <f t="shared" si="1"/>
        <v>7.8320673614791267E-2</v>
      </c>
      <c r="O7" s="41">
        <f>IFERROR(VLOOKUP($A7,'Parts List and Volumes'!$C$2:$W198,9,FALSE),"")</f>
        <v>0</v>
      </c>
      <c r="P7" s="41">
        <f>IFERROR(VLOOKUP($A7,'Parts List and Volumes'!$C$2:$W198,10,FALSE),"")</f>
        <v>79885.3</v>
      </c>
      <c r="Q7" s="48">
        <f t="shared" si="2"/>
        <v>0</v>
      </c>
      <c r="R7" s="43">
        <f t="shared" si="2"/>
        <v>0.11759597833127244</v>
      </c>
      <c r="S7" s="44">
        <f>IFERROR(VLOOKUP($A7,'Parts List and Volumes'!$C$2:$W198,11,FALSE),"")</f>
        <v>0</v>
      </c>
      <c r="T7" s="45">
        <f>IFERROR(VLOOKUP($A7,'Parts List and Volumes'!$C$2:$W198,12,FALSE),"")</f>
        <v>86824.1</v>
      </c>
      <c r="U7" s="46">
        <f t="shared" si="3"/>
        <v>0</v>
      </c>
      <c r="V7" s="47">
        <f t="shared" si="3"/>
        <v>0.12781031031031032</v>
      </c>
      <c r="W7" s="40">
        <f>IFERROR(VLOOKUP($A7,'Parts List and Volumes'!$C$2:$W198,13,FALSE),"")</f>
        <v>0</v>
      </c>
      <c r="X7" s="41">
        <f>IFERROR(VLOOKUP($A7,'Parts List and Volumes'!$C$2:$W198,14,FALSE),"")</f>
        <v>90621.3</v>
      </c>
      <c r="Y7" s="48">
        <f t="shared" si="4"/>
        <v>0</v>
      </c>
      <c r="Z7" s="43">
        <f t="shared" si="4"/>
        <v>0.13340001766472354</v>
      </c>
      <c r="AA7" s="49">
        <f>IFERROR(VLOOKUP($A7,'Parts List and Volumes'!$C$2:$W198,15,FALSE),"")</f>
        <v>0</v>
      </c>
      <c r="AB7" s="50">
        <f>IFERROR(VLOOKUP($A7,'Parts List and Volumes'!$C$2:$W198,16,FALSE),"")</f>
        <v>87090.3</v>
      </c>
      <c r="AC7" s="51">
        <f t="shared" si="5"/>
        <v>0</v>
      </c>
      <c r="AD7" s="52">
        <f t="shared" si="5"/>
        <v>0.1282021727609963</v>
      </c>
      <c r="AE7" s="40">
        <f>IFERROR(VLOOKUP($A7,'Parts List and Volumes'!$C$2:$W198,17,FALSE),"")</f>
        <v>0</v>
      </c>
      <c r="AF7" s="41">
        <f>IFERROR(VLOOKUP($A7,'Parts List and Volumes'!$C$2:$W198,18,FALSE),"")</f>
        <v>80626.700000000012</v>
      </c>
      <c r="AG7" s="48">
        <f t="shared" si="6"/>
        <v>0</v>
      </c>
      <c r="AH7" s="43">
        <f t="shared" si="6"/>
        <v>0.11868736383442267</v>
      </c>
      <c r="AI7" s="49">
        <f>IFERROR(VLOOKUP($A7,'Parts List and Volumes'!$C$2:$W198,19,FALSE),"")</f>
        <v>0</v>
      </c>
      <c r="AJ7" s="50">
        <f>IFERROR(VLOOKUP($A7,'Parts List and Volumes'!$C$2:$W198,20,FALSE),"")</f>
        <v>41970</v>
      </c>
      <c r="AK7" s="51">
        <f t="shared" si="7"/>
        <v>0</v>
      </c>
      <c r="AL7" s="52">
        <f t="shared" si="7"/>
        <v>6.1782370605900021E-2</v>
      </c>
      <c r="AM7" s="40">
        <f>IFERROR(VLOOKUP($A7,'Parts List and Volumes'!$C$2:$W198,21,FALSE),"")</f>
        <v>0</v>
      </c>
      <c r="AN7" s="41" t="str">
        <f>IFERROR(VLOOKUP($A7,'Parts List and Volumes'!$C$2:$W198,22,FALSE),"")</f>
        <v/>
      </c>
      <c r="AO7" s="48">
        <f t="shared" si="8"/>
        <v>0</v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93" t="s">
        <v>157</v>
      </c>
      <c r="B8" s="24" t="s">
        <v>378</v>
      </c>
      <c r="C8" s="20" t="str">
        <f>IFERROR(VLOOKUP(A8,'Parts List and Volumes'!C7:D199,2,FALSE),"")</f>
        <v>NBAA3544AAF20</v>
      </c>
      <c r="D8" s="39" t="str">
        <f>IFERROR(IF(VLOOKUP($A8,'Parts List and Volumes'!$C7:$F266,3,FALSE)=0,"",VLOOKUP(A8,'Parts List and Volumes'!C7:F266,3,FALSE)),"")</f>
        <v/>
      </c>
      <c r="E8" s="39" t="str">
        <f>IFERROR(IF(VLOOKUP($A8,'Parts List and Volumes'!$C7:$F266,4,FALSE)=0,"",VLOOKUP(B8,'Parts List and Volumes'!D7:G266,3,FALSE)),"")</f>
        <v/>
      </c>
      <c r="F8" s="26">
        <v>63.8</v>
      </c>
      <c r="G8" s="40">
        <f>IFERROR(VLOOKUP($A8,'Parts List and Volumes'!$C$2:$W199,5,FALSE),"")</f>
        <v>12632</v>
      </c>
      <c r="H8" s="41">
        <f>IFERROR(VLOOKUP($A8,'Parts List and Volumes'!$C$2:$W199,6,FALSE),"")</f>
        <v>25588.2</v>
      </c>
      <c r="I8" s="42">
        <f t="shared" si="0"/>
        <v>5.931825943590649E-2</v>
      </c>
      <c r="J8" s="43">
        <f t="shared" si="0"/>
        <v>0.12015892068539127</v>
      </c>
      <c r="K8" s="58">
        <f>IFERROR(VLOOKUP($A8,'Parts List and Volumes'!$C$2:$W199,7,FALSE),"")</f>
        <v>0</v>
      </c>
      <c r="L8" s="45">
        <f>IFERROR(VLOOKUP($A8,'Parts List and Volumes'!$C$2:$W199,8,FALSE),"")</f>
        <v>50243.600000000006</v>
      </c>
      <c r="M8" s="46">
        <f t="shared" si="1"/>
        <v>0</v>
      </c>
      <c r="N8" s="47">
        <f t="shared" si="1"/>
        <v>0.23593753164929637</v>
      </c>
      <c r="O8" s="41">
        <f>IFERROR(VLOOKUP($A8,'Parts List and Volumes'!$C$2:$W199,9,FALSE),"")</f>
        <v>0</v>
      </c>
      <c r="P8" s="41">
        <f>IFERROR(VLOOKUP($A8,'Parts List and Volumes'!$C$2:$W199,10,FALSE),"")</f>
        <v>56932.700000000004</v>
      </c>
      <c r="Q8" s="48">
        <f t="shared" si="2"/>
        <v>0</v>
      </c>
      <c r="R8" s="43">
        <f t="shared" si="2"/>
        <v>0.26734869133839723</v>
      </c>
      <c r="S8" s="44">
        <f>IFERROR(VLOOKUP($A8,'Parts List and Volumes'!$C$2:$W199,11,FALSE),"")</f>
        <v>0</v>
      </c>
      <c r="T8" s="45">
        <f>IFERROR(VLOOKUP($A8,'Parts List and Volumes'!$C$2:$W199,12,FALSE),"")</f>
        <v>60360.3</v>
      </c>
      <c r="U8" s="46">
        <f t="shared" si="3"/>
        <v>0</v>
      </c>
      <c r="V8" s="47">
        <f t="shared" si="3"/>
        <v>0.28344426338102807</v>
      </c>
      <c r="W8" s="40">
        <f>IFERROR(VLOOKUP($A8,'Parts List and Volumes'!$C$2:$W199,13,FALSE),"")</f>
        <v>0</v>
      </c>
      <c r="X8" s="41">
        <f>IFERROR(VLOOKUP($A8,'Parts List and Volumes'!$C$2:$W199,14,FALSE),"")</f>
        <v>60275.600000000006</v>
      </c>
      <c r="Y8" s="48">
        <f t="shared" si="4"/>
        <v>0</v>
      </c>
      <c r="Z8" s="43">
        <f t="shared" si="4"/>
        <v>0.28304652299358185</v>
      </c>
      <c r="AA8" s="49">
        <f>IFERROR(VLOOKUP($A8,'Parts List and Volumes'!$C$2:$W199,15,FALSE),"")</f>
        <v>0</v>
      </c>
      <c r="AB8" s="50">
        <f>IFERROR(VLOOKUP($A8,'Parts List and Volumes'!$C$2:$W199,16,FALSE),"")</f>
        <v>50581.3</v>
      </c>
      <c r="AC8" s="51">
        <f t="shared" si="5"/>
        <v>0</v>
      </c>
      <c r="AD8" s="52">
        <f t="shared" si="5"/>
        <v>0.23752332773950421</v>
      </c>
      <c r="AE8" s="40">
        <f>IFERROR(VLOOKUP($A8,'Parts List and Volumes'!$C$2:$W199,17,FALSE),"")</f>
        <v>0</v>
      </c>
      <c r="AF8" s="41">
        <f>IFERROR(VLOOKUP($A8,'Parts List and Volumes'!$C$2:$W199,18,FALSE),"")</f>
        <v>50531.8</v>
      </c>
      <c r="AG8" s="48">
        <f t="shared" si="6"/>
        <v>0</v>
      </c>
      <c r="AH8" s="43">
        <f t="shared" si="6"/>
        <v>0.23729088205852911</v>
      </c>
      <c r="AI8" s="49">
        <f>IFERROR(VLOOKUP($A8,'Parts List and Volumes'!$C$2:$W199,19,FALSE),"")</f>
        <v>0</v>
      </c>
      <c r="AJ8" s="50">
        <f>IFERROR(VLOOKUP($A8,'Parts List and Volumes'!$C$2:$W199,20,FALSE),"")</f>
        <v>22550</v>
      </c>
      <c r="AK8" s="51">
        <f t="shared" si="7"/>
        <v>0</v>
      </c>
      <c r="AL8" s="52">
        <f t="shared" si="7"/>
        <v>0.1058919213330978</v>
      </c>
      <c r="AM8" s="40">
        <f>IFERROR(VLOOKUP($A8,'Parts List and Volumes'!$C$2:$W199,21,FALSE),"")</f>
        <v>0</v>
      </c>
      <c r="AN8" s="41" t="str">
        <f>IFERROR(VLOOKUP($A8,'Parts List and Volumes'!$C$2:$W199,22,FALSE),"")</f>
        <v/>
      </c>
      <c r="AO8" s="48">
        <f t="shared" si="8"/>
        <v>0</v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95" t="s">
        <v>159</v>
      </c>
      <c r="B9" s="24" t="s">
        <v>378</v>
      </c>
      <c r="C9" s="20" t="str">
        <f>IFERROR(VLOOKUP(A9,'Parts List and Volumes'!C8:D200,2,FALSE),"")</f>
        <v>NBAA3545AAF20</v>
      </c>
      <c r="D9" s="39" t="str">
        <f>IFERROR(IF(VLOOKUP($A9,'Parts List and Volumes'!$C8:$F266,3,FALSE)=0,"",VLOOKUP(A9,'Parts List and Volumes'!C8:F266,3,FALSE)),"")</f>
        <v/>
      </c>
      <c r="E9" s="39" t="str">
        <f>IFERROR(IF(VLOOKUP($A9,'Parts List and Volumes'!$C8:$F266,4,FALSE)=0,"",VLOOKUP(B9,'Parts List and Volumes'!D8:G266,3,FALSE)),"")</f>
        <v/>
      </c>
      <c r="F9" s="26">
        <v>44.2</v>
      </c>
      <c r="G9" s="40">
        <f>IFERROR(VLOOKUP($A9,'Parts List and Volumes'!$C$2:$W200,5,FALSE),"")</f>
        <v>12632</v>
      </c>
      <c r="H9" s="41">
        <f>IFERROR(VLOOKUP($A9,'Parts List and Volumes'!$C$2:$W200,6,FALSE),"")</f>
        <v>25588.2</v>
      </c>
      <c r="I9" s="42">
        <f t="shared" si="0"/>
        <v>4.1095095095095097E-2</v>
      </c>
      <c r="J9" s="43">
        <f t="shared" si="0"/>
        <v>8.3244894894894908E-2</v>
      </c>
      <c r="K9" s="58">
        <f>IFERROR(VLOOKUP($A9,'Parts List and Volumes'!$C$2:$W200,7,FALSE),"")</f>
        <v>0</v>
      </c>
      <c r="L9" s="45">
        <f>IFERROR(VLOOKUP($A9,'Parts List and Volumes'!$C$2:$W200,8,FALSE),"")</f>
        <v>50243.600000000006</v>
      </c>
      <c r="M9" s="46">
        <f t="shared" si="1"/>
        <v>0</v>
      </c>
      <c r="N9" s="47">
        <f t="shared" si="1"/>
        <v>0.16345515515515519</v>
      </c>
      <c r="O9" s="41">
        <f>IFERROR(VLOOKUP($A9,'Parts List and Volumes'!$C$2:$W200,9,FALSE),"")</f>
        <v>0</v>
      </c>
      <c r="P9" s="41">
        <f>IFERROR(VLOOKUP($A9,'Parts List and Volumes'!$C$2:$W200,10,FALSE),"")</f>
        <v>56932.700000000004</v>
      </c>
      <c r="Q9" s="48">
        <f t="shared" si="2"/>
        <v>0</v>
      </c>
      <c r="R9" s="43">
        <f t="shared" si="2"/>
        <v>0.18521649149149153</v>
      </c>
      <c r="S9" s="44">
        <f>IFERROR(VLOOKUP($A9,'Parts List and Volumes'!$C$2:$W200,11,FALSE),"")</f>
        <v>0</v>
      </c>
      <c r="T9" s="45">
        <f>IFERROR(VLOOKUP($A9,'Parts List and Volumes'!$C$2:$W200,12,FALSE),"")</f>
        <v>60360.3</v>
      </c>
      <c r="U9" s="46">
        <f t="shared" si="3"/>
        <v>0</v>
      </c>
      <c r="V9" s="47">
        <f t="shared" si="3"/>
        <v>0.19636734234234235</v>
      </c>
      <c r="W9" s="40">
        <f>IFERROR(VLOOKUP($A9,'Parts List and Volumes'!$C$2:$W200,13,FALSE),"")</f>
        <v>0</v>
      </c>
      <c r="X9" s="41">
        <f>IFERROR(VLOOKUP($A9,'Parts List and Volumes'!$C$2:$W200,14,FALSE),"")</f>
        <v>60275.600000000006</v>
      </c>
      <c r="Y9" s="48">
        <f t="shared" si="4"/>
        <v>0</v>
      </c>
      <c r="Z9" s="43">
        <f t="shared" si="4"/>
        <v>0.19609179179179181</v>
      </c>
      <c r="AA9" s="49">
        <f>IFERROR(VLOOKUP($A9,'Parts List and Volumes'!$C$2:$W200,15,FALSE),"")</f>
        <v>0</v>
      </c>
      <c r="AB9" s="50">
        <f>IFERROR(VLOOKUP($A9,'Parts List and Volumes'!$C$2:$W200,16,FALSE),"")</f>
        <v>50581.3</v>
      </c>
      <c r="AC9" s="51">
        <f t="shared" si="5"/>
        <v>0</v>
      </c>
      <c r="AD9" s="52">
        <f t="shared" si="5"/>
        <v>0.1645537787787788</v>
      </c>
      <c r="AE9" s="40">
        <f>IFERROR(VLOOKUP($A9,'Parts List and Volumes'!$C$2:$W200,17,FALSE),"")</f>
        <v>0</v>
      </c>
      <c r="AF9" s="41">
        <f>IFERROR(VLOOKUP($A9,'Parts List and Volumes'!$C$2:$W200,18,FALSE),"")</f>
        <v>50531.8</v>
      </c>
      <c r="AG9" s="48">
        <f t="shared" si="6"/>
        <v>0</v>
      </c>
      <c r="AH9" s="43">
        <f t="shared" si="6"/>
        <v>0.16439274274274274</v>
      </c>
      <c r="AI9" s="49">
        <f>IFERROR(VLOOKUP($A9,'Parts List and Volumes'!$C$2:$W200,19,FALSE),"")</f>
        <v>0</v>
      </c>
      <c r="AJ9" s="50">
        <f>IFERROR(VLOOKUP($A9,'Parts List and Volumes'!$C$2:$W200,20,FALSE),"")</f>
        <v>22550</v>
      </c>
      <c r="AK9" s="51">
        <f t="shared" si="7"/>
        <v>0</v>
      </c>
      <c r="AL9" s="52">
        <f t="shared" si="7"/>
        <v>7.3360860860860869E-2</v>
      </c>
      <c r="AM9" s="40">
        <f>IFERROR(VLOOKUP($A9,'Parts List and Volumes'!$C$2:$W200,21,FALSE),"")</f>
        <v>0</v>
      </c>
      <c r="AN9" s="41" t="str">
        <f>IFERROR(VLOOKUP($A9,'Parts List and Volumes'!$C$2:$W200,22,FALSE),"")</f>
        <v/>
      </c>
      <c r="AO9" s="48">
        <f t="shared" si="8"/>
        <v>0</v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96" t="s">
        <v>165</v>
      </c>
      <c r="B10" s="24" t="s">
        <v>378</v>
      </c>
      <c r="C10" s="20" t="str">
        <f>IFERROR(VLOOKUP(A10,'Parts List and Volumes'!C9:D201,2,FALSE),"")</f>
        <v>NBAA3550AAF20</v>
      </c>
      <c r="D10" s="39" t="str">
        <f>IFERROR(IF(VLOOKUP($A10,'Parts List and Volumes'!$C9:$F266,3,FALSE)=0,"",VLOOKUP(A10,'Parts List and Volumes'!C9:F266,3,FALSE)),"")</f>
        <v/>
      </c>
      <c r="E10" s="39" t="str">
        <f>IFERROR(IF(VLOOKUP($A10,'Parts List and Volumes'!$C9:$F266,4,FALSE)=0,"",VLOOKUP(B10,'Parts List and Volumes'!D9:G266,3,FALSE)),"")</f>
        <v/>
      </c>
      <c r="F10" s="26">
        <v>25</v>
      </c>
      <c r="G10" s="40">
        <f>IFERROR(VLOOKUP($A10,'Parts List and Volumes'!$C$2:$W201,5,FALSE),"")</f>
        <v>16925</v>
      </c>
      <c r="H10" s="41">
        <f>IFERROR(VLOOKUP($A10,'Parts List and Volumes'!$C$2:$W201,6,FALSE),"")</f>
        <v>27863.88</v>
      </c>
      <c r="I10" s="42">
        <f t="shared" si="0"/>
        <v>3.1143275628569746E-2</v>
      </c>
      <c r="J10" s="43">
        <f t="shared" si="0"/>
        <v>5.1271639286345171E-2</v>
      </c>
      <c r="K10" s="58">
        <f>IFERROR(VLOOKUP($A10,'Parts List and Volumes'!$C$2:$W201,7,FALSE),"")</f>
        <v>0</v>
      </c>
      <c r="L10" s="45">
        <f>IFERROR(VLOOKUP($A10,'Parts List and Volumes'!$C$2:$W201,8,FALSE),"")</f>
        <v>92482.676000000007</v>
      </c>
      <c r="M10" s="46">
        <f t="shared" si="1"/>
        <v>0</v>
      </c>
      <c r="N10" s="47">
        <f t="shared" si="1"/>
        <v>0.17017509421185895</v>
      </c>
      <c r="O10" s="41">
        <f>IFERROR(VLOOKUP($A10,'Parts List and Volumes'!$C$2:$W201,9,FALSE),"")</f>
        <v>0</v>
      </c>
      <c r="P10" s="41">
        <f>IFERROR(VLOOKUP($A10,'Parts List and Volumes'!$C$2:$W201,10,FALSE),"")</f>
        <v>121648.76900000001</v>
      </c>
      <c r="Q10" s="48">
        <f t="shared" si="2"/>
        <v>0</v>
      </c>
      <c r="R10" s="43">
        <f t="shared" si="2"/>
        <v>0.22384290356533007</v>
      </c>
      <c r="S10" s="44">
        <f>IFERROR(VLOOKUP($A10,'Parts List and Volumes'!$C$2:$W201,11,FALSE),"")</f>
        <v>0</v>
      </c>
      <c r="T10" s="45">
        <f>IFERROR(VLOOKUP($A10,'Parts List and Volumes'!$C$2:$W201,12,FALSE),"")</f>
        <v>130803.80500000001</v>
      </c>
      <c r="U10" s="46">
        <f t="shared" si="3"/>
        <v>0</v>
      </c>
      <c r="V10" s="47">
        <f t="shared" si="3"/>
        <v>0.24068885981569804</v>
      </c>
      <c r="W10" s="40">
        <f>IFERROR(VLOOKUP($A10,'Parts List and Volumes'!$C$2:$W201,13,FALSE),"")</f>
        <v>0</v>
      </c>
      <c r="X10" s="41">
        <f>IFERROR(VLOOKUP($A10,'Parts List and Volumes'!$C$2:$W201,14,FALSE),"")</f>
        <v>133990.62600000002</v>
      </c>
      <c r="Y10" s="48">
        <f t="shared" si="4"/>
        <v>0</v>
      </c>
      <c r="Z10" s="43">
        <f t="shared" si="4"/>
        <v>0.24655285064476243</v>
      </c>
      <c r="AA10" s="49">
        <f>IFERROR(VLOOKUP($A10,'Parts List and Volumes'!$C$2:$W201,15,FALSE),"")</f>
        <v>0</v>
      </c>
      <c r="AB10" s="50">
        <f>IFERROR(VLOOKUP($A10,'Parts List and Volumes'!$C$2:$W201,16,FALSE),"")</f>
        <v>121938.26700000001</v>
      </c>
      <c r="AC10" s="51">
        <f t="shared" si="5"/>
        <v>0</v>
      </c>
      <c r="AD10" s="52">
        <f t="shared" si="5"/>
        <v>0.22437560170464585</v>
      </c>
      <c r="AE10" s="40">
        <f>IFERROR(VLOOKUP($A10,'Parts List and Volumes'!$C$2:$W201,17,FALSE),"")</f>
        <v>0</v>
      </c>
      <c r="AF10" s="41">
        <f>IFERROR(VLOOKUP($A10,'Parts List and Volumes'!$C$2:$W201,18,FALSE),"")</f>
        <v>116379.57100000001</v>
      </c>
      <c r="AG10" s="48">
        <f t="shared" si="6"/>
        <v>0</v>
      </c>
      <c r="AH10" s="43">
        <f t="shared" si="6"/>
        <v>0.21414718210857919</v>
      </c>
      <c r="AI10" s="49">
        <f>IFERROR(VLOOKUP($A10,'Parts List and Volumes'!$C$2:$W201,19,FALSE),"")</f>
        <v>0</v>
      </c>
      <c r="AJ10" s="50">
        <f>IFERROR(VLOOKUP($A10,'Parts List and Volumes'!$C$2:$W201,20,FALSE),"")</f>
        <v>57066</v>
      </c>
      <c r="AK10" s="51">
        <f t="shared" si="7"/>
        <v>0</v>
      </c>
      <c r="AL10" s="52">
        <f t="shared" si="7"/>
        <v>0.1050057410351528</v>
      </c>
      <c r="AM10" s="40">
        <f>IFERROR(VLOOKUP($A10,'Parts List and Volumes'!$C$2:$W201,21,FALSE),"")</f>
        <v>0</v>
      </c>
      <c r="AN10" s="41" t="str">
        <f>IFERROR(VLOOKUP($A10,'Parts List and Volumes'!$C$2:$W201,22,FALSE),"")</f>
        <v/>
      </c>
      <c r="AO10" s="48">
        <f t="shared" si="8"/>
        <v>0</v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96" t="s">
        <v>183</v>
      </c>
      <c r="B11" s="24" t="s">
        <v>378</v>
      </c>
      <c r="C11" s="20" t="str">
        <f>IFERROR(VLOOKUP(A11,'Parts List and Volumes'!C10:D202,2,FALSE),"")</f>
        <v>NBAA3555AAF20</v>
      </c>
      <c r="D11" s="39" t="str">
        <f>IFERROR(IF(VLOOKUP($A11,'Parts List and Volumes'!$C10:$F266,3,FALSE)=0,"",VLOOKUP(A11,'Parts List and Volumes'!C10:F266,3,FALSE)),"")</f>
        <v/>
      </c>
      <c r="E11" s="39" t="str">
        <f>IFERROR(IF(VLOOKUP($A11,'Parts List and Volumes'!$C10:$F266,4,FALSE)=0,"",VLOOKUP(B11,'Parts List and Volumes'!D10:G266,3,FALSE)),"")</f>
        <v/>
      </c>
      <c r="F11" s="26">
        <v>24</v>
      </c>
      <c r="G11" s="40">
        <f>IFERROR(VLOOKUP($A11,'Parts List and Volumes'!$C$2:$W202,5,FALSE),"")</f>
        <v>536</v>
      </c>
      <c r="H11" s="41">
        <f>IFERROR(VLOOKUP($A11,'Parts List and Volumes'!$C$2:$W202,6,FALSE),"")</f>
        <v>2453.2200000000007</v>
      </c>
      <c r="I11" s="42">
        <f t="shared" si="0"/>
        <v>9.4682918212329978E-4</v>
      </c>
      <c r="J11" s="43">
        <f t="shared" si="0"/>
        <v>4.3335453100158995E-3</v>
      </c>
      <c r="K11" s="58">
        <f>IFERROR(VLOOKUP($A11,'Parts List and Volumes'!$C$2:$W202,7,FALSE),"")</f>
        <v>0</v>
      </c>
      <c r="L11" s="45">
        <f>IFERROR(VLOOKUP($A11,'Parts List and Volumes'!$C$2:$W202,8,FALSE),"")</f>
        <v>10965.724</v>
      </c>
      <c r="M11" s="46">
        <f t="shared" si="1"/>
        <v>0</v>
      </c>
      <c r="N11" s="47">
        <f t="shared" si="1"/>
        <v>1.9370648295354176E-2</v>
      </c>
      <c r="O11" s="41">
        <f>IFERROR(VLOOKUP($A11,'Parts List and Volumes'!$C$2:$W202,9,FALSE),"")</f>
        <v>0</v>
      </c>
      <c r="P11" s="41">
        <f>IFERROR(VLOOKUP($A11,'Parts List and Volumes'!$C$2:$W202,10,FALSE),"")</f>
        <v>15169.231000000002</v>
      </c>
      <c r="Q11" s="48">
        <f t="shared" si="2"/>
        <v>0</v>
      </c>
      <c r="R11" s="43">
        <f t="shared" si="2"/>
        <v>2.6796027203674265E-2</v>
      </c>
      <c r="S11" s="44">
        <f>IFERROR(VLOOKUP($A11,'Parts List and Volumes'!$C$2:$W202,11,FALSE),"")</f>
        <v>0</v>
      </c>
      <c r="T11" s="45">
        <f>IFERROR(VLOOKUP($A11,'Parts List and Volumes'!$C$2:$W202,12,FALSE),"")</f>
        <v>16380.595000000003</v>
      </c>
      <c r="U11" s="46">
        <f t="shared" si="3"/>
        <v>0</v>
      </c>
      <c r="V11" s="47">
        <f t="shared" si="3"/>
        <v>2.8935868221162345E-2</v>
      </c>
      <c r="W11" s="40">
        <f>IFERROR(VLOOKUP($A11,'Parts List and Volumes'!$C$2:$W202,13,FALSE),"")</f>
        <v>0</v>
      </c>
      <c r="X11" s="41">
        <f>IFERROR(VLOOKUP($A11,'Parts List and Volumes'!$C$2:$W202,14,FALSE),"")</f>
        <v>16906.274000000001</v>
      </c>
      <c r="Y11" s="48">
        <f t="shared" si="4"/>
        <v>0</v>
      </c>
      <c r="Z11" s="43">
        <f t="shared" si="4"/>
        <v>2.98644656421127E-2</v>
      </c>
      <c r="AA11" s="49">
        <f>IFERROR(VLOOKUP($A11,'Parts List and Volumes'!$C$2:$W202,15,FALSE),"")</f>
        <v>0</v>
      </c>
      <c r="AB11" s="50">
        <f>IFERROR(VLOOKUP($A11,'Parts List and Volumes'!$C$2:$W202,16,FALSE),"")</f>
        <v>15733.333000000004</v>
      </c>
      <c r="AC11" s="51">
        <f t="shared" si="5"/>
        <v>0</v>
      </c>
      <c r="AD11" s="52">
        <f t="shared" si="5"/>
        <v>2.7792497791909562E-2</v>
      </c>
      <c r="AE11" s="40">
        <f>IFERROR(VLOOKUP($A11,'Parts List and Volumes'!$C$2:$W202,17,FALSE),"")</f>
        <v>0</v>
      </c>
      <c r="AF11" s="41">
        <f>IFERROR(VLOOKUP($A11,'Parts List and Volumes'!$C$2:$W202,18,FALSE),"")</f>
        <v>14828.429000000004</v>
      </c>
      <c r="AG11" s="48">
        <f t="shared" si="6"/>
        <v>0</v>
      </c>
      <c r="AH11" s="43">
        <f t="shared" si="6"/>
        <v>2.6194009892245192E-2</v>
      </c>
      <c r="AI11" s="49">
        <f>IFERROR(VLOOKUP($A11,'Parts List and Volumes'!$C$2:$W202,19,FALSE),"")</f>
        <v>0</v>
      </c>
      <c r="AJ11" s="50">
        <f>IFERROR(VLOOKUP($A11,'Parts List and Volumes'!$C$2:$W202,20,FALSE),"")</f>
        <v>7454</v>
      </c>
      <c r="AK11" s="51">
        <f t="shared" si="7"/>
        <v>0</v>
      </c>
      <c r="AL11" s="52">
        <f t="shared" si="7"/>
        <v>1.3167284931990814E-2</v>
      </c>
      <c r="AM11" s="40">
        <f>IFERROR(VLOOKUP($A11,'Parts List and Volumes'!$C$2:$W202,21,FALSE),"")</f>
        <v>0</v>
      </c>
      <c r="AN11" s="41" t="str">
        <f>IFERROR(VLOOKUP($A11,'Parts List and Volumes'!$C$2:$W202,22,FALSE),"")</f>
        <v/>
      </c>
      <c r="AO11" s="48">
        <f t="shared" si="8"/>
        <v>0</v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96" t="s">
        <v>167</v>
      </c>
      <c r="B12" s="24" t="s">
        <v>378</v>
      </c>
      <c r="C12" s="20" t="str">
        <f>IFERROR(VLOOKUP(A12,'Parts List and Volumes'!C11:D203,2,FALSE),"")</f>
        <v>NBAA3551AAF20</v>
      </c>
      <c r="D12" s="39" t="str">
        <f>IFERROR(IF(VLOOKUP($A12,'Parts List and Volumes'!$C11:$F266,3,FALSE)=0,"",VLOOKUP(A12,'Parts List and Volumes'!C11:F266,3,FALSE)),"")</f>
        <v/>
      </c>
      <c r="E12" s="39" t="str">
        <f>IFERROR(IF(VLOOKUP($A12,'Parts List and Volumes'!$C11:$F266,4,FALSE)=0,"",VLOOKUP(B12,'Parts List and Volumes'!D11:G266,3,FALSE)),"")</f>
        <v/>
      </c>
      <c r="F12" s="26">
        <v>22</v>
      </c>
      <c r="G12" s="40">
        <f>IFERROR(VLOOKUP($A12,'Parts List and Volumes'!$C$2:$W203,5,FALSE),"")</f>
        <v>16927</v>
      </c>
      <c r="H12" s="41">
        <f>IFERROR(VLOOKUP($A12,'Parts List and Volumes'!$C$2:$W203,6,FALSE),"")</f>
        <v>27863.88</v>
      </c>
      <c r="I12" s="42">
        <f t="shared" si="0"/>
        <v>2.7409321085791673E-2</v>
      </c>
      <c r="J12" s="43">
        <f t="shared" si="0"/>
        <v>4.511904257198375E-2</v>
      </c>
      <c r="K12" s="58">
        <f>IFERROR(VLOOKUP($A12,'Parts List and Volumes'!$C$2:$W203,7,FALSE),"")</f>
        <v>0</v>
      </c>
      <c r="L12" s="45">
        <f>IFERROR(VLOOKUP($A12,'Parts List and Volumes'!$C$2:$W203,8,FALSE),"")</f>
        <v>92482.676000000007</v>
      </c>
      <c r="M12" s="46">
        <f t="shared" si="1"/>
        <v>0</v>
      </c>
      <c r="N12" s="47">
        <f t="shared" si="1"/>
        <v>0.14975408290643585</v>
      </c>
      <c r="O12" s="41">
        <f>IFERROR(VLOOKUP($A12,'Parts List and Volumes'!$C$2:$W203,9,FALSE),"")</f>
        <v>0</v>
      </c>
      <c r="P12" s="41">
        <f>IFERROR(VLOOKUP($A12,'Parts List and Volumes'!$C$2:$W203,10,FALSE),"")</f>
        <v>121648.76900000001</v>
      </c>
      <c r="Q12" s="48">
        <f t="shared" si="2"/>
        <v>0</v>
      </c>
      <c r="R12" s="43">
        <f t="shared" si="2"/>
        <v>0.19698175513749047</v>
      </c>
      <c r="S12" s="44">
        <f>IFERROR(VLOOKUP($A12,'Parts List and Volumes'!$C$2:$W203,11,FALSE),"")</f>
        <v>0</v>
      </c>
      <c r="T12" s="45">
        <f>IFERROR(VLOOKUP($A12,'Parts List and Volumes'!$C$2:$W203,12,FALSE),"")</f>
        <v>130803.80500000001</v>
      </c>
      <c r="U12" s="46">
        <f t="shared" si="3"/>
        <v>0</v>
      </c>
      <c r="V12" s="47">
        <f t="shared" si="3"/>
        <v>0.21180619663781428</v>
      </c>
      <c r="W12" s="40">
        <f>IFERROR(VLOOKUP($A12,'Parts List and Volumes'!$C$2:$W203,13,FALSE),"")</f>
        <v>0</v>
      </c>
      <c r="X12" s="41">
        <f>IFERROR(VLOOKUP($A12,'Parts List and Volumes'!$C$2:$W203,14,FALSE),"")</f>
        <v>133990.62600000002</v>
      </c>
      <c r="Y12" s="48">
        <f t="shared" si="4"/>
        <v>0</v>
      </c>
      <c r="Z12" s="43">
        <f t="shared" si="4"/>
        <v>0.21696650856739094</v>
      </c>
      <c r="AA12" s="49">
        <f>IFERROR(VLOOKUP($A12,'Parts List and Volumes'!$C$2:$W203,15,FALSE),"")</f>
        <v>0</v>
      </c>
      <c r="AB12" s="50">
        <f>IFERROR(VLOOKUP($A12,'Parts List and Volumes'!$C$2:$W203,16,FALSE),"")</f>
        <v>121938.26700000001</v>
      </c>
      <c r="AC12" s="51">
        <f t="shared" si="5"/>
        <v>0</v>
      </c>
      <c r="AD12" s="52">
        <f t="shared" si="5"/>
        <v>0.19745052950008835</v>
      </c>
      <c r="AE12" s="40">
        <f>IFERROR(VLOOKUP($A12,'Parts List and Volumes'!$C$2:$W203,17,FALSE),"")</f>
        <v>0</v>
      </c>
      <c r="AF12" s="41">
        <f>IFERROR(VLOOKUP($A12,'Parts List and Volumes'!$C$2:$W203,18,FALSE),"")</f>
        <v>116379.57100000001</v>
      </c>
      <c r="AG12" s="48">
        <f t="shared" si="6"/>
        <v>0</v>
      </c>
      <c r="AH12" s="43">
        <f t="shared" si="6"/>
        <v>0.1884495202555497</v>
      </c>
      <c r="AI12" s="49">
        <f>IFERROR(VLOOKUP($A12,'Parts List and Volumes'!$C$2:$W203,19,FALSE),"")</f>
        <v>0</v>
      </c>
      <c r="AJ12" s="50">
        <f>IFERROR(VLOOKUP($A12,'Parts List and Volumes'!$C$2:$W203,20,FALSE),"")</f>
        <v>57066</v>
      </c>
      <c r="AK12" s="51">
        <f t="shared" si="7"/>
        <v>0</v>
      </c>
      <c r="AL12" s="52">
        <f t="shared" si="7"/>
        <v>9.2405052110934457E-2</v>
      </c>
      <c r="AM12" s="40">
        <f>IFERROR(VLOOKUP($A12,'Parts List and Volumes'!$C$2:$W203,21,FALSE),"")</f>
        <v>0</v>
      </c>
      <c r="AN12" s="41" t="str">
        <f>IFERROR(VLOOKUP($A12,'Parts List and Volumes'!$C$2:$W203,22,FALSE),"")</f>
        <v/>
      </c>
      <c r="AO12" s="48">
        <f t="shared" si="8"/>
        <v>0</v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96" t="s">
        <v>185</v>
      </c>
      <c r="B13" s="24" t="s">
        <v>378</v>
      </c>
      <c r="C13" s="20" t="str">
        <f>IFERROR(VLOOKUP(A13,'Parts List and Volumes'!C12:D204,2,FALSE),"")</f>
        <v>NBAA3556AAF20</v>
      </c>
      <c r="D13" s="39" t="str">
        <f>IFERROR(IF(VLOOKUP($A13,'Parts List and Volumes'!$C12:$F267,3,FALSE)=0,"",VLOOKUP(A13,'Parts List and Volumes'!C12:F267,3,FALSE)),"")</f>
        <v/>
      </c>
      <c r="E13" s="39" t="str">
        <f>IFERROR(IF(VLOOKUP($A13,'Parts List and Volumes'!$C12:$F267,4,FALSE)=0,"",VLOOKUP(B13,'Parts List and Volumes'!D12:G267,3,FALSE)),"")</f>
        <v/>
      </c>
      <c r="F13" s="26">
        <v>32</v>
      </c>
      <c r="G13" s="40">
        <f>IFERROR(VLOOKUP($A13,'Parts List and Volumes'!$C$2:$W204,5,FALSE),"")</f>
        <v>536</v>
      </c>
      <c r="H13" s="41">
        <f>IFERROR(VLOOKUP($A13,'Parts List and Volumes'!$C$2:$W204,6,FALSE),"")</f>
        <v>2453.2200000000007</v>
      </c>
      <c r="I13" s="42">
        <f t="shared" si="0"/>
        <v>1.262438909497733E-3</v>
      </c>
      <c r="J13" s="43">
        <f t="shared" si="0"/>
        <v>5.7780604133545327E-3</v>
      </c>
      <c r="K13" s="58">
        <f>IFERROR(VLOOKUP($A13,'Parts List and Volumes'!$C$2:$W204,7,FALSE),"")</f>
        <v>0</v>
      </c>
      <c r="L13" s="45">
        <f>IFERROR(VLOOKUP($A13,'Parts List and Volumes'!$C$2:$W204,8,FALSE),"")</f>
        <v>10965.724</v>
      </c>
      <c r="M13" s="46">
        <f t="shared" si="1"/>
        <v>0</v>
      </c>
      <c r="N13" s="47">
        <f t="shared" si="1"/>
        <v>2.5827531060472236E-2</v>
      </c>
      <c r="O13" s="41">
        <f>IFERROR(VLOOKUP($A13,'Parts List and Volumes'!$C$2:$W204,9,FALSE),"")</f>
        <v>0</v>
      </c>
      <c r="P13" s="41">
        <f>IFERROR(VLOOKUP($A13,'Parts List and Volumes'!$C$2:$W204,10,FALSE),"")</f>
        <v>15169.231000000002</v>
      </c>
      <c r="Q13" s="48">
        <f t="shared" si="2"/>
        <v>0</v>
      </c>
      <c r="R13" s="43">
        <f t="shared" si="2"/>
        <v>3.5728036271565684E-2</v>
      </c>
      <c r="S13" s="44">
        <f>IFERROR(VLOOKUP($A13,'Parts List and Volumes'!$C$2:$W204,11,FALSE),"")</f>
        <v>0</v>
      </c>
      <c r="T13" s="45">
        <f>IFERROR(VLOOKUP($A13,'Parts List and Volumes'!$C$2:$W204,12,FALSE),"")</f>
        <v>16380.595000000003</v>
      </c>
      <c r="U13" s="46">
        <f t="shared" si="3"/>
        <v>0</v>
      </c>
      <c r="V13" s="47">
        <f t="shared" si="3"/>
        <v>3.8581157628216456E-2</v>
      </c>
      <c r="W13" s="40">
        <f>IFERROR(VLOOKUP($A13,'Parts List and Volumes'!$C$2:$W204,13,FALSE),"")</f>
        <v>0</v>
      </c>
      <c r="X13" s="41">
        <f>IFERROR(VLOOKUP($A13,'Parts List and Volumes'!$C$2:$W204,14,FALSE),"")</f>
        <v>16906.274000000001</v>
      </c>
      <c r="Y13" s="48">
        <f t="shared" si="4"/>
        <v>0</v>
      </c>
      <c r="Z13" s="43">
        <f t="shared" si="4"/>
        <v>3.9819287522816937E-2</v>
      </c>
      <c r="AA13" s="49">
        <f>IFERROR(VLOOKUP($A13,'Parts List and Volumes'!$C$2:$W204,15,FALSE),"")</f>
        <v>0</v>
      </c>
      <c r="AB13" s="50">
        <f>IFERROR(VLOOKUP($A13,'Parts List and Volumes'!$C$2:$W204,16,FALSE),"")</f>
        <v>15733.333000000004</v>
      </c>
      <c r="AC13" s="51">
        <f t="shared" si="5"/>
        <v>0</v>
      </c>
      <c r="AD13" s="52">
        <f t="shared" si="5"/>
        <v>3.7056663722546082E-2</v>
      </c>
      <c r="AE13" s="40">
        <f>IFERROR(VLOOKUP($A13,'Parts List and Volumes'!$C$2:$W204,17,FALSE),"")</f>
        <v>0</v>
      </c>
      <c r="AF13" s="41">
        <f>IFERROR(VLOOKUP($A13,'Parts List and Volumes'!$C$2:$W204,18,FALSE),"")</f>
        <v>14828.429000000004</v>
      </c>
      <c r="AG13" s="48">
        <f t="shared" si="6"/>
        <v>0</v>
      </c>
      <c r="AH13" s="43">
        <f t="shared" si="6"/>
        <v>3.4925346522993589E-2</v>
      </c>
      <c r="AI13" s="49">
        <f>IFERROR(VLOOKUP($A13,'Parts List and Volumes'!$C$2:$W204,19,FALSE),"")</f>
        <v>0</v>
      </c>
      <c r="AJ13" s="50">
        <f>IFERROR(VLOOKUP($A13,'Parts List and Volumes'!$C$2:$W204,20,FALSE),"")</f>
        <v>7454</v>
      </c>
      <c r="AK13" s="51">
        <f t="shared" si="7"/>
        <v>0</v>
      </c>
      <c r="AL13" s="52">
        <f t="shared" si="7"/>
        <v>1.7556379909321084E-2</v>
      </c>
      <c r="AM13" s="40">
        <f>IFERROR(VLOOKUP($A13,'Parts List and Volumes'!$C$2:$W204,21,FALSE),"")</f>
        <v>0</v>
      </c>
      <c r="AN13" s="41" t="str">
        <f>IFERROR(VLOOKUP($A13,'Parts List and Volumes'!$C$2:$W204,22,FALSE),"")</f>
        <v/>
      </c>
      <c r="AO13" s="48">
        <f t="shared" si="8"/>
        <v>0</v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97" t="s">
        <v>169</v>
      </c>
      <c r="B14" s="24" t="s">
        <v>378</v>
      </c>
      <c r="C14" s="20" t="str">
        <f>IFERROR(VLOOKUP(A14,'Parts List and Volumes'!C13:D205,2,FALSE),"")</f>
        <v>NBAA3553AAF20</v>
      </c>
      <c r="D14" s="39" t="str">
        <f>IFERROR(IF(VLOOKUP($A14,'Parts List and Volumes'!$C13:$F268,3,FALSE)=0,"",VLOOKUP(A14,'Parts List and Volumes'!C13:F268,3,FALSE)),"")</f>
        <v/>
      </c>
      <c r="E14" s="39" t="str">
        <f>IFERROR(IF(VLOOKUP($A14,'Parts List and Volumes'!$C13:$F268,4,FALSE)=0,"",VLOOKUP(B14,'Parts List and Volumes'!D13:G268,3,FALSE)),"")</f>
        <v/>
      </c>
      <c r="F14" s="26">
        <v>30.8</v>
      </c>
      <c r="G14" s="40">
        <f>IFERROR(VLOOKUP($A14,'Parts List and Volumes'!$C$2:$W205,5,FALSE),"")</f>
        <v>16925</v>
      </c>
      <c r="H14" s="41">
        <f>IFERROR(VLOOKUP($A14,'Parts List and Volumes'!$C$2:$W205,6,FALSE),"")</f>
        <v>27863.88</v>
      </c>
      <c r="I14" s="42">
        <f t="shared" si="0"/>
        <v>3.8368515574397924E-2</v>
      </c>
      <c r="J14" s="43">
        <f t="shared" si="0"/>
        <v>6.3166659600777247E-2</v>
      </c>
      <c r="K14" s="58">
        <f>IFERROR(VLOOKUP($A14,'Parts List and Volumes'!$C$2:$W205,7,FALSE),"")</f>
        <v>0</v>
      </c>
      <c r="L14" s="45">
        <f>IFERROR(VLOOKUP($A14,'Parts List and Volumes'!$C$2:$W205,8,FALSE),"")</f>
        <v>92482.676000000007</v>
      </c>
      <c r="M14" s="46">
        <f t="shared" si="1"/>
        <v>0</v>
      </c>
      <c r="N14" s="47">
        <f t="shared" si="1"/>
        <v>0.20965571606901021</v>
      </c>
      <c r="O14" s="41">
        <f>IFERROR(VLOOKUP($A14,'Parts List and Volumes'!$C$2:$W205,9,FALSE),"")</f>
        <v>0</v>
      </c>
      <c r="P14" s="41">
        <f>IFERROR(VLOOKUP($A14,'Parts List and Volumes'!$C$2:$W205,10,FALSE),"")</f>
        <v>121648.76900000001</v>
      </c>
      <c r="Q14" s="48">
        <f t="shared" si="2"/>
        <v>0</v>
      </c>
      <c r="R14" s="43">
        <f t="shared" si="2"/>
        <v>0.27577445719248667</v>
      </c>
      <c r="S14" s="44">
        <f>IFERROR(VLOOKUP($A14,'Parts List and Volumes'!$C$2:$W205,11,FALSE),"")</f>
        <v>0</v>
      </c>
      <c r="T14" s="45">
        <f>IFERROR(VLOOKUP($A14,'Parts List and Volumes'!$C$2:$W205,12,FALSE),"")</f>
        <v>130803.80500000001</v>
      </c>
      <c r="U14" s="46">
        <f t="shared" si="3"/>
        <v>0</v>
      </c>
      <c r="V14" s="47">
        <f t="shared" si="3"/>
        <v>0.29652867529294002</v>
      </c>
      <c r="W14" s="40">
        <f>IFERROR(VLOOKUP($A14,'Parts List and Volumes'!$C$2:$W205,13,FALSE),"")</f>
        <v>0</v>
      </c>
      <c r="X14" s="41">
        <f>IFERROR(VLOOKUP($A14,'Parts List and Volumes'!$C$2:$W205,14,FALSE),"")</f>
        <v>133990.62600000002</v>
      </c>
      <c r="Y14" s="48">
        <f t="shared" si="4"/>
        <v>0</v>
      </c>
      <c r="Z14" s="43">
        <f t="shared" si="4"/>
        <v>0.30375311199434735</v>
      </c>
      <c r="AA14" s="49">
        <f>IFERROR(VLOOKUP($A14,'Parts List and Volumes'!$C$2:$W205,15,FALSE),"")</f>
        <v>0</v>
      </c>
      <c r="AB14" s="50">
        <f>IFERROR(VLOOKUP($A14,'Parts List and Volumes'!$C$2:$W205,16,FALSE),"")</f>
        <v>121938.26700000001</v>
      </c>
      <c r="AC14" s="51">
        <f t="shared" si="5"/>
        <v>0</v>
      </c>
      <c r="AD14" s="52">
        <f t="shared" si="5"/>
        <v>0.27643074130012368</v>
      </c>
      <c r="AE14" s="40">
        <f>IFERROR(VLOOKUP($A14,'Parts List and Volumes'!$C$2:$W205,17,FALSE),"")</f>
        <v>0</v>
      </c>
      <c r="AF14" s="41">
        <f>IFERROR(VLOOKUP($A14,'Parts List and Volumes'!$C$2:$W205,18,FALSE),"")</f>
        <v>116379.57100000001</v>
      </c>
      <c r="AG14" s="48">
        <f t="shared" si="6"/>
        <v>0</v>
      </c>
      <c r="AH14" s="43">
        <f t="shared" si="6"/>
        <v>0.26382932835776957</v>
      </c>
      <c r="AI14" s="49">
        <f>IFERROR(VLOOKUP($A14,'Parts List and Volumes'!$C$2:$W205,19,FALSE),"")</f>
        <v>0</v>
      </c>
      <c r="AJ14" s="50">
        <f>IFERROR(VLOOKUP($A14,'Parts List and Volumes'!$C$2:$W205,20,FALSE),"")</f>
        <v>57066</v>
      </c>
      <c r="AK14" s="51">
        <f t="shared" si="7"/>
        <v>0</v>
      </c>
      <c r="AL14" s="52">
        <f t="shared" si="7"/>
        <v>0.12936707295530825</v>
      </c>
      <c r="AM14" s="40">
        <f>IFERROR(VLOOKUP($A14,'Parts List and Volumes'!$C$2:$W205,21,FALSE),"")</f>
        <v>0</v>
      </c>
      <c r="AN14" s="41" t="str">
        <f>IFERROR(VLOOKUP($A14,'Parts List and Volumes'!$C$2:$W205,22,FALSE),"")</f>
        <v/>
      </c>
      <c r="AO14" s="48">
        <f t="shared" si="8"/>
        <v>0</v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95" t="s">
        <v>315</v>
      </c>
      <c r="B15" s="24" t="s">
        <v>439</v>
      </c>
      <c r="C15" s="20" t="str">
        <f>IFERROR(VLOOKUP(A15,'Parts List and Volumes'!C14:D206,2,FALSE),"")</f>
        <v>NJ000676ACF20</v>
      </c>
      <c r="D15" s="39">
        <f>IFERROR(IF(VLOOKUP($A15,'Parts List and Volumes'!$C14:$F269,3,FALSE)=0,"",VLOOKUP(A15,'Parts List and Volumes'!C14:F269,3,FALSE)),"")</f>
        <v>4.76</v>
      </c>
      <c r="E15" s="39" t="str">
        <f>IFERROR(IF(VLOOKUP($A15,'Parts List and Volumes'!$C14:$F269,4,FALSE)=0,"",VLOOKUP(B15,'Parts List and Volumes'!D14:G269,3,FALSE)),"")</f>
        <v/>
      </c>
      <c r="F15" s="98">
        <v>17</v>
      </c>
      <c r="G15" s="40">
        <f>IFERROR(VLOOKUP($A15,'Parts List and Volumes'!$C$2:$W206,5,FALSE),"")</f>
        <v>17600</v>
      </c>
      <c r="H15" s="41">
        <f>IFERROR(VLOOKUP($A15,'Parts List and Volumes'!$C$2:$W206,6,FALSE),"")</f>
        <v>20000</v>
      </c>
      <c r="I15" s="42">
        <f t="shared" si="0"/>
        <v>2.2022022022022022E-2</v>
      </c>
      <c r="J15" s="43">
        <f t="shared" si="0"/>
        <v>2.5025025025025027E-2</v>
      </c>
      <c r="K15" s="58">
        <f>IFERROR(VLOOKUP($A15,'Parts List and Volumes'!$C$2:$W206,7,FALSE),"")</f>
        <v>0</v>
      </c>
      <c r="L15" s="45">
        <f>IFERROR(VLOOKUP($A15,'Parts List and Volumes'!$C$2:$W206,8,FALSE),"")</f>
        <v>30000</v>
      </c>
      <c r="M15" s="46">
        <f t="shared" si="1"/>
        <v>0</v>
      </c>
      <c r="N15" s="47">
        <f t="shared" si="1"/>
        <v>3.7537537537537538E-2</v>
      </c>
      <c r="O15" s="41">
        <f>IFERROR(VLOOKUP($A15,'Parts List and Volumes'!$C$2:$W206,9,FALSE),"")</f>
        <v>0</v>
      </c>
      <c r="P15" s="41">
        <f>IFERROR(VLOOKUP($A15,'Parts List and Volumes'!$C$2:$W206,10,FALSE),"")</f>
        <v>27500</v>
      </c>
      <c r="Q15" s="48">
        <f t="shared" si="2"/>
        <v>0</v>
      </c>
      <c r="R15" s="43">
        <f t="shared" si="2"/>
        <v>3.4409409409409411E-2</v>
      </c>
      <c r="S15" s="44">
        <f>IFERROR(VLOOKUP($A15,'Parts List and Volumes'!$C$2:$W206,11,FALSE),"")</f>
        <v>0</v>
      </c>
      <c r="T15" s="45">
        <f>IFERROR(VLOOKUP($A15,'Parts List and Volumes'!$C$2:$W206,12,FALSE),"")</f>
        <v>27500</v>
      </c>
      <c r="U15" s="46">
        <f t="shared" si="3"/>
        <v>0</v>
      </c>
      <c r="V15" s="47">
        <f t="shared" si="3"/>
        <v>3.4409409409409411E-2</v>
      </c>
      <c r="W15" s="40">
        <f>IFERROR(VLOOKUP($A15,'Parts List and Volumes'!$C$2:$W206,13,FALSE),"")</f>
        <v>0</v>
      </c>
      <c r="X15" s="41">
        <f>IFERROR(VLOOKUP($A15,'Parts List and Volumes'!$C$2:$W206,14,FALSE),"")</f>
        <v>27500</v>
      </c>
      <c r="Y15" s="48">
        <f t="shared" si="4"/>
        <v>0</v>
      </c>
      <c r="Z15" s="43">
        <f t="shared" si="4"/>
        <v>3.4409409409409411E-2</v>
      </c>
      <c r="AA15" s="49">
        <f>IFERROR(VLOOKUP($A15,'Parts List and Volumes'!$C$2:$W206,15,FALSE),"")</f>
        <v>0</v>
      </c>
      <c r="AB15" s="50">
        <f>IFERROR(VLOOKUP($A15,'Parts List and Volumes'!$C$2:$W206,16,FALSE),"")</f>
        <v>27500</v>
      </c>
      <c r="AC15" s="51">
        <f t="shared" si="5"/>
        <v>0</v>
      </c>
      <c r="AD15" s="52">
        <f t="shared" si="5"/>
        <v>3.4409409409409411E-2</v>
      </c>
      <c r="AE15" s="40">
        <f>IFERROR(VLOOKUP($A15,'Parts List and Volumes'!$C$2:$W206,17,FALSE),"")</f>
        <v>0</v>
      </c>
      <c r="AF15" s="41">
        <f>IFERROR(VLOOKUP($A15,'Parts List and Volumes'!$C$2:$W206,18,FALSE),"")</f>
        <v>27500</v>
      </c>
      <c r="AG15" s="48">
        <f t="shared" si="6"/>
        <v>0</v>
      </c>
      <c r="AH15" s="43">
        <f t="shared" si="6"/>
        <v>3.4409409409409411E-2</v>
      </c>
      <c r="AI15" s="49">
        <f>IFERROR(VLOOKUP($A15,'Parts List and Volumes'!$C$2:$W206,19,FALSE),"")</f>
        <v>0</v>
      </c>
      <c r="AJ15" s="50">
        <f>IFERROR(VLOOKUP($A15,'Parts List and Volumes'!$C$2:$W206,20,FALSE),"")</f>
        <v>0</v>
      </c>
      <c r="AK15" s="51">
        <f t="shared" si="7"/>
        <v>0</v>
      </c>
      <c r="AL15" s="52">
        <f t="shared" si="7"/>
        <v>0</v>
      </c>
      <c r="AM15" s="40">
        <f>IFERROR(VLOOKUP($A15,'Parts List and Volumes'!$C$2:$W206,21,FALSE),"")</f>
        <v>0</v>
      </c>
      <c r="AN15" s="41" t="str">
        <f>IFERROR(VLOOKUP($A15,'Parts List and Volumes'!$C$2:$W206,22,FALSE),"")</f>
        <v/>
      </c>
      <c r="AO15" s="48">
        <f t="shared" si="8"/>
        <v>0</v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95" t="s">
        <v>321</v>
      </c>
      <c r="B16" s="24" t="s">
        <v>439</v>
      </c>
      <c r="C16" s="20" t="str">
        <f>IFERROR(VLOOKUP(A16,'Parts List and Volumes'!C15:D207,2,FALSE),"")</f>
        <v>NJ000690AAF20</v>
      </c>
      <c r="D16" s="39">
        <f>IFERROR(IF(VLOOKUP($A16,'Parts List and Volumes'!$C15:$F270,3,FALSE)=0,"",VLOOKUP(A16,'Parts List and Volumes'!C15:F270,3,FALSE)),"")</f>
        <v>4.76</v>
      </c>
      <c r="E16" s="39" t="str">
        <f>IFERROR(IF(VLOOKUP($A16,'Parts List and Volumes'!$C15:$F270,4,FALSE)=0,"",VLOOKUP(B16,'Parts List and Volumes'!D15:G270,3,FALSE)),"")</f>
        <v/>
      </c>
      <c r="F16" s="98">
        <v>17</v>
      </c>
      <c r="G16" s="40">
        <f>IFERROR(VLOOKUP($A16,'Parts List and Volumes'!$C$2:$W207,5,FALSE),"")</f>
        <v>18800</v>
      </c>
      <c r="H16" s="41">
        <f>IFERROR(VLOOKUP($A16,'Parts List and Volumes'!$C$2:$W207,6,FALSE),"")</f>
        <v>20000</v>
      </c>
      <c r="I16" s="42">
        <f t="shared" si="0"/>
        <v>2.3523523523523524E-2</v>
      </c>
      <c r="J16" s="43">
        <f t="shared" si="0"/>
        <v>2.5025025025025027E-2</v>
      </c>
      <c r="K16" s="58">
        <f>IFERROR(VLOOKUP($A16,'Parts List and Volumes'!$C$2:$W207,7,FALSE),"")</f>
        <v>0</v>
      </c>
      <c r="L16" s="45">
        <f>IFERROR(VLOOKUP($A16,'Parts List and Volumes'!$C$2:$W207,8,FALSE),"")</f>
        <v>30000</v>
      </c>
      <c r="M16" s="46">
        <f t="shared" si="1"/>
        <v>0</v>
      </c>
      <c r="N16" s="47">
        <f t="shared" si="1"/>
        <v>3.7537537537537538E-2</v>
      </c>
      <c r="O16" s="41">
        <f>IFERROR(VLOOKUP($A16,'Parts List and Volumes'!$C$2:$W207,9,FALSE),"")</f>
        <v>0</v>
      </c>
      <c r="P16" s="41">
        <f>IFERROR(VLOOKUP($A16,'Parts List and Volumes'!$C$2:$W207,10,FALSE),"")</f>
        <v>27500</v>
      </c>
      <c r="Q16" s="48">
        <f t="shared" si="2"/>
        <v>0</v>
      </c>
      <c r="R16" s="43">
        <f t="shared" si="2"/>
        <v>3.4409409409409411E-2</v>
      </c>
      <c r="S16" s="44">
        <f>IFERROR(VLOOKUP($A16,'Parts List and Volumes'!$C$2:$W207,11,FALSE),"")</f>
        <v>0</v>
      </c>
      <c r="T16" s="45">
        <f>IFERROR(VLOOKUP($A16,'Parts List and Volumes'!$C$2:$W207,12,FALSE),"")</f>
        <v>27500</v>
      </c>
      <c r="U16" s="46">
        <f t="shared" si="3"/>
        <v>0</v>
      </c>
      <c r="V16" s="47">
        <f t="shared" si="3"/>
        <v>3.4409409409409411E-2</v>
      </c>
      <c r="W16" s="40">
        <f>IFERROR(VLOOKUP($A16,'Parts List and Volumes'!$C$2:$W207,13,FALSE),"")</f>
        <v>0</v>
      </c>
      <c r="X16" s="41">
        <f>IFERROR(VLOOKUP($A16,'Parts List and Volumes'!$C$2:$W207,14,FALSE),"")</f>
        <v>27500</v>
      </c>
      <c r="Y16" s="48">
        <f t="shared" si="4"/>
        <v>0</v>
      </c>
      <c r="Z16" s="43">
        <f t="shared" si="4"/>
        <v>3.4409409409409411E-2</v>
      </c>
      <c r="AA16" s="49">
        <f>IFERROR(VLOOKUP($A16,'Parts List and Volumes'!$C$2:$W207,15,FALSE),"")</f>
        <v>0</v>
      </c>
      <c r="AB16" s="50">
        <f>IFERROR(VLOOKUP($A16,'Parts List and Volumes'!$C$2:$W207,16,FALSE),"")</f>
        <v>27500</v>
      </c>
      <c r="AC16" s="51">
        <f t="shared" si="5"/>
        <v>0</v>
      </c>
      <c r="AD16" s="52">
        <f t="shared" si="5"/>
        <v>3.4409409409409411E-2</v>
      </c>
      <c r="AE16" s="40">
        <f>IFERROR(VLOOKUP($A16,'Parts List and Volumes'!$C$2:$W207,17,FALSE),"")</f>
        <v>0</v>
      </c>
      <c r="AF16" s="41">
        <f>IFERROR(VLOOKUP($A16,'Parts List and Volumes'!$C$2:$W207,18,FALSE),"")</f>
        <v>27500</v>
      </c>
      <c r="AG16" s="48">
        <f t="shared" si="6"/>
        <v>0</v>
      </c>
      <c r="AH16" s="43">
        <f t="shared" si="6"/>
        <v>3.4409409409409411E-2</v>
      </c>
      <c r="AI16" s="49">
        <f>IFERROR(VLOOKUP($A16,'Parts List and Volumes'!$C$2:$W207,19,FALSE),"")</f>
        <v>0</v>
      </c>
      <c r="AJ16" s="50">
        <f>IFERROR(VLOOKUP($A16,'Parts List and Volumes'!$C$2:$W207,20,FALSE),"")</f>
        <v>0</v>
      </c>
      <c r="AK16" s="51">
        <f t="shared" si="7"/>
        <v>0</v>
      </c>
      <c r="AL16" s="52">
        <f t="shared" si="7"/>
        <v>0</v>
      </c>
      <c r="AM16" s="40">
        <f>IFERROR(VLOOKUP($A16,'Parts List and Volumes'!$C$2:$W207,21,FALSE),"")</f>
        <v>0</v>
      </c>
      <c r="AN16" s="41" t="str">
        <f>IFERROR(VLOOKUP($A16,'Parts List and Volumes'!$C$2:$W207,22,FALSE),"")</f>
        <v/>
      </c>
      <c r="AO16" s="48">
        <f t="shared" si="8"/>
        <v>0</v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96" t="s">
        <v>325</v>
      </c>
      <c r="B17" s="24" t="s">
        <v>440</v>
      </c>
      <c r="C17" s="20" t="str">
        <f>IFERROR(VLOOKUP(A17,'Parts List and Volumes'!C16:D208,2,FALSE),"")</f>
        <v>NJ000677ACF20</v>
      </c>
      <c r="D17" s="39">
        <f>IFERROR(IF(VLOOKUP($A17,'Parts List and Volumes'!$C16:$F271,3,FALSE)=0,"",VLOOKUP(A17,'Parts List and Volumes'!C16:F271,3,FALSE)),"")</f>
        <v>4.76</v>
      </c>
      <c r="E17" s="39" t="str">
        <f>IFERROR(IF(VLOOKUP($A17,'Parts List and Volumes'!$C16:$F271,4,FALSE)=0,"",VLOOKUP(B17,'Parts List and Volumes'!D16:G271,3,FALSE)),"")</f>
        <v/>
      </c>
      <c r="F17" s="98">
        <v>13</v>
      </c>
      <c r="G17" s="40">
        <f>IFERROR(VLOOKUP($A17,'Parts List and Volumes'!$C$2:$W208,5,FALSE),"")</f>
        <v>21800</v>
      </c>
      <c r="H17" s="41">
        <f>IFERROR(VLOOKUP($A17,'Parts List and Volumes'!$C$2:$W208,6,FALSE),"")</f>
        <v>30000</v>
      </c>
      <c r="I17" s="42">
        <f t="shared" si="0"/>
        <v>2.0859094388506152E-2</v>
      </c>
      <c r="J17" s="43">
        <f t="shared" si="0"/>
        <v>2.8705175763999294E-2</v>
      </c>
      <c r="K17" s="58">
        <f>IFERROR(VLOOKUP($A17,'Parts List and Volumes'!$C$2:$W208,7,FALSE),"")</f>
        <v>0</v>
      </c>
      <c r="L17" s="45">
        <f>IFERROR(VLOOKUP($A17,'Parts List and Volumes'!$C$2:$W208,8,FALSE),"")</f>
        <v>30000</v>
      </c>
      <c r="M17" s="46">
        <f t="shared" si="1"/>
        <v>0</v>
      </c>
      <c r="N17" s="47">
        <f t="shared" si="1"/>
        <v>2.8705175763999294E-2</v>
      </c>
      <c r="O17" s="41">
        <f>IFERROR(VLOOKUP($A17,'Parts List and Volumes'!$C$2:$W208,9,FALSE),"")</f>
        <v>0</v>
      </c>
      <c r="P17" s="41">
        <f>IFERROR(VLOOKUP($A17,'Parts List and Volumes'!$C$2:$W208,10,FALSE),"")</f>
        <v>26500</v>
      </c>
      <c r="Q17" s="48">
        <f t="shared" si="2"/>
        <v>0</v>
      </c>
      <c r="R17" s="43">
        <f t="shared" si="2"/>
        <v>2.5356238591532708E-2</v>
      </c>
      <c r="S17" s="44">
        <f>IFERROR(VLOOKUP($A17,'Parts List and Volumes'!$C$2:$W208,11,FALSE),"")</f>
        <v>0</v>
      </c>
      <c r="T17" s="45">
        <f>IFERROR(VLOOKUP($A17,'Parts List and Volumes'!$C$2:$W208,12,FALSE),"")</f>
        <v>26500</v>
      </c>
      <c r="U17" s="46">
        <f t="shared" si="3"/>
        <v>0</v>
      </c>
      <c r="V17" s="47">
        <f t="shared" si="3"/>
        <v>2.5356238591532708E-2</v>
      </c>
      <c r="W17" s="40">
        <f>IFERROR(VLOOKUP($A17,'Parts List and Volumes'!$C$2:$W208,13,FALSE),"")</f>
        <v>0</v>
      </c>
      <c r="X17" s="41">
        <f>IFERROR(VLOOKUP($A17,'Parts List and Volumes'!$C$2:$W208,14,FALSE),"")</f>
        <v>26500</v>
      </c>
      <c r="Y17" s="48">
        <f t="shared" si="4"/>
        <v>0</v>
      </c>
      <c r="Z17" s="43">
        <f t="shared" si="4"/>
        <v>2.5356238591532708E-2</v>
      </c>
      <c r="AA17" s="49">
        <f>IFERROR(VLOOKUP($A17,'Parts List and Volumes'!$C$2:$W208,15,FALSE),"")</f>
        <v>0</v>
      </c>
      <c r="AB17" s="50">
        <f>IFERROR(VLOOKUP($A17,'Parts List and Volumes'!$C$2:$W208,16,FALSE),"")</f>
        <v>26500</v>
      </c>
      <c r="AC17" s="51">
        <f t="shared" si="5"/>
        <v>0</v>
      </c>
      <c r="AD17" s="52">
        <f t="shared" si="5"/>
        <v>2.5356238591532708E-2</v>
      </c>
      <c r="AE17" s="40">
        <f>IFERROR(VLOOKUP($A17,'Parts List and Volumes'!$C$2:$W208,17,FALSE),"")</f>
        <v>0</v>
      </c>
      <c r="AF17" s="41">
        <f>IFERROR(VLOOKUP($A17,'Parts List and Volumes'!$C$2:$W208,18,FALSE),"")</f>
        <v>26500</v>
      </c>
      <c r="AG17" s="48">
        <f t="shared" si="6"/>
        <v>0</v>
      </c>
      <c r="AH17" s="43">
        <f t="shared" si="6"/>
        <v>2.5356238591532708E-2</v>
      </c>
      <c r="AI17" s="49">
        <f>IFERROR(VLOOKUP($A17,'Parts List and Volumes'!$C$2:$W208,19,FALSE),"")</f>
        <v>0</v>
      </c>
      <c r="AJ17" s="50">
        <f>IFERROR(VLOOKUP($A17,'Parts List and Volumes'!$C$2:$W208,20,FALSE),"")</f>
        <v>0</v>
      </c>
      <c r="AK17" s="51">
        <f t="shared" si="7"/>
        <v>0</v>
      </c>
      <c r="AL17" s="52">
        <f t="shared" si="7"/>
        <v>0</v>
      </c>
      <c r="AM17" s="40">
        <f>IFERROR(VLOOKUP($A17,'Parts List and Volumes'!$C$2:$W208,21,FALSE),"")</f>
        <v>0</v>
      </c>
      <c r="AN17" s="41" t="str">
        <f>IFERROR(VLOOKUP($A17,'Parts List and Volumes'!$C$2:$W208,22,FALSE),"")</f>
        <v/>
      </c>
      <c r="AO17" s="48">
        <f t="shared" si="8"/>
        <v>0</v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96" t="s">
        <v>326</v>
      </c>
      <c r="B18" s="24" t="s">
        <v>440</v>
      </c>
      <c r="C18" s="20" t="str">
        <f>IFERROR(VLOOKUP(A18,'Parts List and Volumes'!C17:D209,2,FALSE),"")</f>
        <v>NJ000691ABF20</v>
      </c>
      <c r="D18" s="39">
        <f>IFERROR(IF(VLOOKUP($A18,'Parts List and Volumes'!$C17:$F272,3,FALSE)=0,"",VLOOKUP(A18,'Parts List and Volumes'!C17:F272,3,FALSE)),"")</f>
        <v>4.76</v>
      </c>
      <c r="E18" s="39" t="str">
        <f>IFERROR(IF(VLOOKUP($A18,'Parts List and Volumes'!$C17:$F272,4,FALSE)=0,"",VLOOKUP(B18,'Parts List and Volumes'!D17:G272,3,FALSE)),"")</f>
        <v/>
      </c>
      <c r="F18" s="98">
        <v>18</v>
      </c>
      <c r="G18" s="40">
        <f>IFERROR(VLOOKUP($A18,'Parts List and Volumes'!$C$2:$W209,5,FALSE),"")</f>
        <v>19600</v>
      </c>
      <c r="H18" s="41">
        <f>IFERROR(VLOOKUP($A18,'Parts List and Volumes'!$C$2:$W209,6,FALSE),"")</f>
        <v>30000</v>
      </c>
      <c r="I18" s="42">
        <f t="shared" si="0"/>
        <v>2.5967143614202437E-2</v>
      </c>
      <c r="J18" s="43">
        <f t="shared" si="0"/>
        <v>3.9745627980922099E-2</v>
      </c>
      <c r="K18" s="58">
        <f>IFERROR(VLOOKUP($A18,'Parts List and Volumes'!$C$2:$W209,7,FALSE),"")</f>
        <v>0</v>
      </c>
      <c r="L18" s="45">
        <f>IFERROR(VLOOKUP($A18,'Parts List and Volumes'!$C$2:$W209,8,FALSE),"")</f>
        <v>30000</v>
      </c>
      <c r="M18" s="46">
        <f t="shared" si="1"/>
        <v>0</v>
      </c>
      <c r="N18" s="47">
        <f t="shared" si="1"/>
        <v>3.9745627980922099E-2</v>
      </c>
      <c r="O18" s="41">
        <f>IFERROR(VLOOKUP($A18,'Parts List and Volumes'!$C$2:$W209,9,FALSE),"")</f>
        <v>0</v>
      </c>
      <c r="P18" s="41">
        <f>IFERROR(VLOOKUP($A18,'Parts List and Volumes'!$C$2:$W209,10,FALSE),"")</f>
        <v>26500</v>
      </c>
      <c r="Q18" s="48">
        <f t="shared" si="2"/>
        <v>0</v>
      </c>
      <c r="R18" s="43">
        <f t="shared" si="2"/>
        <v>3.5108638049814518E-2</v>
      </c>
      <c r="S18" s="44">
        <f>IFERROR(VLOOKUP($A18,'Parts List and Volumes'!$C$2:$W209,11,FALSE),"")</f>
        <v>0</v>
      </c>
      <c r="T18" s="45">
        <f>IFERROR(VLOOKUP($A18,'Parts List and Volumes'!$C$2:$W209,12,FALSE),"")</f>
        <v>26500</v>
      </c>
      <c r="U18" s="46">
        <f t="shared" si="3"/>
        <v>0</v>
      </c>
      <c r="V18" s="47">
        <f t="shared" si="3"/>
        <v>3.5108638049814518E-2</v>
      </c>
      <c r="W18" s="40">
        <f>IFERROR(VLOOKUP($A18,'Parts List and Volumes'!$C$2:$W209,13,FALSE),"")</f>
        <v>0</v>
      </c>
      <c r="X18" s="41">
        <f>IFERROR(VLOOKUP($A18,'Parts List and Volumes'!$C$2:$W209,14,FALSE),"")</f>
        <v>26500</v>
      </c>
      <c r="Y18" s="48">
        <f t="shared" si="4"/>
        <v>0</v>
      </c>
      <c r="Z18" s="43">
        <f t="shared" si="4"/>
        <v>3.5108638049814518E-2</v>
      </c>
      <c r="AA18" s="49">
        <f>IFERROR(VLOOKUP($A18,'Parts List and Volumes'!$C$2:$W209,15,FALSE),"")</f>
        <v>0</v>
      </c>
      <c r="AB18" s="50">
        <f>IFERROR(VLOOKUP($A18,'Parts List and Volumes'!$C$2:$W209,16,FALSE),"")</f>
        <v>26500</v>
      </c>
      <c r="AC18" s="51">
        <f t="shared" si="5"/>
        <v>0</v>
      </c>
      <c r="AD18" s="52">
        <f t="shared" si="5"/>
        <v>3.5108638049814518E-2</v>
      </c>
      <c r="AE18" s="40">
        <f>IFERROR(VLOOKUP($A18,'Parts List and Volumes'!$C$2:$W209,17,FALSE),"")</f>
        <v>0</v>
      </c>
      <c r="AF18" s="41">
        <f>IFERROR(VLOOKUP($A18,'Parts List and Volumes'!$C$2:$W209,18,FALSE),"")</f>
        <v>26500</v>
      </c>
      <c r="AG18" s="48">
        <f t="shared" si="6"/>
        <v>0</v>
      </c>
      <c r="AH18" s="43">
        <f t="shared" si="6"/>
        <v>3.5108638049814518E-2</v>
      </c>
      <c r="AI18" s="49">
        <f>IFERROR(VLOOKUP($A18,'Parts List and Volumes'!$C$2:$W209,19,FALSE),"")</f>
        <v>0</v>
      </c>
      <c r="AJ18" s="50">
        <f>IFERROR(VLOOKUP($A18,'Parts List and Volumes'!$C$2:$W209,20,FALSE),"")</f>
        <v>0</v>
      </c>
      <c r="AK18" s="51">
        <f t="shared" si="7"/>
        <v>0</v>
      </c>
      <c r="AL18" s="52">
        <f t="shared" si="7"/>
        <v>0</v>
      </c>
      <c r="AM18" s="40">
        <f>IFERROR(VLOOKUP($A18,'Parts List and Volumes'!$C$2:$W209,21,FALSE),"")</f>
        <v>0</v>
      </c>
      <c r="AN18" s="41" t="str">
        <f>IFERROR(VLOOKUP($A18,'Parts List and Volumes'!$C$2:$W209,22,FALSE),"")</f>
        <v/>
      </c>
      <c r="AO18" s="48">
        <f t="shared" si="8"/>
        <v>0</v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96" t="s">
        <v>328</v>
      </c>
      <c r="B19" s="24" t="s">
        <v>440</v>
      </c>
      <c r="C19" s="20" t="str">
        <f>IFERROR(VLOOKUP(A19,'Parts List and Volumes'!C18:D210,2,FALSE),"")</f>
        <v>NJ000675ABF20</v>
      </c>
      <c r="D19" s="39">
        <f>IFERROR(IF(VLOOKUP($A19,'Parts List and Volumes'!$C18:$F273,3,FALSE)=0,"",VLOOKUP(A19,'Parts List and Volumes'!C18:F273,3,FALSE)),"")</f>
        <v>4.76</v>
      </c>
      <c r="E19" s="39" t="str">
        <f>IFERROR(IF(VLOOKUP($A19,'Parts List and Volumes'!$C18:$F273,4,FALSE)=0,"",VLOOKUP(B19,'Parts List and Volumes'!D18:G273,3,FALSE)),"")</f>
        <v/>
      </c>
      <c r="F19" s="98">
        <v>13</v>
      </c>
      <c r="G19" s="40">
        <f>IFERROR(VLOOKUP($A19,'Parts List and Volumes'!$C$2:$W210,5,FALSE),"")</f>
        <v>21400</v>
      </c>
      <c r="H19" s="41">
        <f>IFERROR(VLOOKUP($A19,'Parts List and Volumes'!$C$2:$W210,6,FALSE),"")</f>
        <v>30000</v>
      </c>
      <c r="I19" s="42">
        <f t="shared" si="0"/>
        <v>2.047635871165283E-2</v>
      </c>
      <c r="J19" s="43">
        <f t="shared" si="0"/>
        <v>2.8705175763999294E-2</v>
      </c>
      <c r="K19" s="58">
        <f>IFERROR(VLOOKUP($A19,'Parts List and Volumes'!$C$2:$W210,7,FALSE),"")</f>
        <v>0</v>
      </c>
      <c r="L19" s="45">
        <f>IFERROR(VLOOKUP($A19,'Parts List and Volumes'!$C$2:$W210,8,FALSE),"")</f>
        <v>30000</v>
      </c>
      <c r="M19" s="46">
        <f t="shared" si="1"/>
        <v>0</v>
      </c>
      <c r="N19" s="47">
        <f t="shared" si="1"/>
        <v>2.8705175763999294E-2</v>
      </c>
      <c r="O19" s="41">
        <f>IFERROR(VLOOKUP($A19,'Parts List and Volumes'!$C$2:$W210,9,FALSE),"")</f>
        <v>0</v>
      </c>
      <c r="P19" s="41">
        <f>IFERROR(VLOOKUP($A19,'Parts List and Volumes'!$C$2:$W210,10,FALSE),"")</f>
        <v>26500</v>
      </c>
      <c r="Q19" s="48">
        <f t="shared" si="2"/>
        <v>0</v>
      </c>
      <c r="R19" s="43">
        <f t="shared" si="2"/>
        <v>2.5356238591532708E-2</v>
      </c>
      <c r="S19" s="44">
        <f>IFERROR(VLOOKUP($A19,'Parts List and Volumes'!$C$2:$W210,11,FALSE),"")</f>
        <v>0</v>
      </c>
      <c r="T19" s="45">
        <f>IFERROR(VLOOKUP($A19,'Parts List and Volumes'!$C$2:$W210,12,FALSE),"")</f>
        <v>26500</v>
      </c>
      <c r="U19" s="46">
        <f t="shared" si="3"/>
        <v>0</v>
      </c>
      <c r="V19" s="47">
        <f t="shared" si="3"/>
        <v>2.5356238591532708E-2</v>
      </c>
      <c r="W19" s="40">
        <f>IFERROR(VLOOKUP($A19,'Parts List and Volumes'!$C$2:$W210,13,FALSE),"")</f>
        <v>0</v>
      </c>
      <c r="X19" s="41">
        <f>IFERROR(VLOOKUP($A19,'Parts List and Volumes'!$C$2:$W210,14,FALSE),"")</f>
        <v>26500</v>
      </c>
      <c r="Y19" s="48">
        <f t="shared" si="4"/>
        <v>0</v>
      </c>
      <c r="Z19" s="43">
        <f t="shared" si="4"/>
        <v>2.5356238591532708E-2</v>
      </c>
      <c r="AA19" s="49">
        <f>IFERROR(VLOOKUP($A19,'Parts List and Volumes'!$C$2:$W210,15,FALSE),"")</f>
        <v>0</v>
      </c>
      <c r="AB19" s="50">
        <f>IFERROR(VLOOKUP($A19,'Parts List and Volumes'!$C$2:$W210,16,FALSE),"")</f>
        <v>26500</v>
      </c>
      <c r="AC19" s="51">
        <f t="shared" si="5"/>
        <v>0</v>
      </c>
      <c r="AD19" s="52">
        <f t="shared" si="5"/>
        <v>2.5356238591532708E-2</v>
      </c>
      <c r="AE19" s="40">
        <f>IFERROR(VLOOKUP($A19,'Parts List and Volumes'!$C$2:$W210,17,FALSE),"")</f>
        <v>0</v>
      </c>
      <c r="AF19" s="41">
        <f>IFERROR(VLOOKUP($A19,'Parts List and Volumes'!$C$2:$W210,18,FALSE),"")</f>
        <v>26500</v>
      </c>
      <c r="AG19" s="48">
        <f t="shared" si="6"/>
        <v>0</v>
      </c>
      <c r="AH19" s="43">
        <f t="shared" si="6"/>
        <v>2.5356238591532708E-2</v>
      </c>
      <c r="AI19" s="49">
        <f>IFERROR(VLOOKUP($A19,'Parts List and Volumes'!$C$2:$W210,19,FALSE),"")</f>
        <v>0</v>
      </c>
      <c r="AJ19" s="50">
        <f>IFERROR(VLOOKUP($A19,'Parts List and Volumes'!$C$2:$W210,20,FALSE),"")</f>
        <v>0</v>
      </c>
      <c r="AK19" s="51">
        <f t="shared" si="7"/>
        <v>0</v>
      </c>
      <c r="AL19" s="52">
        <f t="shared" si="7"/>
        <v>0</v>
      </c>
      <c r="AM19" s="40">
        <f>IFERROR(VLOOKUP($A19,'Parts List and Volumes'!$C$2:$W210,21,FALSE),"")</f>
        <v>0</v>
      </c>
      <c r="AN19" s="41" t="str">
        <f>IFERROR(VLOOKUP($A19,'Parts List and Volumes'!$C$2:$W210,22,FALSE),"")</f>
        <v/>
      </c>
      <c r="AO19" s="48">
        <f t="shared" si="8"/>
        <v>0</v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96" t="s">
        <v>316</v>
      </c>
      <c r="B20" s="24" t="s">
        <v>439</v>
      </c>
      <c r="C20" s="20" t="str">
        <f>IFERROR(VLOOKUP(A20,'Parts List and Volumes'!C19:D211,2,FALSE),"")</f>
        <v>NJ000674ABF20</v>
      </c>
      <c r="D20" s="39">
        <f>IFERROR(IF(VLOOKUP($A20,'Parts List and Volumes'!$C19:$F274,3,FALSE)=0,"",VLOOKUP(A20,'Parts List and Volumes'!C19:F274,3,FALSE)),"")</f>
        <v>4.76</v>
      </c>
      <c r="E20" s="39" t="str">
        <f>IFERROR(IF(VLOOKUP($A20,'Parts List and Volumes'!$C19:$F274,4,FALSE)=0,"",VLOOKUP(B20,'Parts List and Volumes'!D19:G274,3,FALSE)),"")</f>
        <v/>
      </c>
      <c r="F20" s="98">
        <v>17</v>
      </c>
      <c r="G20" s="40">
        <f>IFERROR(VLOOKUP($A20,'Parts List and Volumes'!$C$2:$W211,5,FALSE),"")</f>
        <v>16400</v>
      </c>
      <c r="H20" s="41">
        <f>IFERROR(VLOOKUP($A20,'Parts List and Volumes'!$C$2:$W211,6,FALSE),"")</f>
        <v>20000</v>
      </c>
      <c r="I20" s="42">
        <f t="shared" si="0"/>
        <v>2.0520520520520519E-2</v>
      </c>
      <c r="J20" s="43">
        <f t="shared" si="0"/>
        <v>2.5025025025025027E-2</v>
      </c>
      <c r="K20" s="58">
        <f>IFERROR(VLOOKUP($A20,'Parts List and Volumes'!$C$2:$W211,7,FALSE),"")</f>
        <v>0</v>
      </c>
      <c r="L20" s="45">
        <f>IFERROR(VLOOKUP($A20,'Parts List and Volumes'!$C$2:$W211,8,FALSE),"")</f>
        <v>30000</v>
      </c>
      <c r="M20" s="46">
        <f t="shared" si="1"/>
        <v>0</v>
      </c>
      <c r="N20" s="47">
        <f t="shared" si="1"/>
        <v>3.7537537537537538E-2</v>
      </c>
      <c r="O20" s="41">
        <f>IFERROR(VLOOKUP($A20,'Parts List and Volumes'!$C$2:$W211,9,FALSE),"")</f>
        <v>0</v>
      </c>
      <c r="P20" s="41">
        <f>IFERROR(VLOOKUP($A20,'Parts List and Volumes'!$C$2:$W211,10,FALSE),"")</f>
        <v>27500</v>
      </c>
      <c r="Q20" s="48">
        <f t="shared" si="2"/>
        <v>0</v>
      </c>
      <c r="R20" s="43">
        <f t="shared" si="2"/>
        <v>3.4409409409409411E-2</v>
      </c>
      <c r="S20" s="44">
        <f>IFERROR(VLOOKUP($A20,'Parts List and Volumes'!$C$2:$W211,11,FALSE),"")</f>
        <v>0</v>
      </c>
      <c r="T20" s="45">
        <f>IFERROR(VLOOKUP($A20,'Parts List and Volumes'!$C$2:$W211,12,FALSE),"")</f>
        <v>27500</v>
      </c>
      <c r="U20" s="46">
        <f t="shared" si="3"/>
        <v>0</v>
      </c>
      <c r="V20" s="47">
        <f t="shared" si="3"/>
        <v>3.4409409409409411E-2</v>
      </c>
      <c r="W20" s="40">
        <f>IFERROR(VLOOKUP($A20,'Parts List and Volumes'!$C$2:$W211,13,FALSE),"")</f>
        <v>0</v>
      </c>
      <c r="X20" s="41">
        <f>IFERROR(VLOOKUP($A20,'Parts List and Volumes'!$C$2:$W211,14,FALSE),"")</f>
        <v>27500</v>
      </c>
      <c r="Y20" s="48">
        <f t="shared" si="4"/>
        <v>0</v>
      </c>
      <c r="Z20" s="43">
        <f t="shared" si="4"/>
        <v>3.4409409409409411E-2</v>
      </c>
      <c r="AA20" s="49">
        <f>IFERROR(VLOOKUP($A20,'Parts List and Volumes'!$C$2:$W211,15,FALSE),"")</f>
        <v>0</v>
      </c>
      <c r="AB20" s="50">
        <f>IFERROR(VLOOKUP($A20,'Parts List and Volumes'!$C$2:$W211,16,FALSE),"")</f>
        <v>27500</v>
      </c>
      <c r="AC20" s="51">
        <f t="shared" si="5"/>
        <v>0</v>
      </c>
      <c r="AD20" s="52">
        <f t="shared" si="5"/>
        <v>3.4409409409409411E-2</v>
      </c>
      <c r="AE20" s="40">
        <f>IFERROR(VLOOKUP($A20,'Parts List and Volumes'!$C$2:$W211,17,FALSE),"")</f>
        <v>0</v>
      </c>
      <c r="AF20" s="41">
        <f>IFERROR(VLOOKUP($A20,'Parts List and Volumes'!$C$2:$W211,18,FALSE),"")</f>
        <v>27500</v>
      </c>
      <c r="AG20" s="48">
        <f t="shared" si="6"/>
        <v>0</v>
      </c>
      <c r="AH20" s="43">
        <f t="shared" si="6"/>
        <v>3.4409409409409411E-2</v>
      </c>
      <c r="AI20" s="49">
        <f>IFERROR(VLOOKUP($A20,'Parts List and Volumes'!$C$2:$W211,19,FALSE),"")</f>
        <v>0</v>
      </c>
      <c r="AJ20" s="50">
        <f>IFERROR(VLOOKUP($A20,'Parts List and Volumes'!$C$2:$W211,20,FALSE),"")</f>
        <v>0</v>
      </c>
      <c r="AK20" s="51">
        <f t="shared" si="7"/>
        <v>0</v>
      </c>
      <c r="AL20" s="52">
        <f t="shared" si="7"/>
        <v>0</v>
      </c>
      <c r="AM20" s="40">
        <f>IFERROR(VLOOKUP($A20,'Parts List and Volumes'!$C$2:$W211,21,FALSE),"")</f>
        <v>0</v>
      </c>
      <c r="AN20" s="41" t="str">
        <f>IFERROR(VLOOKUP($A20,'Parts List and Volumes'!$C$2:$W211,22,FALSE),"")</f>
        <v/>
      </c>
      <c r="AO20" s="48">
        <f t="shared" si="8"/>
        <v>0</v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96" t="s">
        <v>350</v>
      </c>
      <c r="B21" s="24" t="s">
        <v>435</v>
      </c>
      <c r="C21" s="20" t="str">
        <f>IFERROR(VLOOKUP(A21,'Parts List and Volumes'!C20:D212,2,FALSE),"")</f>
        <v>NJ000749AAF20</v>
      </c>
      <c r="D21" s="39">
        <f>IFERROR(IF(VLOOKUP($A21,'Parts List and Volumes'!$C20:$F275,3,FALSE)=0,"",VLOOKUP(A21,'Parts List and Volumes'!C20:F275,3,FALSE)),"")</f>
        <v>4.76</v>
      </c>
      <c r="E21" s="39" t="str">
        <f>IFERROR(IF(VLOOKUP($A21,'Parts List and Volumes'!$C20:$F275,4,FALSE)=0,"",VLOOKUP(B21,'Parts List and Volumes'!D20:G275,3,FALSE)),"")</f>
        <v/>
      </c>
      <c r="F21" s="98">
        <v>25</v>
      </c>
      <c r="G21" s="40">
        <f>IFERROR(VLOOKUP($A21,'Parts List and Volumes'!$C$2:$W212,5,FALSE),"")</f>
        <v>15600</v>
      </c>
      <c r="H21" s="41">
        <f>IFERROR(VLOOKUP($A21,'Parts List and Volumes'!$C$2:$W212,6,FALSE),"")</f>
        <v>10439.96764258865</v>
      </c>
      <c r="I21" s="42">
        <f t="shared" si="0"/>
        <v>2.8705175763999294E-2</v>
      </c>
      <c r="J21" s="43">
        <f t="shared" si="0"/>
        <v>1.9210327317370036E-2</v>
      </c>
      <c r="K21" s="58">
        <f>IFERROR(VLOOKUP($A21,'Parts List and Volumes'!$C$2:$W212,7,FALSE),"")</f>
        <v>0</v>
      </c>
      <c r="L21" s="45">
        <f>IFERROR(VLOOKUP($A21,'Parts List and Volumes'!$C$2:$W212,8,FALSE),"")</f>
        <v>20447.63370430352</v>
      </c>
      <c r="M21" s="46">
        <f t="shared" si="1"/>
        <v>0</v>
      </c>
      <c r="N21" s="47">
        <f t="shared" si="1"/>
        <v>3.7625187143583878E-2</v>
      </c>
      <c r="O21" s="41">
        <f>IFERROR(VLOOKUP($A21,'Parts List and Volumes'!$C$2:$W212,9,FALSE),"")</f>
        <v>0</v>
      </c>
      <c r="P21" s="41">
        <f>IFERROR(VLOOKUP($A21,'Parts List and Volumes'!$C$2:$W212,10,FALSE),"")</f>
        <v>19929.446159936266</v>
      </c>
      <c r="Q21" s="48">
        <f t="shared" si="2"/>
        <v>0</v>
      </c>
      <c r="R21" s="43">
        <f t="shared" si="2"/>
        <v>3.6671683006418675E-2</v>
      </c>
      <c r="S21" s="44">
        <f>IFERROR(VLOOKUP($A21,'Parts List and Volumes'!$C$2:$W212,11,FALSE),"")</f>
        <v>0</v>
      </c>
      <c r="T21" s="45">
        <f>IFERROR(VLOOKUP($A21,'Parts List and Volumes'!$C$2:$W212,12,FALSE),"")</f>
        <v>15428.007023705004</v>
      </c>
      <c r="U21" s="46">
        <f t="shared" si="3"/>
        <v>0</v>
      </c>
      <c r="V21" s="47">
        <f t="shared" si="3"/>
        <v>2.8388695724594088E-2</v>
      </c>
      <c r="W21" s="40">
        <f>IFERROR(VLOOKUP($A21,'Parts List and Volumes'!$C$2:$W212,13,FALSE),"")</f>
        <v>0</v>
      </c>
      <c r="X21" s="41">
        <f>IFERROR(VLOOKUP($A21,'Parts List and Volumes'!$C$2:$W212,14,FALSE),"")</f>
        <v>0</v>
      </c>
      <c r="Y21" s="48">
        <f t="shared" si="4"/>
        <v>0</v>
      </c>
      <c r="Z21" s="43">
        <f t="shared" si="4"/>
        <v>0</v>
      </c>
      <c r="AA21" s="49">
        <f>IFERROR(VLOOKUP($A21,'Parts List and Volumes'!$C$2:$W212,15,FALSE),"")</f>
        <v>0</v>
      </c>
      <c r="AB21" s="50">
        <f>IFERROR(VLOOKUP($A21,'Parts List and Volumes'!$C$2:$W212,16,FALSE),"")</f>
        <v>0</v>
      </c>
      <c r="AC21" s="51">
        <f t="shared" si="5"/>
        <v>0</v>
      </c>
      <c r="AD21" s="52">
        <f t="shared" si="5"/>
        <v>0</v>
      </c>
      <c r="AE21" s="40">
        <f>IFERROR(VLOOKUP($A21,'Parts List and Volumes'!$C$2:$W212,17,FALSE),"")</f>
        <v>0</v>
      </c>
      <c r="AF21" s="41">
        <f>IFERROR(VLOOKUP($A21,'Parts List and Volumes'!$C$2:$W212,18,FALSE),"")</f>
        <v>0</v>
      </c>
      <c r="AG21" s="48">
        <f t="shared" si="6"/>
        <v>0</v>
      </c>
      <c r="AH21" s="43">
        <f t="shared" si="6"/>
        <v>0</v>
      </c>
      <c r="AI21" s="49">
        <f>IFERROR(VLOOKUP($A21,'Parts List and Volumes'!$C$2:$W212,19,FALSE),"")</f>
        <v>0</v>
      </c>
      <c r="AJ21" s="50">
        <f>IFERROR(VLOOKUP($A21,'Parts List and Volumes'!$C$2:$W212,20,FALSE),"")</f>
        <v>0</v>
      </c>
      <c r="AK21" s="51">
        <f t="shared" si="7"/>
        <v>0</v>
      </c>
      <c r="AL21" s="52">
        <f t="shared" si="7"/>
        <v>0</v>
      </c>
      <c r="AM21" s="40">
        <f>IFERROR(VLOOKUP($A21,'Parts List and Volumes'!$C$2:$W212,21,FALSE),"")</f>
        <v>0</v>
      </c>
      <c r="AN21" s="41" t="str">
        <f>IFERROR(VLOOKUP($A21,'Parts List and Volumes'!$C$2:$W212,22,FALSE),"")</f>
        <v/>
      </c>
      <c r="AO21" s="48">
        <f t="shared" si="8"/>
        <v>0</v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96" t="s">
        <v>352</v>
      </c>
      <c r="B22" s="24" t="s">
        <v>435</v>
      </c>
      <c r="C22" s="20" t="str">
        <f>IFERROR(VLOOKUP(A22,'Parts List and Volumes'!C21:D213,2,FALSE),"")</f>
        <v>NJ000750AAF20</v>
      </c>
      <c r="D22" s="39">
        <f>IFERROR(IF(VLOOKUP($A22,'Parts List and Volumes'!$C21:$F276,3,FALSE)=0,"",VLOOKUP(A22,'Parts List and Volumes'!C21:F276,3,FALSE)),"")</f>
        <v>4.76</v>
      </c>
      <c r="E22" s="39" t="str">
        <f>IFERROR(IF(VLOOKUP($A22,'Parts List and Volumes'!$C21:$F276,4,FALSE)=0,"",VLOOKUP(B22,'Parts List and Volumes'!D21:G276,3,FALSE)),"")</f>
        <v/>
      </c>
      <c r="F22" s="98">
        <v>26</v>
      </c>
      <c r="G22" s="40">
        <f>IFERROR(VLOOKUP($A22,'Parts List and Volumes'!$C$2:$W213,5,FALSE),"")</f>
        <v>15600</v>
      </c>
      <c r="H22" s="41">
        <f>IFERROR(VLOOKUP($A22,'Parts List and Volumes'!$C$2:$W213,6,FALSE),"")</f>
        <v>10439.96764258865</v>
      </c>
      <c r="I22" s="42">
        <f t="shared" si="0"/>
        <v>2.9853382794559267E-2</v>
      </c>
      <c r="J22" s="43">
        <f t="shared" si="0"/>
        <v>1.9978740410064838E-2</v>
      </c>
      <c r="K22" s="58">
        <f>IFERROR(VLOOKUP($A22,'Parts List and Volumes'!$C$2:$W213,7,FALSE),"")</f>
        <v>0</v>
      </c>
      <c r="L22" s="45">
        <f>IFERROR(VLOOKUP($A22,'Parts List and Volumes'!$C$2:$W213,8,FALSE),"")</f>
        <v>20447.63370430352</v>
      </c>
      <c r="M22" s="46">
        <f t="shared" si="1"/>
        <v>0</v>
      </c>
      <c r="N22" s="47">
        <f t="shared" si="1"/>
        <v>3.9130194629327236E-2</v>
      </c>
      <c r="O22" s="41">
        <f>IFERROR(VLOOKUP($A22,'Parts List and Volumes'!$C$2:$W213,9,FALSE),"")</f>
        <v>0</v>
      </c>
      <c r="P22" s="41">
        <f>IFERROR(VLOOKUP($A22,'Parts List and Volumes'!$C$2:$W213,10,FALSE),"")</f>
        <v>19929.446159936266</v>
      </c>
      <c r="Q22" s="48">
        <f t="shared" si="2"/>
        <v>0</v>
      </c>
      <c r="R22" s="43">
        <f t="shared" si="2"/>
        <v>3.8138550326675416E-2</v>
      </c>
      <c r="S22" s="44">
        <f>IFERROR(VLOOKUP($A22,'Parts List and Volumes'!$C$2:$W213,11,FALSE),"")</f>
        <v>0</v>
      </c>
      <c r="T22" s="45">
        <f>IFERROR(VLOOKUP($A22,'Parts List and Volumes'!$C$2:$W213,12,FALSE),"")</f>
        <v>15428.007023705004</v>
      </c>
      <c r="U22" s="46">
        <f t="shared" si="3"/>
        <v>0</v>
      </c>
      <c r="V22" s="47">
        <f t="shared" si="3"/>
        <v>2.9524243553577849E-2</v>
      </c>
      <c r="W22" s="40">
        <f>IFERROR(VLOOKUP($A22,'Parts List and Volumes'!$C$2:$W213,13,FALSE),"")</f>
        <v>0</v>
      </c>
      <c r="X22" s="41">
        <f>IFERROR(VLOOKUP($A22,'Parts List and Volumes'!$C$2:$W213,14,FALSE),"")</f>
        <v>0</v>
      </c>
      <c r="Y22" s="48">
        <f t="shared" si="4"/>
        <v>0</v>
      </c>
      <c r="Z22" s="43">
        <f t="shared" si="4"/>
        <v>0</v>
      </c>
      <c r="AA22" s="49">
        <f>IFERROR(VLOOKUP($A22,'Parts List and Volumes'!$C$2:$W213,15,FALSE),"")</f>
        <v>0</v>
      </c>
      <c r="AB22" s="50">
        <f>IFERROR(VLOOKUP($A22,'Parts List and Volumes'!$C$2:$W213,16,FALSE),"")</f>
        <v>0</v>
      </c>
      <c r="AC22" s="51">
        <f t="shared" si="5"/>
        <v>0</v>
      </c>
      <c r="AD22" s="52">
        <f t="shared" si="5"/>
        <v>0</v>
      </c>
      <c r="AE22" s="40">
        <f>IFERROR(VLOOKUP($A22,'Parts List and Volumes'!$C$2:$W213,17,FALSE),"")</f>
        <v>0</v>
      </c>
      <c r="AF22" s="41">
        <f>IFERROR(VLOOKUP($A22,'Parts List and Volumes'!$C$2:$W213,18,FALSE),"")</f>
        <v>0</v>
      </c>
      <c r="AG22" s="48">
        <f t="shared" si="6"/>
        <v>0</v>
      </c>
      <c r="AH22" s="43">
        <f t="shared" si="6"/>
        <v>0</v>
      </c>
      <c r="AI22" s="49">
        <f>IFERROR(VLOOKUP($A22,'Parts List and Volumes'!$C$2:$W213,19,FALSE),"")</f>
        <v>0</v>
      </c>
      <c r="AJ22" s="50">
        <f>IFERROR(VLOOKUP($A22,'Parts List and Volumes'!$C$2:$W213,20,FALSE),"")</f>
        <v>0</v>
      </c>
      <c r="AK22" s="51">
        <f t="shared" si="7"/>
        <v>0</v>
      </c>
      <c r="AL22" s="52">
        <f t="shared" si="7"/>
        <v>0</v>
      </c>
      <c r="AM22" s="40">
        <f>IFERROR(VLOOKUP($A22,'Parts List and Volumes'!$C$2:$W213,21,FALSE),"")</f>
        <v>0</v>
      </c>
      <c r="AN22" s="41" t="str">
        <f>IFERROR(VLOOKUP($A22,'Parts List and Volumes'!$C$2:$W213,22,FALSE),"")</f>
        <v/>
      </c>
      <c r="AO22" s="48">
        <f t="shared" si="8"/>
        <v>0</v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96" t="s">
        <v>355</v>
      </c>
      <c r="B23" s="24" t="s">
        <v>435</v>
      </c>
      <c r="C23" s="20" t="str">
        <f>IFERROR(VLOOKUP(A23,'Parts List and Volumes'!C22:D214,2,FALSE),"")</f>
        <v>NJ000752ABF20</v>
      </c>
      <c r="D23" s="39">
        <f>IFERROR(IF(VLOOKUP($A23,'Parts List and Volumes'!$C22:$F277,3,FALSE)=0,"",VLOOKUP(A23,'Parts List and Volumes'!C22:F277,3,FALSE)),"")</f>
        <v>4.76</v>
      </c>
      <c r="E23" s="39" t="str">
        <f>IFERROR(IF(VLOOKUP($A23,'Parts List and Volumes'!$C22:$F277,4,FALSE)=0,"",VLOOKUP(B23,'Parts List and Volumes'!D22:G277,3,FALSE)),"")</f>
        <v/>
      </c>
      <c r="F23" s="98">
        <v>13</v>
      </c>
      <c r="G23" s="40">
        <f>IFERROR(VLOOKUP($A23,'Parts List and Volumes'!$C$2:$W214,5,FALSE),"")</f>
        <v>0</v>
      </c>
      <c r="H23" s="41">
        <f>IFERROR(VLOOKUP($A23,'Parts List and Volumes'!$C$2:$W214,6,FALSE),"")</f>
        <v>4995.4108502463532</v>
      </c>
      <c r="I23" s="42">
        <f t="shared" si="0"/>
        <v>0</v>
      </c>
      <c r="J23" s="43">
        <f t="shared" si="0"/>
        <v>4.7798048823236901E-3</v>
      </c>
      <c r="K23" s="58">
        <f>IFERROR(VLOOKUP($A23,'Parts List and Volumes'!$C$2:$W214,7,FALSE),"")</f>
        <v>0</v>
      </c>
      <c r="L23" s="45">
        <f>IFERROR(VLOOKUP($A23,'Parts List and Volumes'!$C$2:$W214,8,FALSE),"")</f>
        <v>17515.652000762144</v>
      </c>
      <c r="M23" s="46">
        <f t="shared" si="1"/>
        <v>0</v>
      </c>
      <c r="N23" s="47">
        <f t="shared" si="1"/>
        <v>1.6759662310097442E-2</v>
      </c>
      <c r="O23" s="41">
        <f>IFERROR(VLOOKUP($A23,'Parts List and Volumes'!$C$2:$W214,9,FALSE),"")</f>
        <v>0</v>
      </c>
      <c r="P23" s="41">
        <f>IFERROR(VLOOKUP($A23,'Parts List and Volumes'!$C$2:$W214,10,FALSE),"")</f>
        <v>18600.695964398939</v>
      </c>
      <c r="Q23" s="48">
        <f t="shared" si="2"/>
        <v>0</v>
      </c>
      <c r="R23" s="43">
        <f t="shared" si="2"/>
        <v>1.7797874899692798E-2</v>
      </c>
      <c r="S23" s="44">
        <f>IFERROR(VLOOKUP($A23,'Parts List and Volumes'!$C$2:$W214,11,FALSE),"")</f>
        <v>0</v>
      </c>
      <c r="T23" s="45">
        <f>IFERROR(VLOOKUP($A23,'Parts List and Volumes'!$C$2:$W214,12,FALSE),"")</f>
        <v>17571.992976294991</v>
      </c>
      <c r="U23" s="46">
        <f t="shared" si="3"/>
        <v>0</v>
      </c>
      <c r="V23" s="47">
        <f t="shared" si="3"/>
        <v>1.6813571563610293E-2</v>
      </c>
      <c r="W23" s="40">
        <f>IFERROR(VLOOKUP($A23,'Parts List and Volumes'!$C$2:$W214,13,FALSE),"")</f>
        <v>0</v>
      </c>
      <c r="X23" s="41">
        <f>IFERROR(VLOOKUP($A23,'Parts List and Volumes'!$C$2:$W214,14,FALSE),"")</f>
        <v>0</v>
      </c>
      <c r="Y23" s="48">
        <f t="shared" si="4"/>
        <v>0</v>
      </c>
      <c r="Z23" s="43">
        <f t="shared" si="4"/>
        <v>0</v>
      </c>
      <c r="AA23" s="49">
        <f>IFERROR(VLOOKUP($A23,'Parts List and Volumes'!$C$2:$W214,15,FALSE),"")</f>
        <v>0</v>
      </c>
      <c r="AB23" s="50">
        <f>IFERROR(VLOOKUP($A23,'Parts List and Volumes'!$C$2:$W214,16,FALSE),"")</f>
        <v>0</v>
      </c>
      <c r="AC23" s="51">
        <f t="shared" si="5"/>
        <v>0</v>
      </c>
      <c r="AD23" s="52">
        <f t="shared" si="5"/>
        <v>0</v>
      </c>
      <c r="AE23" s="40">
        <f>IFERROR(VLOOKUP($A23,'Parts List and Volumes'!$C$2:$W214,17,FALSE),"")</f>
        <v>0</v>
      </c>
      <c r="AF23" s="41">
        <f>IFERROR(VLOOKUP($A23,'Parts List and Volumes'!$C$2:$W214,18,FALSE),"")</f>
        <v>0</v>
      </c>
      <c r="AG23" s="48">
        <f t="shared" si="6"/>
        <v>0</v>
      </c>
      <c r="AH23" s="43">
        <f t="shared" si="6"/>
        <v>0</v>
      </c>
      <c r="AI23" s="49">
        <f>IFERROR(VLOOKUP($A23,'Parts List and Volumes'!$C$2:$W214,19,FALSE),"")</f>
        <v>0</v>
      </c>
      <c r="AJ23" s="50">
        <f>IFERROR(VLOOKUP($A23,'Parts List and Volumes'!$C$2:$W214,20,FALSE),"")</f>
        <v>0</v>
      </c>
      <c r="AK23" s="51">
        <f t="shared" si="7"/>
        <v>0</v>
      </c>
      <c r="AL23" s="52">
        <f t="shared" si="7"/>
        <v>0</v>
      </c>
      <c r="AM23" s="40">
        <f>IFERROR(VLOOKUP($A23,'Parts List and Volumes'!$C$2:$W214,21,FALSE),"")</f>
        <v>0</v>
      </c>
      <c r="AN23" s="41" t="str">
        <f>IFERROR(VLOOKUP($A23,'Parts List and Volumes'!$C$2:$W214,22,FALSE),"")</f>
        <v/>
      </c>
      <c r="AO23" s="48">
        <f t="shared" si="8"/>
        <v>0</v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96" t="s">
        <v>356</v>
      </c>
      <c r="B24" s="24" t="s">
        <v>435</v>
      </c>
      <c r="C24" s="20" t="str">
        <f>IFERROR(VLOOKUP(A24,'Parts List and Volumes'!C23:D215,2,FALSE),"")</f>
        <v>NJ000753ABF20</v>
      </c>
      <c r="D24" s="39">
        <f>IFERROR(IF(VLOOKUP($A24,'Parts List and Volumes'!$C23:$F278,3,FALSE)=0,"",VLOOKUP(A24,'Parts List and Volumes'!C23:F278,3,FALSE)),"")</f>
        <v>4.76</v>
      </c>
      <c r="E24" s="39" t="str">
        <f>IFERROR(IF(VLOOKUP($A24,'Parts List and Volumes'!$C23:$F278,4,FALSE)=0,"",VLOOKUP(B24,'Parts List and Volumes'!D23:G278,3,FALSE)),"")</f>
        <v/>
      </c>
      <c r="F24" s="98">
        <v>15</v>
      </c>
      <c r="G24" s="40">
        <f>IFERROR(VLOOKUP($A24,'Parts List and Volumes'!$C$2:$W215,5,FALSE),"")</f>
        <v>0</v>
      </c>
      <c r="H24" s="41">
        <f>IFERROR(VLOOKUP($A24,'Parts List and Volumes'!$C$2:$W215,6,FALSE),"")</f>
        <v>4995.4108502463532</v>
      </c>
      <c r="I24" s="42">
        <f t="shared" si="0"/>
        <v>0</v>
      </c>
      <c r="J24" s="43">
        <f t="shared" si="0"/>
        <v>5.5151594796042586E-3</v>
      </c>
      <c r="K24" s="58">
        <f>IFERROR(VLOOKUP($A24,'Parts List and Volumes'!$C$2:$W215,7,FALSE),"")</f>
        <v>0</v>
      </c>
      <c r="L24" s="45">
        <f>IFERROR(VLOOKUP($A24,'Parts List and Volumes'!$C$2:$W215,8,FALSE),"")</f>
        <v>17515.652000762144</v>
      </c>
      <c r="M24" s="46">
        <f t="shared" si="1"/>
        <v>0</v>
      </c>
      <c r="N24" s="47">
        <f t="shared" si="1"/>
        <v>1.9338071896266275E-2</v>
      </c>
      <c r="O24" s="41">
        <f>IFERROR(VLOOKUP($A24,'Parts List and Volumes'!$C$2:$W215,9,FALSE),"")</f>
        <v>0</v>
      </c>
      <c r="P24" s="41">
        <f>IFERROR(VLOOKUP($A24,'Parts List and Volumes'!$C$2:$W215,10,FALSE),"")</f>
        <v>18600.695964398939</v>
      </c>
      <c r="Q24" s="48">
        <f t="shared" si="2"/>
        <v>0</v>
      </c>
      <c r="R24" s="43">
        <f t="shared" si="2"/>
        <v>2.0536009499645538E-2</v>
      </c>
      <c r="S24" s="44">
        <f>IFERROR(VLOOKUP($A24,'Parts List and Volumes'!$C$2:$W215,11,FALSE),"")</f>
        <v>0</v>
      </c>
      <c r="T24" s="45">
        <f>IFERROR(VLOOKUP($A24,'Parts List and Volumes'!$C$2:$W215,12,FALSE),"")</f>
        <v>17571.992976294991</v>
      </c>
      <c r="U24" s="46">
        <f t="shared" si="3"/>
        <v>0</v>
      </c>
      <c r="V24" s="47">
        <f t="shared" si="3"/>
        <v>1.9400274881088798E-2</v>
      </c>
      <c r="W24" s="40">
        <f>IFERROR(VLOOKUP($A24,'Parts List and Volumes'!$C$2:$W215,13,FALSE),"")</f>
        <v>0</v>
      </c>
      <c r="X24" s="41">
        <f>IFERROR(VLOOKUP($A24,'Parts List and Volumes'!$C$2:$W215,14,FALSE),"")</f>
        <v>0</v>
      </c>
      <c r="Y24" s="48">
        <f t="shared" si="4"/>
        <v>0</v>
      </c>
      <c r="Z24" s="43">
        <f t="shared" si="4"/>
        <v>0</v>
      </c>
      <c r="AA24" s="49">
        <f>IFERROR(VLOOKUP($A24,'Parts List and Volumes'!$C$2:$W215,15,FALSE),"")</f>
        <v>0</v>
      </c>
      <c r="AB24" s="50">
        <f>IFERROR(VLOOKUP($A24,'Parts List and Volumes'!$C$2:$W215,16,FALSE),"")</f>
        <v>0</v>
      </c>
      <c r="AC24" s="51">
        <f t="shared" si="5"/>
        <v>0</v>
      </c>
      <c r="AD24" s="52">
        <f t="shared" si="5"/>
        <v>0</v>
      </c>
      <c r="AE24" s="40">
        <f>IFERROR(VLOOKUP($A24,'Parts List and Volumes'!$C$2:$W215,17,FALSE),"")</f>
        <v>0</v>
      </c>
      <c r="AF24" s="41">
        <f>IFERROR(VLOOKUP($A24,'Parts List and Volumes'!$C$2:$W215,18,FALSE),"")</f>
        <v>0</v>
      </c>
      <c r="AG24" s="48">
        <f t="shared" si="6"/>
        <v>0</v>
      </c>
      <c r="AH24" s="43">
        <f t="shared" si="6"/>
        <v>0</v>
      </c>
      <c r="AI24" s="49">
        <f>IFERROR(VLOOKUP($A24,'Parts List and Volumes'!$C$2:$W215,19,FALSE),"")</f>
        <v>0</v>
      </c>
      <c r="AJ24" s="50">
        <f>IFERROR(VLOOKUP($A24,'Parts List and Volumes'!$C$2:$W215,20,FALSE),"")</f>
        <v>0</v>
      </c>
      <c r="AK24" s="51">
        <f t="shared" si="7"/>
        <v>0</v>
      </c>
      <c r="AL24" s="52">
        <f t="shared" si="7"/>
        <v>0</v>
      </c>
      <c r="AM24" s="40">
        <f>IFERROR(VLOOKUP($A24,'Parts List and Volumes'!$C$2:$W215,21,FALSE),"")</f>
        <v>0</v>
      </c>
      <c r="AN24" s="41" t="str">
        <f>IFERROR(VLOOKUP($A24,'Parts List and Volumes'!$C$2:$W215,22,FALSE),"")</f>
        <v/>
      </c>
      <c r="AO24" s="48">
        <f t="shared" si="8"/>
        <v>0</v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96" t="s">
        <v>353</v>
      </c>
      <c r="B25" s="24" t="s">
        <v>435</v>
      </c>
      <c r="C25" s="20" t="str">
        <f>IFERROR(VLOOKUP(A25,'Parts List and Volumes'!C24:D216,2,FALSE),"")</f>
        <v>NJ000754AAF20</v>
      </c>
      <c r="D25" s="39">
        <f>IFERROR(IF(VLOOKUP($A25,'Parts List and Volumes'!$C24:$F279,3,FALSE)=0,"",VLOOKUP(A25,'Parts List and Volumes'!C24:F279,3,FALSE)),"")</f>
        <v>4.76</v>
      </c>
      <c r="E25" s="39" t="str">
        <f>IFERROR(IF(VLOOKUP($A25,'Parts List and Volumes'!$C24:$F279,4,FALSE)=0,"",VLOOKUP(B25,'Parts List and Volumes'!D24:G279,3,FALSE)),"")</f>
        <v/>
      </c>
      <c r="F25" s="98">
        <v>12</v>
      </c>
      <c r="G25" s="40">
        <f>IFERROR(VLOOKUP($A25,'Parts List and Volumes'!$C$2:$W216,5,FALSE),"")</f>
        <v>15600</v>
      </c>
      <c r="H25" s="41">
        <f>IFERROR(VLOOKUP($A25,'Parts List and Volumes'!$C$2:$W216,6,FALSE),"")</f>
        <v>10439.96764258865</v>
      </c>
      <c r="I25" s="42">
        <f t="shared" si="0"/>
        <v>1.377848436671966E-2</v>
      </c>
      <c r="J25" s="43">
        <f t="shared" si="0"/>
        <v>9.2209571123376168E-3</v>
      </c>
      <c r="K25" s="58">
        <f>IFERROR(VLOOKUP($A25,'Parts List and Volumes'!$C$2:$W216,7,FALSE),"")</f>
        <v>0</v>
      </c>
      <c r="L25" s="45">
        <f>IFERROR(VLOOKUP($A25,'Parts List and Volumes'!$C$2:$W216,8,FALSE),"")</f>
        <v>20447.63370430352</v>
      </c>
      <c r="M25" s="46">
        <f t="shared" si="1"/>
        <v>0</v>
      </c>
      <c r="N25" s="47">
        <f t="shared" si="1"/>
        <v>1.8060089828920264E-2</v>
      </c>
      <c r="O25" s="41">
        <f>IFERROR(VLOOKUP($A25,'Parts List and Volumes'!$C$2:$W216,9,FALSE),"")</f>
        <v>0</v>
      </c>
      <c r="P25" s="41">
        <f>IFERROR(VLOOKUP($A25,'Parts List and Volumes'!$C$2:$W216,10,FALSE),"")</f>
        <v>19929.446159936266</v>
      </c>
      <c r="Q25" s="48">
        <f t="shared" si="2"/>
        <v>0</v>
      </c>
      <c r="R25" s="43">
        <f t="shared" si="2"/>
        <v>1.7602407843080963E-2</v>
      </c>
      <c r="S25" s="44">
        <f>IFERROR(VLOOKUP($A25,'Parts List and Volumes'!$C$2:$W216,11,FALSE),"")</f>
        <v>0</v>
      </c>
      <c r="T25" s="45">
        <f>IFERROR(VLOOKUP($A25,'Parts List and Volumes'!$C$2:$W216,12,FALSE),"")</f>
        <v>15428.007023705004</v>
      </c>
      <c r="U25" s="46">
        <f t="shared" si="3"/>
        <v>0</v>
      </c>
      <c r="V25" s="47">
        <f t="shared" si="3"/>
        <v>1.3626573947805162E-2</v>
      </c>
      <c r="W25" s="40">
        <f>IFERROR(VLOOKUP($A25,'Parts List and Volumes'!$C$2:$W216,13,FALSE),"")</f>
        <v>0</v>
      </c>
      <c r="X25" s="41">
        <f>IFERROR(VLOOKUP($A25,'Parts List and Volumes'!$C$2:$W216,14,FALSE),"")</f>
        <v>0</v>
      </c>
      <c r="Y25" s="48">
        <f t="shared" si="4"/>
        <v>0</v>
      </c>
      <c r="Z25" s="43">
        <f t="shared" si="4"/>
        <v>0</v>
      </c>
      <c r="AA25" s="49">
        <f>IFERROR(VLOOKUP($A25,'Parts List and Volumes'!$C$2:$W216,15,FALSE),"")</f>
        <v>0</v>
      </c>
      <c r="AB25" s="50">
        <f>IFERROR(VLOOKUP($A25,'Parts List and Volumes'!$C$2:$W216,16,FALSE),"")</f>
        <v>0</v>
      </c>
      <c r="AC25" s="51">
        <f t="shared" si="5"/>
        <v>0</v>
      </c>
      <c r="AD25" s="52">
        <f t="shared" si="5"/>
        <v>0</v>
      </c>
      <c r="AE25" s="40">
        <f>IFERROR(VLOOKUP($A25,'Parts List and Volumes'!$C$2:$W216,17,FALSE),"")</f>
        <v>0</v>
      </c>
      <c r="AF25" s="41">
        <f>IFERROR(VLOOKUP($A25,'Parts List and Volumes'!$C$2:$W216,18,FALSE),"")</f>
        <v>0</v>
      </c>
      <c r="AG25" s="48">
        <f t="shared" si="6"/>
        <v>0</v>
      </c>
      <c r="AH25" s="43">
        <f t="shared" si="6"/>
        <v>0</v>
      </c>
      <c r="AI25" s="49">
        <f>IFERROR(VLOOKUP($A25,'Parts List and Volumes'!$C$2:$W216,19,FALSE),"")</f>
        <v>0</v>
      </c>
      <c r="AJ25" s="50">
        <f>IFERROR(VLOOKUP($A25,'Parts List and Volumes'!$C$2:$W216,20,FALSE),"")</f>
        <v>0</v>
      </c>
      <c r="AK25" s="51">
        <f t="shared" si="7"/>
        <v>0</v>
      </c>
      <c r="AL25" s="52">
        <f t="shared" si="7"/>
        <v>0</v>
      </c>
      <c r="AM25" s="40">
        <f>IFERROR(VLOOKUP($A25,'Parts List and Volumes'!$C$2:$W216,21,FALSE),"")</f>
        <v>0</v>
      </c>
      <c r="AN25" s="41" t="str">
        <f>IFERROR(VLOOKUP($A25,'Parts List and Volumes'!$C$2:$W216,22,FALSE),"")</f>
        <v/>
      </c>
      <c r="AO25" s="48">
        <f t="shared" si="8"/>
        <v>0</v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96" t="s">
        <v>354</v>
      </c>
      <c r="B26" s="24" t="s">
        <v>435</v>
      </c>
      <c r="C26" s="20" t="str">
        <f>IFERROR(VLOOKUP(A26,'Parts List and Volumes'!C25:D217,2,FALSE),"")</f>
        <v>NJ000756AAF20</v>
      </c>
      <c r="D26" s="39">
        <f>IFERROR(IF(VLOOKUP($A26,'Parts List and Volumes'!$C25:$F280,3,FALSE)=0,"",VLOOKUP(A26,'Parts List and Volumes'!C25:F280,3,FALSE)),"")</f>
        <v>4.76</v>
      </c>
      <c r="E26" s="39" t="str">
        <f>IFERROR(IF(VLOOKUP($A26,'Parts List and Volumes'!$C25:$F280,4,FALSE)=0,"",VLOOKUP(B26,'Parts List and Volumes'!D25:G280,3,FALSE)),"")</f>
        <v/>
      </c>
      <c r="F26" s="98">
        <v>10</v>
      </c>
      <c r="G26" s="40">
        <f>IFERROR(VLOOKUP($A26,'Parts List and Volumes'!$C$2:$W217,5,FALSE),"")</f>
        <v>15600</v>
      </c>
      <c r="H26" s="41">
        <f>IFERROR(VLOOKUP($A26,'Parts List and Volumes'!$C$2:$W217,6,FALSE),"")</f>
        <v>10439.96764258865</v>
      </c>
      <c r="I26" s="42">
        <f t="shared" si="0"/>
        <v>1.1482070305599718E-2</v>
      </c>
      <c r="J26" s="43">
        <f t="shared" si="0"/>
        <v>7.684130926948014E-3</v>
      </c>
      <c r="K26" s="58">
        <f>IFERROR(VLOOKUP($A26,'Parts List and Volumes'!$C$2:$W217,7,FALSE),"")</f>
        <v>0</v>
      </c>
      <c r="L26" s="45">
        <f>IFERROR(VLOOKUP($A26,'Parts List and Volumes'!$C$2:$W217,8,FALSE),"")</f>
        <v>20447.63370430352</v>
      </c>
      <c r="M26" s="46">
        <f t="shared" si="1"/>
        <v>0</v>
      </c>
      <c r="N26" s="47">
        <f t="shared" si="1"/>
        <v>1.5050074857433551E-2</v>
      </c>
      <c r="O26" s="41">
        <f>IFERROR(VLOOKUP($A26,'Parts List and Volumes'!$C$2:$W217,9,FALSE),"")</f>
        <v>0</v>
      </c>
      <c r="P26" s="41">
        <f>IFERROR(VLOOKUP($A26,'Parts List and Volumes'!$C$2:$W217,10,FALSE),"")</f>
        <v>19929.446159936266</v>
      </c>
      <c r="Q26" s="48">
        <f t="shared" si="2"/>
        <v>0</v>
      </c>
      <c r="R26" s="43">
        <f t="shared" si="2"/>
        <v>1.466867320256747E-2</v>
      </c>
      <c r="S26" s="44">
        <f>IFERROR(VLOOKUP($A26,'Parts List and Volumes'!$C$2:$W217,11,FALSE),"")</f>
        <v>0</v>
      </c>
      <c r="T26" s="45">
        <f>IFERROR(VLOOKUP($A26,'Parts List and Volumes'!$C$2:$W217,12,FALSE),"")</f>
        <v>15428.007023705004</v>
      </c>
      <c r="U26" s="46">
        <f t="shared" si="3"/>
        <v>0</v>
      </c>
      <c r="V26" s="47">
        <f t="shared" si="3"/>
        <v>1.1355478289837635E-2</v>
      </c>
      <c r="W26" s="40">
        <f>IFERROR(VLOOKUP($A26,'Parts List and Volumes'!$C$2:$W217,13,FALSE),"")</f>
        <v>0</v>
      </c>
      <c r="X26" s="41">
        <f>IFERROR(VLOOKUP($A26,'Parts List and Volumes'!$C$2:$W217,14,FALSE),"")</f>
        <v>0</v>
      </c>
      <c r="Y26" s="48">
        <f t="shared" si="4"/>
        <v>0</v>
      </c>
      <c r="Z26" s="43">
        <f t="shared" si="4"/>
        <v>0</v>
      </c>
      <c r="AA26" s="49">
        <f>IFERROR(VLOOKUP($A26,'Parts List and Volumes'!$C$2:$W217,15,FALSE),"")</f>
        <v>0</v>
      </c>
      <c r="AB26" s="50">
        <f>IFERROR(VLOOKUP($A26,'Parts List and Volumes'!$C$2:$W217,16,FALSE),"")</f>
        <v>0</v>
      </c>
      <c r="AC26" s="51">
        <f t="shared" si="5"/>
        <v>0</v>
      </c>
      <c r="AD26" s="52">
        <f t="shared" si="5"/>
        <v>0</v>
      </c>
      <c r="AE26" s="40">
        <f>IFERROR(VLOOKUP($A26,'Parts List and Volumes'!$C$2:$W217,17,FALSE),"")</f>
        <v>0</v>
      </c>
      <c r="AF26" s="41">
        <f>IFERROR(VLOOKUP($A26,'Parts List and Volumes'!$C$2:$W217,18,FALSE),"")</f>
        <v>0</v>
      </c>
      <c r="AG26" s="48">
        <f t="shared" si="6"/>
        <v>0</v>
      </c>
      <c r="AH26" s="43">
        <f t="shared" si="6"/>
        <v>0</v>
      </c>
      <c r="AI26" s="49">
        <f>IFERROR(VLOOKUP($A26,'Parts List and Volumes'!$C$2:$W217,19,FALSE),"")</f>
        <v>0</v>
      </c>
      <c r="AJ26" s="50">
        <f>IFERROR(VLOOKUP($A26,'Parts List and Volumes'!$C$2:$W217,20,FALSE),"")</f>
        <v>0</v>
      </c>
      <c r="AK26" s="51">
        <f t="shared" si="7"/>
        <v>0</v>
      </c>
      <c r="AL26" s="52">
        <f t="shared" si="7"/>
        <v>0</v>
      </c>
      <c r="AM26" s="40">
        <f>IFERROR(VLOOKUP($A26,'Parts List and Volumes'!$C$2:$W217,21,FALSE),"")</f>
        <v>0</v>
      </c>
      <c r="AN26" s="41" t="str">
        <f>IFERROR(VLOOKUP($A26,'Parts List and Volumes'!$C$2:$W217,22,FALSE),"")</f>
        <v/>
      </c>
      <c r="AO26" s="48">
        <f t="shared" si="8"/>
        <v>0</v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96" t="s">
        <v>333</v>
      </c>
      <c r="B27" s="24" t="s">
        <v>434</v>
      </c>
      <c r="C27" s="20" t="str">
        <f>IFERROR(VLOOKUP(A27,'Parts List and Volumes'!C26:D218,2,FALSE),"")</f>
        <v>NJ000767AAF21</v>
      </c>
      <c r="D27" s="39">
        <f>IFERROR(IF(VLOOKUP($A27,'Parts List and Volumes'!$C26:$F281,3,FALSE)=0,"",VLOOKUP(A27,'Parts List and Volumes'!C26:F281,3,FALSE)),"")</f>
        <v>4.76</v>
      </c>
      <c r="E27" s="39" t="str">
        <f>IFERROR(IF(VLOOKUP($A27,'Parts List and Volumes'!$C26:$F281,4,FALSE)=0,"",VLOOKUP(B27,'Parts List and Volumes'!D26:G281,3,FALSE)),"")</f>
        <v/>
      </c>
      <c r="F27" s="98">
        <v>26</v>
      </c>
      <c r="G27" s="40">
        <f>IFERROR(VLOOKUP($A27,'Parts List and Volumes'!$C$2:$W218,5,FALSE),"")</f>
        <v>0</v>
      </c>
      <c r="H27" s="41">
        <f>IFERROR(VLOOKUP($A27,'Parts List and Volumes'!$C$2:$W218,6,FALSE),"")</f>
        <v>4995.4108502463532</v>
      </c>
      <c r="I27" s="42">
        <f t="shared" si="0"/>
        <v>0</v>
      </c>
      <c r="J27" s="43">
        <f t="shared" si="0"/>
        <v>9.5596097646473803E-3</v>
      </c>
      <c r="K27" s="58">
        <f>IFERROR(VLOOKUP($A27,'Parts List and Volumes'!$C$2:$W218,7,FALSE),"")</f>
        <v>0</v>
      </c>
      <c r="L27" s="45">
        <f>IFERROR(VLOOKUP($A27,'Parts List and Volumes'!$C$2:$W218,8,FALSE),"")</f>
        <v>17515.652000762144</v>
      </c>
      <c r="M27" s="46">
        <f t="shared" si="1"/>
        <v>0</v>
      </c>
      <c r="N27" s="47">
        <f t="shared" si="1"/>
        <v>3.3519324620194885E-2</v>
      </c>
      <c r="O27" s="41">
        <f>IFERROR(VLOOKUP($A27,'Parts List and Volumes'!$C$2:$W218,9,FALSE),"")</f>
        <v>0</v>
      </c>
      <c r="P27" s="41">
        <f>IFERROR(VLOOKUP($A27,'Parts List and Volumes'!$C$2:$W218,10,FALSE),"")</f>
        <v>19615.145347931539</v>
      </c>
      <c r="Q27" s="48">
        <f t="shared" si="2"/>
        <v>0</v>
      </c>
      <c r="R27" s="43">
        <f t="shared" si="2"/>
        <v>3.7537079656584524E-2</v>
      </c>
      <c r="S27" s="44">
        <f>IFERROR(VLOOKUP($A27,'Parts List and Volumes'!$C$2:$W218,11,FALSE),"")</f>
        <v>0</v>
      </c>
      <c r="T27" s="45">
        <f>IFERROR(VLOOKUP($A27,'Parts List and Volumes'!$C$2:$W218,12,FALSE),"")</f>
        <v>19571.992976294991</v>
      </c>
      <c r="U27" s="46">
        <f t="shared" si="3"/>
        <v>0</v>
      </c>
      <c r="V27" s="47">
        <f t="shared" si="3"/>
        <v>3.7454499895753827E-2</v>
      </c>
      <c r="W27" s="40">
        <f>IFERROR(VLOOKUP($A27,'Parts List and Volumes'!$C$2:$W218,13,FALSE),"")</f>
        <v>0</v>
      </c>
      <c r="X27" s="41">
        <f>IFERROR(VLOOKUP($A27,'Parts List and Volumes'!$C$2:$W218,14,FALSE),"")</f>
        <v>0</v>
      </c>
      <c r="Y27" s="48">
        <f t="shared" si="4"/>
        <v>0</v>
      </c>
      <c r="Z27" s="43">
        <f t="shared" si="4"/>
        <v>0</v>
      </c>
      <c r="AA27" s="49">
        <f>IFERROR(VLOOKUP($A27,'Parts List and Volumes'!$C$2:$W218,15,FALSE),"")</f>
        <v>0</v>
      </c>
      <c r="AB27" s="50">
        <f>IFERROR(VLOOKUP($A27,'Parts List and Volumes'!$C$2:$W218,16,FALSE),"")</f>
        <v>0</v>
      </c>
      <c r="AC27" s="51">
        <f t="shared" si="5"/>
        <v>0</v>
      </c>
      <c r="AD27" s="52">
        <f t="shared" si="5"/>
        <v>0</v>
      </c>
      <c r="AE27" s="40">
        <f>IFERROR(VLOOKUP($A27,'Parts List and Volumes'!$C$2:$W218,17,FALSE),"")</f>
        <v>0</v>
      </c>
      <c r="AF27" s="41">
        <f>IFERROR(VLOOKUP($A27,'Parts List and Volumes'!$C$2:$W218,18,FALSE),"")</f>
        <v>0</v>
      </c>
      <c r="AG27" s="48">
        <f t="shared" si="6"/>
        <v>0</v>
      </c>
      <c r="AH27" s="43">
        <f t="shared" si="6"/>
        <v>0</v>
      </c>
      <c r="AI27" s="49">
        <f>IFERROR(VLOOKUP($A27,'Parts List and Volumes'!$C$2:$W218,19,FALSE),"")</f>
        <v>0</v>
      </c>
      <c r="AJ27" s="50">
        <f>IFERROR(VLOOKUP($A27,'Parts List and Volumes'!$C$2:$W218,20,FALSE),"")</f>
        <v>0</v>
      </c>
      <c r="AK27" s="51">
        <f t="shared" si="7"/>
        <v>0</v>
      </c>
      <c r="AL27" s="52">
        <f t="shared" si="7"/>
        <v>0</v>
      </c>
      <c r="AM27" s="40">
        <f>IFERROR(VLOOKUP($A27,'Parts List and Volumes'!$C$2:$W218,21,FALSE),"")</f>
        <v>0</v>
      </c>
      <c r="AN27" s="41" t="str">
        <f>IFERROR(VLOOKUP($A27,'Parts List and Volumes'!$C$2:$W218,22,FALSE),"")</f>
        <v/>
      </c>
      <c r="AO27" s="48">
        <f t="shared" si="8"/>
        <v>0</v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96" t="s">
        <v>332</v>
      </c>
      <c r="B28" s="24" t="s">
        <v>434</v>
      </c>
      <c r="C28" s="20" t="str">
        <f>IFERROR(VLOOKUP(A28,'Parts List and Volumes'!C27:D219,2,FALSE),"")</f>
        <v>NJ000769AAF20</v>
      </c>
      <c r="D28" s="39">
        <f>IFERROR(IF(VLOOKUP($A28,'Parts List and Volumes'!$C27:$F282,3,FALSE)=0,"",VLOOKUP(A28,'Parts List and Volumes'!C27:F282,3,FALSE)),"")</f>
        <v>4.76</v>
      </c>
      <c r="E28" s="39" t="str">
        <f>IFERROR(IF(VLOOKUP($A28,'Parts List and Volumes'!$C27:$F282,4,FALSE)=0,"",VLOOKUP(B28,'Parts List and Volumes'!D27:G282,3,FALSE)),"")</f>
        <v/>
      </c>
      <c r="F28" s="98">
        <v>24</v>
      </c>
      <c r="G28" s="40">
        <f>IFERROR(VLOOKUP($A28,'Parts List and Volumes'!$C$2:$W219,5,FALSE),"")</f>
        <v>0</v>
      </c>
      <c r="H28" s="41">
        <f>IFERROR(VLOOKUP($A28,'Parts List and Volumes'!$C$2:$W219,6,FALSE),"")</f>
        <v>4995.4108502463532</v>
      </c>
      <c r="I28" s="42">
        <f t="shared" si="0"/>
        <v>0</v>
      </c>
      <c r="J28" s="43">
        <f t="shared" si="0"/>
        <v>8.8242551673668145E-3</v>
      </c>
      <c r="K28" s="58">
        <f>IFERROR(VLOOKUP($A28,'Parts List and Volumes'!$C$2:$W219,7,FALSE),"")</f>
        <v>0</v>
      </c>
      <c r="L28" s="45">
        <f>IFERROR(VLOOKUP($A28,'Parts List and Volumes'!$C$2:$W219,8,FALSE),"")</f>
        <v>17515.652000762144</v>
      </c>
      <c r="M28" s="46">
        <f t="shared" si="1"/>
        <v>0</v>
      </c>
      <c r="N28" s="47">
        <f t="shared" si="1"/>
        <v>3.0940915034026045E-2</v>
      </c>
      <c r="O28" s="41">
        <f>IFERROR(VLOOKUP($A28,'Parts List and Volumes'!$C$2:$W219,9,FALSE),"")</f>
        <v>0</v>
      </c>
      <c r="P28" s="41">
        <f>IFERROR(VLOOKUP($A28,'Parts List and Volumes'!$C$2:$W219,10,FALSE),"")</f>
        <v>19615.145347931539</v>
      </c>
      <c r="Q28" s="48">
        <f t="shared" si="2"/>
        <v>0</v>
      </c>
      <c r="R28" s="43">
        <f t="shared" si="2"/>
        <v>3.4649611990693406E-2</v>
      </c>
      <c r="S28" s="44">
        <f>IFERROR(VLOOKUP($A28,'Parts List and Volumes'!$C$2:$W219,11,FALSE),"")</f>
        <v>0</v>
      </c>
      <c r="T28" s="45">
        <f>IFERROR(VLOOKUP($A28,'Parts List and Volumes'!$C$2:$W219,12,FALSE),"")</f>
        <v>19571.992976294991</v>
      </c>
      <c r="U28" s="46">
        <f t="shared" si="3"/>
        <v>0</v>
      </c>
      <c r="V28" s="47">
        <f t="shared" si="3"/>
        <v>3.4573384519157375E-2</v>
      </c>
      <c r="W28" s="40">
        <f>IFERROR(VLOOKUP($A28,'Parts List and Volumes'!$C$2:$W219,13,FALSE),"")</f>
        <v>0</v>
      </c>
      <c r="X28" s="41">
        <f>IFERROR(VLOOKUP($A28,'Parts List and Volumes'!$C$2:$W219,14,FALSE),"")</f>
        <v>0</v>
      </c>
      <c r="Y28" s="48">
        <f t="shared" si="4"/>
        <v>0</v>
      </c>
      <c r="Z28" s="43">
        <f t="shared" si="4"/>
        <v>0</v>
      </c>
      <c r="AA28" s="49">
        <f>IFERROR(VLOOKUP($A28,'Parts List and Volumes'!$C$2:$W219,15,FALSE),"")</f>
        <v>0</v>
      </c>
      <c r="AB28" s="50">
        <f>IFERROR(VLOOKUP($A28,'Parts List and Volumes'!$C$2:$W219,16,FALSE),"")</f>
        <v>0</v>
      </c>
      <c r="AC28" s="51">
        <f t="shared" si="5"/>
        <v>0</v>
      </c>
      <c r="AD28" s="52">
        <f t="shared" si="5"/>
        <v>0</v>
      </c>
      <c r="AE28" s="40">
        <f>IFERROR(VLOOKUP($A28,'Parts List and Volumes'!$C$2:$W219,17,FALSE),"")</f>
        <v>0</v>
      </c>
      <c r="AF28" s="41">
        <f>IFERROR(VLOOKUP($A28,'Parts List and Volumes'!$C$2:$W219,18,FALSE),"")</f>
        <v>0</v>
      </c>
      <c r="AG28" s="48">
        <f t="shared" si="6"/>
        <v>0</v>
      </c>
      <c r="AH28" s="43">
        <f t="shared" si="6"/>
        <v>0</v>
      </c>
      <c r="AI28" s="49">
        <f>IFERROR(VLOOKUP($A28,'Parts List and Volumes'!$C$2:$W219,19,FALSE),"")</f>
        <v>0</v>
      </c>
      <c r="AJ28" s="50">
        <f>IFERROR(VLOOKUP($A28,'Parts List and Volumes'!$C$2:$W219,20,FALSE),"")</f>
        <v>0</v>
      </c>
      <c r="AK28" s="51">
        <f t="shared" si="7"/>
        <v>0</v>
      </c>
      <c r="AL28" s="52">
        <f t="shared" si="7"/>
        <v>0</v>
      </c>
      <c r="AM28" s="40">
        <f>IFERROR(VLOOKUP($A28,'Parts List and Volumes'!$C$2:$W219,21,FALSE),"")</f>
        <v>0</v>
      </c>
      <c r="AN28" s="41" t="str">
        <f>IFERROR(VLOOKUP($A28,'Parts List and Volumes'!$C$2:$W219,22,FALSE),"")</f>
        <v/>
      </c>
      <c r="AO28" s="48">
        <f t="shared" si="8"/>
        <v>0</v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96" t="s">
        <v>360</v>
      </c>
      <c r="B29" s="24" t="s">
        <v>435</v>
      </c>
      <c r="C29" s="20">
        <f>IFERROR(VLOOKUP(A29,'Parts List and Volumes'!C28:D220,2,FALSE),"")</f>
        <v>0</v>
      </c>
      <c r="D29" s="39">
        <f>IFERROR(IF(VLOOKUP($A29,'Parts List and Volumes'!$C28:$F283,3,FALSE)=0,"",VLOOKUP(A29,'Parts List and Volumes'!C28:F283,3,FALSE)),"")</f>
        <v>4.76</v>
      </c>
      <c r="E29" s="39" t="str">
        <f>IFERROR(IF(VLOOKUP($A29,'Parts List and Volumes'!$C28:$F283,4,FALSE)=0,"",VLOOKUP(B29,'Parts List and Volumes'!D28:G283,3,FALSE)),"")</f>
        <v/>
      </c>
      <c r="F29" s="98">
        <v>12</v>
      </c>
      <c r="G29" s="40">
        <f>IFERROR(VLOOKUP($A29,'Parts List and Volumes'!$C$2:$W220,5,FALSE),"")</f>
        <v>0</v>
      </c>
      <c r="H29" s="41">
        <f>IFERROR(VLOOKUP($A29,'Parts List and Volumes'!$C$2:$W220,6,FALSE),"")</f>
        <v>10439.96764258865</v>
      </c>
      <c r="I29" s="42">
        <f t="shared" si="0"/>
        <v>0</v>
      </c>
      <c r="J29" s="43">
        <f t="shared" si="0"/>
        <v>9.2209571123376168E-3</v>
      </c>
      <c r="K29" s="58">
        <f>IFERROR(VLOOKUP($A29,'Parts List and Volumes'!$C$2:$W220,7,FALSE),"")</f>
        <v>0</v>
      </c>
      <c r="L29" s="45">
        <f>IFERROR(VLOOKUP($A29,'Parts List and Volumes'!$C$2:$W220,8,FALSE),"")</f>
        <v>20447.63370430352</v>
      </c>
      <c r="M29" s="46">
        <f t="shared" si="1"/>
        <v>0</v>
      </c>
      <c r="N29" s="47">
        <f t="shared" si="1"/>
        <v>1.8060089828920264E-2</v>
      </c>
      <c r="O29" s="41">
        <f>IFERROR(VLOOKUP($A29,'Parts List and Volumes'!$C$2:$W220,9,FALSE),"")</f>
        <v>0</v>
      </c>
      <c r="P29" s="41">
        <f>IFERROR(VLOOKUP($A29,'Parts List and Volumes'!$C$2:$W220,10,FALSE),"")</f>
        <v>19929.446159936266</v>
      </c>
      <c r="Q29" s="48">
        <f t="shared" si="2"/>
        <v>0</v>
      </c>
      <c r="R29" s="43">
        <f t="shared" si="2"/>
        <v>1.7602407843080963E-2</v>
      </c>
      <c r="S29" s="44">
        <f>IFERROR(VLOOKUP($A29,'Parts List and Volumes'!$C$2:$W220,11,FALSE),"")</f>
        <v>0</v>
      </c>
      <c r="T29" s="45">
        <f>IFERROR(VLOOKUP($A29,'Parts List and Volumes'!$C$2:$W220,12,FALSE),"")</f>
        <v>15428.007023705004</v>
      </c>
      <c r="U29" s="46">
        <f t="shared" si="3"/>
        <v>0</v>
      </c>
      <c r="V29" s="47">
        <f t="shared" si="3"/>
        <v>1.3626573947805162E-2</v>
      </c>
      <c r="W29" s="40">
        <f>IFERROR(VLOOKUP($A29,'Parts List and Volumes'!$C$2:$W220,13,FALSE),"")</f>
        <v>0</v>
      </c>
      <c r="X29" s="41">
        <f>IFERROR(VLOOKUP($A29,'Parts List and Volumes'!$C$2:$W220,14,FALSE),"")</f>
        <v>0</v>
      </c>
      <c r="Y29" s="48">
        <f t="shared" si="4"/>
        <v>0</v>
      </c>
      <c r="Z29" s="43">
        <f t="shared" si="4"/>
        <v>0</v>
      </c>
      <c r="AA29" s="49">
        <f>IFERROR(VLOOKUP($A29,'Parts List and Volumes'!$C$2:$W220,15,FALSE),"")</f>
        <v>0</v>
      </c>
      <c r="AB29" s="50">
        <f>IFERROR(VLOOKUP($A29,'Parts List and Volumes'!$C$2:$W220,16,FALSE),"")</f>
        <v>0</v>
      </c>
      <c r="AC29" s="51">
        <f t="shared" si="5"/>
        <v>0</v>
      </c>
      <c r="AD29" s="52">
        <f t="shared" si="5"/>
        <v>0</v>
      </c>
      <c r="AE29" s="40">
        <f>IFERROR(VLOOKUP($A29,'Parts List and Volumes'!$C$2:$W220,17,FALSE),"")</f>
        <v>0</v>
      </c>
      <c r="AF29" s="41">
        <f>IFERROR(VLOOKUP($A29,'Parts List and Volumes'!$C$2:$W220,18,FALSE),"")</f>
        <v>0</v>
      </c>
      <c r="AG29" s="48">
        <f t="shared" si="6"/>
        <v>0</v>
      </c>
      <c r="AH29" s="43">
        <f t="shared" si="6"/>
        <v>0</v>
      </c>
      <c r="AI29" s="49">
        <f>IFERROR(VLOOKUP($A29,'Parts List and Volumes'!$C$2:$W220,19,FALSE),"")</f>
        <v>0</v>
      </c>
      <c r="AJ29" s="50">
        <f>IFERROR(VLOOKUP($A29,'Parts List and Volumes'!$C$2:$W220,20,FALSE),"")</f>
        <v>0</v>
      </c>
      <c r="AK29" s="51">
        <f t="shared" si="7"/>
        <v>0</v>
      </c>
      <c r="AL29" s="52">
        <f t="shared" si="7"/>
        <v>0</v>
      </c>
      <c r="AM29" s="40">
        <f>IFERROR(VLOOKUP($A29,'Parts List and Volumes'!$C$2:$W220,21,FALSE),"")</f>
        <v>0</v>
      </c>
      <c r="AN29" s="41" t="str">
        <f>IFERROR(VLOOKUP($A29,'Parts List and Volumes'!$C$2:$W220,22,FALSE),"")</f>
        <v/>
      </c>
      <c r="AO29" s="48">
        <f t="shared" si="8"/>
        <v>0</v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96" t="s">
        <v>358</v>
      </c>
      <c r="B30" s="24" t="s">
        <v>435</v>
      </c>
      <c r="C30" s="20">
        <f>IFERROR(VLOOKUP(A30,'Parts List and Volumes'!C29:D221,2,FALSE),"")</f>
        <v>0</v>
      </c>
      <c r="D30" s="39">
        <f>IFERROR(IF(VLOOKUP($A30,'Parts List and Volumes'!$C29:$F284,3,FALSE)=0,"",VLOOKUP(A30,'Parts List and Volumes'!C29:F284,3,FALSE)),"")</f>
        <v>4.76</v>
      </c>
      <c r="E30" s="39" t="str">
        <f>IFERROR(IF(VLOOKUP($A30,'Parts List and Volumes'!$C29:$F284,4,FALSE)=0,"",VLOOKUP(B30,'Parts List and Volumes'!D29:G284,3,FALSE)),"")</f>
        <v/>
      </c>
      <c r="F30" s="98">
        <v>13</v>
      </c>
      <c r="G30" s="40">
        <f>IFERROR(VLOOKUP($A30,'Parts List and Volumes'!$C$2:$W221,5,FALSE),"")</f>
        <v>0</v>
      </c>
      <c r="H30" s="41">
        <f>IFERROR(VLOOKUP($A30,'Parts List and Volumes'!$C$2:$W221,6,FALSE),"")</f>
        <v>10439.96764258865</v>
      </c>
      <c r="I30" s="42">
        <f t="shared" si="0"/>
        <v>0</v>
      </c>
      <c r="J30" s="43">
        <f t="shared" si="0"/>
        <v>9.989370205032419E-3</v>
      </c>
      <c r="K30" s="58">
        <f>IFERROR(VLOOKUP($A30,'Parts List and Volumes'!$C$2:$W221,7,FALSE),"")</f>
        <v>0</v>
      </c>
      <c r="L30" s="45">
        <f>IFERROR(VLOOKUP($A30,'Parts List and Volumes'!$C$2:$W221,8,FALSE),"")</f>
        <v>20447.63370430352</v>
      </c>
      <c r="M30" s="46">
        <f t="shared" si="1"/>
        <v>0</v>
      </c>
      <c r="N30" s="47">
        <f t="shared" si="1"/>
        <v>1.9565097314663618E-2</v>
      </c>
      <c r="O30" s="41">
        <f>IFERROR(VLOOKUP($A30,'Parts List and Volumes'!$C$2:$W221,9,FALSE),"")</f>
        <v>0</v>
      </c>
      <c r="P30" s="41">
        <f>IFERROR(VLOOKUP($A30,'Parts List and Volumes'!$C$2:$W221,10,FALSE),"")</f>
        <v>19929.446159936266</v>
      </c>
      <c r="Q30" s="48">
        <f t="shared" si="2"/>
        <v>0</v>
      </c>
      <c r="R30" s="43">
        <f t="shared" si="2"/>
        <v>1.9069275163337708E-2</v>
      </c>
      <c r="S30" s="44">
        <f>IFERROR(VLOOKUP($A30,'Parts List and Volumes'!$C$2:$W221,11,FALSE),"")</f>
        <v>0</v>
      </c>
      <c r="T30" s="45">
        <f>IFERROR(VLOOKUP($A30,'Parts List and Volumes'!$C$2:$W221,12,FALSE),"")</f>
        <v>15428.007023705004</v>
      </c>
      <c r="U30" s="46">
        <f t="shared" si="3"/>
        <v>0</v>
      </c>
      <c r="V30" s="47">
        <f t="shared" si="3"/>
        <v>1.4762121776788924E-2</v>
      </c>
      <c r="W30" s="40">
        <f>IFERROR(VLOOKUP($A30,'Parts List and Volumes'!$C$2:$W221,13,FALSE),"")</f>
        <v>0</v>
      </c>
      <c r="X30" s="41">
        <f>IFERROR(VLOOKUP($A30,'Parts List and Volumes'!$C$2:$W221,14,FALSE),"")</f>
        <v>0</v>
      </c>
      <c r="Y30" s="48">
        <f t="shared" si="4"/>
        <v>0</v>
      </c>
      <c r="Z30" s="43">
        <f t="shared" si="4"/>
        <v>0</v>
      </c>
      <c r="AA30" s="49">
        <f>IFERROR(VLOOKUP($A30,'Parts List and Volumes'!$C$2:$W221,15,FALSE),"")</f>
        <v>0</v>
      </c>
      <c r="AB30" s="50">
        <f>IFERROR(VLOOKUP($A30,'Parts List and Volumes'!$C$2:$W221,16,FALSE),"")</f>
        <v>0</v>
      </c>
      <c r="AC30" s="51">
        <f t="shared" si="5"/>
        <v>0</v>
      </c>
      <c r="AD30" s="52">
        <f t="shared" si="5"/>
        <v>0</v>
      </c>
      <c r="AE30" s="40">
        <f>IFERROR(VLOOKUP($A30,'Parts List and Volumes'!$C$2:$W221,17,FALSE),"")</f>
        <v>0</v>
      </c>
      <c r="AF30" s="41">
        <f>IFERROR(VLOOKUP($A30,'Parts List and Volumes'!$C$2:$W221,18,FALSE),"")</f>
        <v>0</v>
      </c>
      <c r="AG30" s="48">
        <f t="shared" si="6"/>
        <v>0</v>
      </c>
      <c r="AH30" s="43">
        <f t="shared" si="6"/>
        <v>0</v>
      </c>
      <c r="AI30" s="49">
        <f>IFERROR(VLOOKUP($A30,'Parts List and Volumes'!$C$2:$W221,19,FALSE),"")</f>
        <v>0</v>
      </c>
      <c r="AJ30" s="50">
        <f>IFERROR(VLOOKUP($A30,'Parts List and Volumes'!$C$2:$W221,20,FALSE),"")</f>
        <v>0</v>
      </c>
      <c r="AK30" s="51">
        <f t="shared" si="7"/>
        <v>0</v>
      </c>
      <c r="AL30" s="52">
        <f t="shared" si="7"/>
        <v>0</v>
      </c>
      <c r="AM30" s="40">
        <f>IFERROR(VLOOKUP($A30,'Parts List and Volumes'!$C$2:$W221,21,FALSE),"")</f>
        <v>0</v>
      </c>
      <c r="AN30" s="41" t="str">
        <f>IFERROR(VLOOKUP($A30,'Parts List and Volumes'!$C$2:$W221,22,FALSE),"")</f>
        <v/>
      </c>
      <c r="AO30" s="48">
        <f t="shared" si="8"/>
        <v>0</v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96" t="s">
        <v>359</v>
      </c>
      <c r="B31" s="24" t="s">
        <v>435</v>
      </c>
      <c r="C31" s="20">
        <f>IFERROR(VLOOKUP(A31,'Parts List and Volumes'!C30:D222,2,FALSE),"")</f>
        <v>0</v>
      </c>
      <c r="D31" s="39">
        <f>IFERROR(IF(VLOOKUP($A31,'Parts List and Volumes'!$C30:$F285,3,FALSE)=0,"",VLOOKUP(A31,'Parts List and Volumes'!C30:F285,3,FALSE)),"")</f>
        <v>4.76</v>
      </c>
      <c r="E31" s="39" t="str">
        <f>IFERROR(IF(VLOOKUP($A31,'Parts List and Volumes'!$C30:$F285,4,FALSE)=0,"",VLOOKUP(B31,'Parts List and Volumes'!D30:G285,3,FALSE)),"")</f>
        <v/>
      </c>
      <c r="F31" s="98">
        <v>48</v>
      </c>
      <c r="G31" s="40">
        <f>IFERROR(VLOOKUP($A31,'Parts List and Volumes'!$C$2:$W222,5,FALSE),"")</f>
        <v>0</v>
      </c>
      <c r="H31" s="41">
        <f>IFERROR(VLOOKUP($A31,'Parts List and Volumes'!$C$2:$W222,6,FALSE),"")</f>
        <v>10439.96764258865</v>
      </c>
      <c r="I31" s="42">
        <f t="shared" si="0"/>
        <v>0</v>
      </c>
      <c r="J31" s="43">
        <f t="shared" si="0"/>
        <v>3.6883828449350467E-2</v>
      </c>
      <c r="K31" s="58">
        <f>IFERROR(VLOOKUP($A31,'Parts List and Volumes'!$C$2:$W222,7,FALSE),"")</f>
        <v>0</v>
      </c>
      <c r="L31" s="45">
        <f>IFERROR(VLOOKUP($A31,'Parts List and Volumes'!$C$2:$W222,8,FALSE),"")</f>
        <v>20447.63370430352</v>
      </c>
      <c r="M31" s="46">
        <f t="shared" si="1"/>
        <v>0</v>
      </c>
      <c r="N31" s="47">
        <f t="shared" si="1"/>
        <v>7.2240359315681055E-2</v>
      </c>
      <c r="O31" s="41">
        <f>IFERROR(VLOOKUP($A31,'Parts List and Volumes'!$C$2:$W222,9,FALSE),"")</f>
        <v>0</v>
      </c>
      <c r="P31" s="41">
        <f>IFERROR(VLOOKUP($A31,'Parts List and Volumes'!$C$2:$W222,10,FALSE),"")</f>
        <v>19929.446159936266</v>
      </c>
      <c r="Q31" s="48">
        <f t="shared" si="2"/>
        <v>0</v>
      </c>
      <c r="R31" s="43">
        <f t="shared" si="2"/>
        <v>7.0409631372323853E-2</v>
      </c>
      <c r="S31" s="44">
        <f>IFERROR(VLOOKUP($A31,'Parts List and Volumes'!$C$2:$W222,11,FALSE),"")</f>
        <v>0</v>
      </c>
      <c r="T31" s="45">
        <f>IFERROR(VLOOKUP($A31,'Parts List and Volumes'!$C$2:$W222,12,FALSE),"")</f>
        <v>15428.007023705004</v>
      </c>
      <c r="U31" s="46">
        <f t="shared" si="3"/>
        <v>0</v>
      </c>
      <c r="V31" s="47">
        <f t="shared" si="3"/>
        <v>5.4506295791220648E-2</v>
      </c>
      <c r="W31" s="40">
        <f>IFERROR(VLOOKUP($A31,'Parts List and Volumes'!$C$2:$W222,13,FALSE),"")</f>
        <v>0</v>
      </c>
      <c r="X31" s="41">
        <f>IFERROR(VLOOKUP($A31,'Parts List and Volumes'!$C$2:$W222,14,FALSE),"")</f>
        <v>0</v>
      </c>
      <c r="Y31" s="48">
        <f t="shared" si="4"/>
        <v>0</v>
      </c>
      <c r="Z31" s="43">
        <f t="shared" si="4"/>
        <v>0</v>
      </c>
      <c r="AA31" s="49">
        <f>IFERROR(VLOOKUP($A31,'Parts List and Volumes'!$C$2:$W222,15,FALSE),"")</f>
        <v>0</v>
      </c>
      <c r="AB31" s="50">
        <f>IFERROR(VLOOKUP($A31,'Parts List and Volumes'!$C$2:$W222,16,FALSE),"")</f>
        <v>0</v>
      </c>
      <c r="AC31" s="51">
        <f t="shared" si="5"/>
        <v>0</v>
      </c>
      <c r="AD31" s="52">
        <f t="shared" si="5"/>
        <v>0</v>
      </c>
      <c r="AE31" s="40">
        <f>IFERROR(VLOOKUP($A31,'Parts List and Volumes'!$C$2:$W222,17,FALSE),"")</f>
        <v>0</v>
      </c>
      <c r="AF31" s="41">
        <f>IFERROR(VLOOKUP($A31,'Parts List and Volumes'!$C$2:$W222,18,FALSE),"")</f>
        <v>0</v>
      </c>
      <c r="AG31" s="48">
        <f t="shared" si="6"/>
        <v>0</v>
      </c>
      <c r="AH31" s="43">
        <f t="shared" si="6"/>
        <v>0</v>
      </c>
      <c r="AI31" s="49">
        <f>IFERROR(VLOOKUP($A31,'Parts List and Volumes'!$C$2:$W222,19,FALSE),"")</f>
        <v>0</v>
      </c>
      <c r="AJ31" s="50">
        <f>IFERROR(VLOOKUP($A31,'Parts List and Volumes'!$C$2:$W222,20,FALSE),"")</f>
        <v>0</v>
      </c>
      <c r="AK31" s="51">
        <f t="shared" si="7"/>
        <v>0</v>
      </c>
      <c r="AL31" s="52">
        <f t="shared" si="7"/>
        <v>0</v>
      </c>
      <c r="AM31" s="40">
        <f>IFERROR(VLOOKUP($A31,'Parts List and Volumes'!$C$2:$W222,21,FALSE),"")</f>
        <v>0</v>
      </c>
      <c r="AN31" s="41" t="str">
        <f>IFERROR(VLOOKUP($A31,'Parts List and Volumes'!$C$2:$W222,22,FALSE),"")</f>
        <v/>
      </c>
      <c r="AO31" s="48">
        <f t="shared" si="8"/>
        <v>0</v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96" t="s">
        <v>357</v>
      </c>
      <c r="B32" s="24" t="s">
        <v>435</v>
      </c>
      <c r="C32" s="20">
        <f>IFERROR(VLOOKUP(A32,'Parts List and Volumes'!C31:D223,2,FALSE),"")</f>
        <v>0</v>
      </c>
      <c r="D32" s="39">
        <f>IFERROR(IF(VLOOKUP($A32,'Parts List and Volumes'!$C31:$F286,3,FALSE)=0,"",VLOOKUP(A32,'Parts List and Volumes'!C31:F286,3,FALSE)),"")</f>
        <v>4.76</v>
      </c>
      <c r="E32" s="39" t="str">
        <f>IFERROR(IF(VLOOKUP($A32,'Parts List and Volumes'!$C31:$F286,4,FALSE)=0,"",VLOOKUP(B32,'Parts List and Volumes'!D31:G286,3,FALSE)),"")</f>
        <v/>
      </c>
      <c r="F32" s="98">
        <v>45</v>
      </c>
      <c r="G32" s="40">
        <f>IFERROR(VLOOKUP($A32,'Parts List and Volumes'!$C$2:$W223,5,FALSE),"")</f>
        <v>0</v>
      </c>
      <c r="H32" s="41">
        <f>IFERROR(VLOOKUP($A32,'Parts List and Volumes'!$C$2:$W223,6,FALSE),"")</f>
        <v>10439.96764258865</v>
      </c>
      <c r="I32" s="42">
        <f t="shared" si="0"/>
        <v>0</v>
      </c>
      <c r="J32" s="43">
        <f t="shared" si="0"/>
        <v>3.4578589171266064E-2</v>
      </c>
      <c r="K32" s="58">
        <f>IFERROR(VLOOKUP($A32,'Parts List and Volumes'!$C$2:$W223,7,FALSE),"")</f>
        <v>0</v>
      </c>
      <c r="L32" s="45">
        <f>IFERROR(VLOOKUP($A32,'Parts List and Volumes'!$C$2:$W223,8,FALSE),"")</f>
        <v>20447.63370430352</v>
      </c>
      <c r="M32" s="46">
        <f t="shared" si="1"/>
        <v>0</v>
      </c>
      <c r="N32" s="47">
        <f t="shared" si="1"/>
        <v>6.7725336858450988E-2</v>
      </c>
      <c r="O32" s="41">
        <f>IFERROR(VLOOKUP($A32,'Parts List and Volumes'!$C$2:$W223,9,FALSE),"")</f>
        <v>0</v>
      </c>
      <c r="P32" s="41">
        <f>IFERROR(VLOOKUP($A32,'Parts List and Volumes'!$C$2:$W223,10,FALSE),"")</f>
        <v>19929.446159936266</v>
      </c>
      <c r="Q32" s="48">
        <f t="shared" si="2"/>
        <v>0</v>
      </c>
      <c r="R32" s="43">
        <f t="shared" si="2"/>
        <v>6.6009029411553607E-2</v>
      </c>
      <c r="S32" s="44">
        <f>IFERROR(VLOOKUP($A32,'Parts List and Volumes'!$C$2:$W223,11,FALSE),"")</f>
        <v>0</v>
      </c>
      <c r="T32" s="45">
        <f>IFERROR(VLOOKUP($A32,'Parts List and Volumes'!$C$2:$W223,12,FALSE),"")</f>
        <v>15428.007023705004</v>
      </c>
      <c r="U32" s="46">
        <f t="shared" si="3"/>
        <v>0</v>
      </c>
      <c r="V32" s="47">
        <f t="shared" si="3"/>
        <v>5.1099652304269355E-2</v>
      </c>
      <c r="W32" s="40">
        <f>IFERROR(VLOOKUP($A32,'Parts List and Volumes'!$C$2:$W223,13,FALSE),"")</f>
        <v>0</v>
      </c>
      <c r="X32" s="41">
        <f>IFERROR(VLOOKUP($A32,'Parts List and Volumes'!$C$2:$W223,14,FALSE),"")</f>
        <v>0</v>
      </c>
      <c r="Y32" s="48">
        <f t="shared" si="4"/>
        <v>0</v>
      </c>
      <c r="Z32" s="43">
        <f t="shared" si="4"/>
        <v>0</v>
      </c>
      <c r="AA32" s="49">
        <f>IFERROR(VLOOKUP($A32,'Parts List and Volumes'!$C$2:$W223,15,FALSE),"")</f>
        <v>0</v>
      </c>
      <c r="AB32" s="50">
        <f>IFERROR(VLOOKUP($A32,'Parts List and Volumes'!$C$2:$W223,16,FALSE),"")</f>
        <v>0</v>
      </c>
      <c r="AC32" s="51">
        <f t="shared" si="5"/>
        <v>0</v>
      </c>
      <c r="AD32" s="52">
        <f t="shared" si="5"/>
        <v>0</v>
      </c>
      <c r="AE32" s="40">
        <f>IFERROR(VLOOKUP($A32,'Parts List and Volumes'!$C$2:$W223,17,FALSE),"")</f>
        <v>0</v>
      </c>
      <c r="AF32" s="41">
        <f>IFERROR(VLOOKUP($A32,'Parts List and Volumes'!$C$2:$W223,18,FALSE),"")</f>
        <v>0</v>
      </c>
      <c r="AG32" s="48">
        <f t="shared" si="6"/>
        <v>0</v>
      </c>
      <c r="AH32" s="43">
        <f t="shared" si="6"/>
        <v>0</v>
      </c>
      <c r="AI32" s="49">
        <f>IFERROR(VLOOKUP($A32,'Parts List and Volumes'!$C$2:$W223,19,FALSE),"")</f>
        <v>0</v>
      </c>
      <c r="AJ32" s="50">
        <f>IFERROR(VLOOKUP($A32,'Parts List and Volumes'!$C$2:$W223,20,FALSE),"")</f>
        <v>0</v>
      </c>
      <c r="AK32" s="51">
        <f t="shared" si="7"/>
        <v>0</v>
      </c>
      <c r="AL32" s="52">
        <f t="shared" si="7"/>
        <v>0</v>
      </c>
      <c r="AM32" s="40">
        <f>IFERROR(VLOOKUP($A32,'Parts List and Volumes'!$C$2:$W223,21,FALSE),"")</f>
        <v>0</v>
      </c>
      <c r="AN32" s="41" t="str">
        <f>IFERROR(VLOOKUP($A32,'Parts List and Volumes'!$C$2:$W223,22,FALSE),"")</f>
        <v/>
      </c>
      <c r="AO32" s="48">
        <f t="shared" si="8"/>
        <v>0</v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0.4694728552081493</v>
      </c>
      <c r="J52" s="53">
        <f>SUM(J3:J50)</f>
        <v>0.80887565580681042</v>
      </c>
      <c r="M52" s="53">
        <f>SUM(M3:M50)</f>
        <v>0</v>
      </c>
      <c r="N52" s="53">
        <f>SUM(N3:N50)</f>
        <v>1.9965592829875041</v>
      </c>
      <c r="Q52" s="53">
        <f>SUM(Q3:Q50)</f>
        <v>0</v>
      </c>
      <c r="R52" s="53">
        <f>SUM(R3:R50)</f>
        <v>2.3848073505967413</v>
      </c>
      <c r="U52" s="53">
        <f>SUM(U3:U50)</f>
        <v>0</v>
      </c>
      <c r="V52" s="53">
        <f>SUM(V3:V50)</f>
        <v>2.4518308991107771</v>
      </c>
      <c r="Y52" s="53">
        <f>SUM(Y3:Y50)</f>
        <v>0</v>
      </c>
      <c r="Z52" s="53">
        <f>SUM(Z3:Z50)</f>
        <v>2.1679892104457403</v>
      </c>
      <c r="AC52" s="53">
        <f>SUM(AC3:AC50)</f>
        <v>0</v>
      </c>
      <c r="AD52" s="53">
        <f>SUM(AD3:AD50)</f>
        <v>1.9737274995289407</v>
      </c>
      <c r="AG52" s="53">
        <f>SUM(AG3:AG50)</f>
        <v>0</v>
      </c>
      <c r="AH52" s="53">
        <f>SUM(AH3:AH50)</f>
        <v>1.9007512493964551</v>
      </c>
      <c r="AK52" s="53">
        <f>SUM(AK3:AK50)</f>
        <v>0</v>
      </c>
      <c r="AL52" s="53">
        <f>SUM(AL3:AL50)</f>
        <v>0.83094055820526402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54" spans="1:50" x14ac:dyDescent="0.25">
      <c r="A54" s="99" t="s">
        <v>445</v>
      </c>
      <c r="B54" s="100" t="s">
        <v>446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  <row r="66" spans="12:13" x14ac:dyDescent="0.25">
      <c r="L66" s="22" t="s">
        <v>447</v>
      </c>
    </row>
    <row r="67" spans="12:13" x14ac:dyDescent="0.25">
      <c r="L67" s="22" t="s">
        <v>315</v>
      </c>
      <c r="M67" s="98">
        <v>17</v>
      </c>
    </row>
    <row r="68" spans="12:13" x14ac:dyDescent="0.25">
      <c r="L68" s="22" t="s">
        <v>321</v>
      </c>
      <c r="M68" s="98">
        <v>17</v>
      </c>
    </row>
    <row r="69" spans="12:13" x14ac:dyDescent="0.25">
      <c r="L69" s="22" t="s">
        <v>325</v>
      </c>
      <c r="M69" s="98">
        <v>13</v>
      </c>
    </row>
    <row r="70" spans="12:13" x14ac:dyDescent="0.25">
      <c r="L70" s="22" t="s">
        <v>326</v>
      </c>
      <c r="M70" s="98">
        <v>18</v>
      </c>
    </row>
    <row r="71" spans="12:13" x14ac:dyDescent="0.25">
      <c r="L71" s="22" t="s">
        <v>328</v>
      </c>
      <c r="M71" s="98">
        <v>13</v>
      </c>
    </row>
    <row r="72" spans="12:13" x14ac:dyDescent="0.25">
      <c r="L72" s="22" t="s">
        <v>316</v>
      </c>
      <c r="M72" s="98">
        <v>17</v>
      </c>
    </row>
    <row r="73" spans="12:13" x14ac:dyDescent="0.25">
      <c r="L73" s="22" t="s">
        <v>350</v>
      </c>
      <c r="M73" s="98">
        <v>25</v>
      </c>
    </row>
    <row r="74" spans="12:13" x14ac:dyDescent="0.25">
      <c r="L74" s="22" t="s">
        <v>352</v>
      </c>
      <c r="M74" s="98">
        <v>26</v>
      </c>
    </row>
    <row r="75" spans="12:13" x14ac:dyDescent="0.25">
      <c r="L75" s="22" t="s">
        <v>355</v>
      </c>
      <c r="M75" s="98">
        <v>13</v>
      </c>
    </row>
    <row r="76" spans="12:13" x14ac:dyDescent="0.25">
      <c r="L76" s="22" t="s">
        <v>356</v>
      </c>
      <c r="M76" s="98">
        <v>15</v>
      </c>
    </row>
    <row r="77" spans="12:13" x14ac:dyDescent="0.25">
      <c r="L77" s="22" t="s">
        <v>353</v>
      </c>
      <c r="M77" s="98">
        <v>12</v>
      </c>
    </row>
    <row r="78" spans="12:13" x14ac:dyDescent="0.25">
      <c r="L78" s="22" t="s">
        <v>354</v>
      </c>
      <c r="M78" s="98">
        <v>10</v>
      </c>
    </row>
    <row r="79" spans="12:13" x14ac:dyDescent="0.25">
      <c r="L79" s="22" t="s">
        <v>333</v>
      </c>
      <c r="M79" s="98">
        <v>26</v>
      </c>
    </row>
    <row r="80" spans="12:13" x14ac:dyDescent="0.25">
      <c r="L80" s="22" t="s">
        <v>332</v>
      </c>
      <c r="M80" s="98">
        <v>24</v>
      </c>
    </row>
    <row r="81" spans="12:13" x14ac:dyDescent="0.25">
      <c r="L81" s="22" t="s">
        <v>360</v>
      </c>
      <c r="M81" s="98">
        <v>12</v>
      </c>
    </row>
    <row r="82" spans="12:13" x14ac:dyDescent="0.25">
      <c r="L82" s="22" t="s">
        <v>358</v>
      </c>
      <c r="M82" s="98">
        <v>13</v>
      </c>
    </row>
    <row r="83" spans="12:13" x14ac:dyDescent="0.25">
      <c r="L83" s="22" t="s">
        <v>359</v>
      </c>
      <c r="M83" s="98">
        <v>48</v>
      </c>
    </row>
    <row r="84" spans="12:13" x14ac:dyDescent="0.25">
      <c r="L84" s="22" t="s">
        <v>357</v>
      </c>
      <c r="M84" s="98">
        <v>45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3:F14 D33:F50 D15:E32">
    <cfRule type="expression" dxfId="1561" priority="121" stopIfTrue="1">
      <formula>#REF!="DLN"</formula>
    </cfRule>
  </conditionalFormatting>
  <conditionalFormatting sqref="F3:F7 D3:E50">
    <cfRule type="expression" dxfId="1560" priority="120" stopIfTrue="1">
      <formula>#REF!="DLN"</formula>
    </cfRule>
  </conditionalFormatting>
  <conditionalFormatting sqref="L3:L50">
    <cfRule type="expression" dxfId="1559" priority="119" stopIfTrue="1">
      <formula>#REF!="DLN"</formula>
    </cfRule>
  </conditionalFormatting>
  <conditionalFormatting sqref="L3:L50">
    <cfRule type="expression" dxfId="1558" priority="118" stopIfTrue="1">
      <formula>#REF!="DLN"</formula>
    </cfRule>
  </conditionalFormatting>
  <conditionalFormatting sqref="T3:T50">
    <cfRule type="expression" dxfId="1557" priority="117" stopIfTrue="1">
      <formula>#REF!="DLN"</formula>
    </cfRule>
  </conditionalFormatting>
  <conditionalFormatting sqref="T3:T50">
    <cfRule type="expression" dxfId="1556" priority="116" stopIfTrue="1">
      <formula>#REF!="DLN"</formula>
    </cfRule>
  </conditionalFormatting>
  <conditionalFormatting sqref="X3:X50">
    <cfRule type="expression" dxfId="1555" priority="115" stopIfTrue="1">
      <formula>#REF!="DLN"</formula>
    </cfRule>
  </conditionalFormatting>
  <conditionalFormatting sqref="X3:X50">
    <cfRule type="expression" dxfId="1554" priority="114" stopIfTrue="1">
      <formula>#REF!="DLN"</formula>
    </cfRule>
  </conditionalFormatting>
  <conditionalFormatting sqref="G2">
    <cfRule type="expression" dxfId="1553" priority="113" stopIfTrue="1">
      <formula>#REF!="DLN"</formula>
    </cfRule>
  </conditionalFormatting>
  <conditionalFormatting sqref="G2">
    <cfRule type="expression" dxfId="1552" priority="112" stopIfTrue="1">
      <formula>#REF!="DLN"</formula>
    </cfRule>
  </conditionalFormatting>
  <conditionalFormatting sqref="K2">
    <cfRule type="expression" dxfId="1551" priority="111" stopIfTrue="1">
      <formula>#REF!="DLN"</formula>
    </cfRule>
  </conditionalFormatting>
  <conditionalFormatting sqref="K2">
    <cfRule type="expression" dxfId="1550" priority="110" stopIfTrue="1">
      <formula>#REF!="DLN"</formula>
    </cfRule>
  </conditionalFormatting>
  <conditionalFormatting sqref="O2">
    <cfRule type="expression" dxfId="1549" priority="109" stopIfTrue="1">
      <formula>#REF!="DLN"</formula>
    </cfRule>
  </conditionalFormatting>
  <conditionalFormatting sqref="O2">
    <cfRule type="expression" dxfId="1548" priority="108" stopIfTrue="1">
      <formula>#REF!="DLN"</formula>
    </cfRule>
  </conditionalFormatting>
  <conditionalFormatting sqref="S2">
    <cfRule type="expression" dxfId="1547" priority="107" stopIfTrue="1">
      <formula>#REF!="DLN"</formula>
    </cfRule>
  </conditionalFormatting>
  <conditionalFormatting sqref="S2">
    <cfRule type="expression" dxfId="1546" priority="106" stopIfTrue="1">
      <formula>#REF!="DLN"</formula>
    </cfRule>
  </conditionalFormatting>
  <conditionalFormatting sqref="W2">
    <cfRule type="expression" dxfId="1545" priority="105" stopIfTrue="1">
      <formula>#REF!="DLN"</formula>
    </cfRule>
  </conditionalFormatting>
  <conditionalFormatting sqref="W2">
    <cfRule type="expression" dxfId="1544" priority="104" stopIfTrue="1">
      <formula>#REF!="DLN"</formula>
    </cfRule>
  </conditionalFormatting>
  <conditionalFormatting sqref="AF3:AF50">
    <cfRule type="expression" dxfId="1543" priority="56" stopIfTrue="1">
      <formula>#REF!="DLN"</formula>
    </cfRule>
  </conditionalFormatting>
  <conditionalFormatting sqref="W3:W50">
    <cfRule type="expression" dxfId="1542" priority="103" stopIfTrue="1">
      <formula>#REF!="DLN"</formula>
    </cfRule>
  </conditionalFormatting>
  <conditionalFormatting sqref="W3:W50">
    <cfRule type="expression" dxfId="1541" priority="102" stopIfTrue="1">
      <formula>#REF!="DLN"</formula>
    </cfRule>
  </conditionalFormatting>
  <conditionalFormatting sqref="S3:S50">
    <cfRule type="expression" dxfId="1540" priority="101" stopIfTrue="1">
      <formula>#REF!="DLN"</formula>
    </cfRule>
  </conditionalFormatting>
  <conditionalFormatting sqref="S3:S50">
    <cfRule type="expression" dxfId="1539" priority="100" stopIfTrue="1">
      <formula>#REF!="DLN"</formula>
    </cfRule>
  </conditionalFormatting>
  <conditionalFormatting sqref="K3:K50">
    <cfRule type="expression" dxfId="1538" priority="99" stopIfTrue="1">
      <formula>#REF!="DLN"</formula>
    </cfRule>
  </conditionalFormatting>
  <conditionalFormatting sqref="K3:K50">
    <cfRule type="expression" dxfId="1537" priority="98" stopIfTrue="1">
      <formula>#REF!="DLN"</formula>
    </cfRule>
  </conditionalFormatting>
  <conditionalFormatting sqref="AF3:AF50">
    <cfRule type="expression" dxfId="1536" priority="57" stopIfTrue="1">
      <formula>#REF!="DLN"</formula>
    </cfRule>
  </conditionalFormatting>
  <conditionalFormatting sqref="J52">
    <cfRule type="cellIs" dxfId="1535" priority="94" stopIfTrue="1" operator="greaterThanOrEqual">
      <formula>0.801</formula>
    </cfRule>
    <cfRule type="cellIs" dxfId="1534" priority="95" stopIfTrue="1" operator="between">
      <formula>0.61</formula>
      <formula>0.8</formula>
    </cfRule>
    <cfRule type="cellIs" dxfId="1533" priority="96" stopIfTrue="1" operator="between">
      <formula>0</formula>
      <formula>0.6</formula>
    </cfRule>
  </conditionalFormatting>
  <conditionalFormatting sqref="J52">
    <cfRule type="expression" dxfId="1532" priority="97" stopIfTrue="1">
      <formula>#REF!="DLN"</formula>
    </cfRule>
  </conditionalFormatting>
  <conditionalFormatting sqref="I52">
    <cfRule type="cellIs" dxfId="1531" priority="90" stopIfTrue="1" operator="greaterThanOrEqual">
      <formula>0.801</formula>
    </cfRule>
    <cfRule type="cellIs" dxfId="1530" priority="91" stopIfTrue="1" operator="between">
      <formula>0.61</formula>
      <formula>0.8</formula>
    </cfRule>
    <cfRule type="cellIs" dxfId="1529" priority="92" stopIfTrue="1" operator="between">
      <formula>0</formula>
      <formula>0.6</formula>
    </cfRule>
  </conditionalFormatting>
  <conditionalFormatting sqref="I52">
    <cfRule type="expression" dxfId="1528" priority="93" stopIfTrue="1">
      <formula>#REF!="DLN"</formula>
    </cfRule>
  </conditionalFormatting>
  <conditionalFormatting sqref="M52:N52">
    <cfRule type="cellIs" dxfId="1527" priority="86" stopIfTrue="1" operator="greaterThanOrEqual">
      <formula>0.801</formula>
    </cfRule>
    <cfRule type="cellIs" dxfId="1526" priority="87" stopIfTrue="1" operator="between">
      <formula>0.61</formula>
      <formula>0.8</formula>
    </cfRule>
    <cfRule type="cellIs" dxfId="1525" priority="88" stopIfTrue="1" operator="between">
      <formula>0</formula>
      <formula>0.6</formula>
    </cfRule>
  </conditionalFormatting>
  <conditionalFormatting sqref="M52:N52">
    <cfRule type="expression" dxfId="1524" priority="89" stopIfTrue="1">
      <formula>#REF!="DLN"</formula>
    </cfRule>
  </conditionalFormatting>
  <conditionalFormatting sqref="Q52:R52">
    <cfRule type="cellIs" dxfId="1523" priority="82" stopIfTrue="1" operator="greaterThanOrEqual">
      <formula>0.801</formula>
    </cfRule>
    <cfRule type="cellIs" dxfId="1522" priority="83" stopIfTrue="1" operator="between">
      <formula>0.61</formula>
      <formula>0.8</formula>
    </cfRule>
    <cfRule type="cellIs" dxfId="1521" priority="84" stopIfTrue="1" operator="between">
      <formula>0</formula>
      <formula>0.6</formula>
    </cfRule>
  </conditionalFormatting>
  <conditionalFormatting sqref="Q52:R52">
    <cfRule type="expression" dxfId="1520" priority="85" stopIfTrue="1">
      <formula>#REF!="DLN"</formula>
    </cfRule>
  </conditionalFormatting>
  <conditionalFormatting sqref="U52:V52">
    <cfRule type="cellIs" dxfId="1519" priority="78" stopIfTrue="1" operator="greaterThanOrEqual">
      <formula>0.801</formula>
    </cfRule>
    <cfRule type="cellIs" dxfId="1518" priority="79" stopIfTrue="1" operator="between">
      <formula>0.61</formula>
      <formula>0.8</formula>
    </cfRule>
    <cfRule type="cellIs" dxfId="1517" priority="80" stopIfTrue="1" operator="between">
      <formula>0</formula>
      <formula>0.6</formula>
    </cfRule>
  </conditionalFormatting>
  <conditionalFormatting sqref="U52:V52">
    <cfRule type="expression" dxfId="1516" priority="81" stopIfTrue="1">
      <formula>#REF!="DLN"</formula>
    </cfRule>
  </conditionalFormatting>
  <conditionalFormatting sqref="Y52:Z52">
    <cfRule type="cellIs" dxfId="1515" priority="74" stopIfTrue="1" operator="greaterThanOrEqual">
      <formula>0.801</formula>
    </cfRule>
    <cfRule type="cellIs" dxfId="1514" priority="75" stopIfTrue="1" operator="between">
      <formula>0.61</formula>
      <formula>0.8</formula>
    </cfRule>
    <cfRule type="cellIs" dxfId="1513" priority="76" stopIfTrue="1" operator="between">
      <formula>0</formula>
      <formula>0.6</formula>
    </cfRule>
  </conditionalFormatting>
  <conditionalFormatting sqref="Y52:Z52">
    <cfRule type="expression" dxfId="1512" priority="77" stopIfTrue="1">
      <formula>#REF!="DLN"</formula>
    </cfRule>
  </conditionalFormatting>
  <conditionalFormatting sqref="AC52:AD52">
    <cfRule type="cellIs" dxfId="1511" priority="70" stopIfTrue="1" operator="greaterThanOrEqual">
      <formula>0.801</formula>
    </cfRule>
    <cfRule type="cellIs" dxfId="1510" priority="71" stopIfTrue="1" operator="between">
      <formula>0.61</formula>
      <formula>0.8</formula>
    </cfRule>
    <cfRule type="cellIs" dxfId="1509" priority="72" stopIfTrue="1" operator="between">
      <formula>0</formula>
      <formula>0.6</formula>
    </cfRule>
  </conditionalFormatting>
  <conditionalFormatting sqref="AC52:AD52">
    <cfRule type="expression" dxfId="1508" priority="73" stopIfTrue="1">
      <formula>#REF!="DLN"</formula>
    </cfRule>
  </conditionalFormatting>
  <conditionalFormatting sqref="G3:G50">
    <cfRule type="expression" dxfId="1507" priority="68" stopIfTrue="1">
      <formula>#REF!="DLN"</formula>
    </cfRule>
  </conditionalFormatting>
  <conditionalFormatting sqref="G3:G50">
    <cfRule type="expression" dxfId="1506" priority="69" stopIfTrue="1">
      <formula>#REF!="DLN"</formula>
    </cfRule>
  </conditionalFormatting>
  <conditionalFormatting sqref="P3:P50">
    <cfRule type="expression" dxfId="1505" priority="67" stopIfTrue="1">
      <formula>#REF!="DLN"</formula>
    </cfRule>
  </conditionalFormatting>
  <conditionalFormatting sqref="P3:P50">
    <cfRule type="expression" dxfId="1504" priority="66" stopIfTrue="1">
      <formula>#REF!="DLN"</formula>
    </cfRule>
  </conditionalFormatting>
  <conditionalFormatting sqref="O3:O50">
    <cfRule type="expression" dxfId="1503" priority="65" stopIfTrue="1">
      <formula>#REF!="DLN"</formula>
    </cfRule>
  </conditionalFormatting>
  <conditionalFormatting sqref="O3:O50">
    <cfRule type="expression" dxfId="1502" priority="64" stopIfTrue="1">
      <formula>#REF!="DLN"</formula>
    </cfRule>
  </conditionalFormatting>
  <conditionalFormatting sqref="H3:H50">
    <cfRule type="expression" dxfId="1501" priority="63" stopIfTrue="1">
      <formula>#REF!="DLN"</formula>
    </cfRule>
  </conditionalFormatting>
  <conditionalFormatting sqref="H3:H50">
    <cfRule type="expression" dxfId="1500" priority="62" stopIfTrue="1">
      <formula>#REF!="DLN"</formula>
    </cfRule>
  </conditionalFormatting>
  <conditionalFormatting sqref="A33:A50">
    <cfRule type="expression" dxfId="1497" priority="59" stopIfTrue="1">
      <formula>#REF!="DLN"</formula>
    </cfRule>
  </conditionalFormatting>
  <conditionalFormatting sqref="A33:A50">
    <cfRule type="expression" dxfId="1496" priority="58" stopIfTrue="1">
      <formula>#REF!="DLN"</formula>
    </cfRule>
  </conditionalFormatting>
  <conditionalFormatting sqref="AE2">
    <cfRule type="expression" dxfId="1495" priority="55" stopIfTrue="1">
      <formula>#REF!="DLN"</formula>
    </cfRule>
  </conditionalFormatting>
  <conditionalFormatting sqref="AE2">
    <cfRule type="expression" dxfId="1494" priority="54" stopIfTrue="1">
      <formula>#REF!="DLN"</formula>
    </cfRule>
  </conditionalFormatting>
  <conditionalFormatting sqref="AE3:AE50">
    <cfRule type="expression" dxfId="1493" priority="53" stopIfTrue="1">
      <formula>#REF!="DLN"</formula>
    </cfRule>
  </conditionalFormatting>
  <conditionalFormatting sqref="AE3:AE50">
    <cfRule type="expression" dxfId="1492" priority="52" stopIfTrue="1">
      <formula>#REF!="DLN"</formula>
    </cfRule>
  </conditionalFormatting>
  <conditionalFormatting sqref="AG52:AH52">
    <cfRule type="cellIs" dxfId="1491" priority="48" stopIfTrue="1" operator="greaterThanOrEqual">
      <formula>0.801</formula>
    </cfRule>
    <cfRule type="cellIs" dxfId="1490" priority="49" stopIfTrue="1" operator="between">
      <formula>0.61</formula>
      <formula>0.8</formula>
    </cfRule>
    <cfRule type="cellIs" dxfId="1489" priority="50" stopIfTrue="1" operator="between">
      <formula>0</formula>
      <formula>0.6</formula>
    </cfRule>
  </conditionalFormatting>
  <conditionalFormatting sqref="AG52:AH52">
    <cfRule type="expression" dxfId="1488" priority="51" stopIfTrue="1">
      <formula>#REF!="DLN"</formula>
    </cfRule>
  </conditionalFormatting>
  <conditionalFormatting sqref="AK52:AL52">
    <cfRule type="cellIs" dxfId="1487" priority="44" stopIfTrue="1" operator="greaterThanOrEqual">
      <formula>0.801</formula>
    </cfRule>
    <cfRule type="cellIs" dxfId="1486" priority="45" stopIfTrue="1" operator="between">
      <formula>0.61</formula>
      <formula>0.8</formula>
    </cfRule>
    <cfRule type="cellIs" dxfId="1485" priority="46" stopIfTrue="1" operator="between">
      <formula>0</formula>
      <formula>0.6</formula>
    </cfRule>
  </conditionalFormatting>
  <conditionalFormatting sqref="AK52:AL52">
    <cfRule type="expression" dxfId="1484" priority="47" stopIfTrue="1">
      <formula>#REF!="DLN"</formula>
    </cfRule>
  </conditionalFormatting>
  <conditionalFormatting sqref="AN3:AN50">
    <cfRule type="expression" dxfId="1483" priority="43" stopIfTrue="1">
      <formula>#REF!="DLN"</formula>
    </cfRule>
  </conditionalFormatting>
  <conditionalFormatting sqref="AN3:AN50">
    <cfRule type="expression" dxfId="1482" priority="42" stopIfTrue="1">
      <formula>#REF!="DLN"</formula>
    </cfRule>
  </conditionalFormatting>
  <conditionalFormatting sqref="AM2">
    <cfRule type="expression" dxfId="1481" priority="41" stopIfTrue="1">
      <formula>#REF!="DLN"</formula>
    </cfRule>
  </conditionalFormatting>
  <conditionalFormatting sqref="AM2">
    <cfRule type="expression" dxfId="1480" priority="40" stopIfTrue="1">
      <formula>#REF!="DLN"</formula>
    </cfRule>
  </conditionalFormatting>
  <conditionalFormatting sqref="AM3:AM50">
    <cfRule type="expression" dxfId="1479" priority="39" stopIfTrue="1">
      <formula>#REF!="DLN"</formula>
    </cfRule>
  </conditionalFormatting>
  <conditionalFormatting sqref="AM3:AM50">
    <cfRule type="expression" dxfId="1478" priority="38" stopIfTrue="1">
      <formula>#REF!="DLN"</formula>
    </cfRule>
  </conditionalFormatting>
  <conditionalFormatting sqref="AO52:AP52">
    <cfRule type="cellIs" dxfId="1477" priority="34" stopIfTrue="1" operator="greaterThanOrEqual">
      <formula>0.801</formula>
    </cfRule>
    <cfRule type="cellIs" dxfId="1476" priority="35" stopIfTrue="1" operator="between">
      <formula>0.61</formula>
      <formula>0.8</formula>
    </cfRule>
    <cfRule type="cellIs" dxfId="1475" priority="36" stopIfTrue="1" operator="between">
      <formula>0</formula>
      <formula>0.6</formula>
    </cfRule>
  </conditionalFormatting>
  <conditionalFormatting sqref="AO52:AP52">
    <cfRule type="expression" dxfId="1474" priority="37" stopIfTrue="1">
      <formula>#REF!="DLN"</formula>
    </cfRule>
  </conditionalFormatting>
  <conditionalFormatting sqref="AS52:AT52">
    <cfRule type="cellIs" dxfId="1473" priority="30" stopIfTrue="1" operator="greaterThanOrEqual">
      <formula>0.801</formula>
    </cfRule>
    <cfRule type="cellIs" dxfId="1472" priority="31" stopIfTrue="1" operator="between">
      <formula>0.61</formula>
      <formula>0.8</formula>
    </cfRule>
    <cfRule type="cellIs" dxfId="1471" priority="32" stopIfTrue="1" operator="between">
      <formula>0</formula>
      <formula>0.6</formula>
    </cfRule>
  </conditionalFormatting>
  <conditionalFormatting sqref="AS52:AT52">
    <cfRule type="expression" dxfId="1470" priority="33" stopIfTrue="1">
      <formula>#REF!="DLN"</formula>
    </cfRule>
  </conditionalFormatting>
  <conditionalFormatting sqref="AV3:AV50">
    <cfRule type="expression" dxfId="1469" priority="29" stopIfTrue="1">
      <formula>#REF!="DLN"</formula>
    </cfRule>
  </conditionalFormatting>
  <conditionalFormatting sqref="AV3:AV50">
    <cfRule type="expression" dxfId="1468" priority="28" stopIfTrue="1">
      <formula>#REF!="DLN"</formula>
    </cfRule>
  </conditionalFormatting>
  <conditionalFormatting sqref="AU2">
    <cfRule type="expression" dxfId="1467" priority="27" stopIfTrue="1">
      <formula>#REF!="DLN"</formula>
    </cfRule>
  </conditionalFormatting>
  <conditionalFormatting sqref="AU2">
    <cfRule type="expression" dxfId="1466" priority="26" stopIfTrue="1">
      <formula>#REF!="DLN"</formula>
    </cfRule>
  </conditionalFormatting>
  <conditionalFormatting sqref="AU3:AU50">
    <cfRule type="expression" dxfId="1465" priority="25" stopIfTrue="1">
      <formula>#REF!="DLN"</formula>
    </cfRule>
  </conditionalFormatting>
  <conditionalFormatting sqref="AU3:AU50">
    <cfRule type="expression" dxfId="1464" priority="24" stopIfTrue="1">
      <formula>#REF!="DLN"</formula>
    </cfRule>
  </conditionalFormatting>
  <conditionalFormatting sqref="AW52:AX52">
    <cfRule type="cellIs" dxfId="1463" priority="20" stopIfTrue="1" operator="greaterThanOrEqual">
      <formula>0.801</formula>
    </cfRule>
    <cfRule type="cellIs" dxfId="1462" priority="21" stopIfTrue="1" operator="between">
      <formula>0.61</formula>
      <formula>0.8</formula>
    </cfRule>
    <cfRule type="cellIs" dxfId="1461" priority="22" stopIfTrue="1" operator="between">
      <formula>0</formula>
      <formula>0.6</formula>
    </cfRule>
  </conditionalFormatting>
  <conditionalFormatting sqref="AW52:AX52">
    <cfRule type="expression" dxfId="1460" priority="23" stopIfTrue="1">
      <formula>#REF!="DLN"</formula>
    </cfRule>
  </conditionalFormatting>
  <conditionalFormatting sqref="A9">
    <cfRule type="expression" dxfId="1345" priority="13" stopIfTrue="1">
      <formula>#REF!="DLN"</formula>
    </cfRule>
  </conditionalFormatting>
  <conditionalFormatting sqref="F15:F19">
    <cfRule type="expression" dxfId="1344" priority="10" stopIfTrue="1">
      <formula>#REF!="DLN"</formula>
    </cfRule>
  </conditionalFormatting>
  <conditionalFormatting sqref="F20">
    <cfRule type="expression" dxfId="1343" priority="8" stopIfTrue="1">
      <formula>#REF!="DLN"</formula>
    </cfRule>
  </conditionalFormatting>
  <conditionalFormatting sqref="F21">
    <cfRule type="expression" dxfId="1342" priority="11" stopIfTrue="1">
      <formula>#REF!="DLN"</formula>
    </cfRule>
  </conditionalFormatting>
  <conditionalFormatting sqref="F22:F32">
    <cfRule type="expression" dxfId="1341" priority="12" stopIfTrue="1">
      <formula>#REF!="DLN"</formula>
    </cfRule>
  </conditionalFormatting>
  <conditionalFormatting sqref="F15:F19">
    <cfRule type="expression" dxfId="1340" priority="9" stopIfTrue="1">
      <formula>#REF!="DLN"</formula>
    </cfRule>
  </conditionalFormatting>
  <conditionalFormatting sqref="A16">
    <cfRule type="expression" dxfId="1339" priority="7" stopIfTrue="1">
      <formula>#REF!="DLN"</formula>
    </cfRule>
  </conditionalFormatting>
  <conditionalFormatting sqref="A15">
    <cfRule type="expression" dxfId="1332" priority="6" stopIfTrue="1">
      <formula>#REF!="DLN"</formula>
    </cfRule>
  </conditionalFormatting>
  <conditionalFormatting sqref="M67:M71">
    <cfRule type="expression" dxfId="1331" priority="3" stopIfTrue="1">
      <formula>#REF!="DLN"</formula>
    </cfRule>
  </conditionalFormatting>
  <conditionalFormatting sqref="M72">
    <cfRule type="expression" dxfId="1330" priority="1" stopIfTrue="1">
      <formula>#REF!="DLN"</formula>
    </cfRule>
  </conditionalFormatting>
  <conditionalFormatting sqref="M73">
    <cfRule type="expression" dxfId="1329" priority="4" stopIfTrue="1">
      <formula>#REF!="DLN"</formula>
    </cfRule>
  </conditionalFormatting>
  <conditionalFormatting sqref="M74:M84">
    <cfRule type="expression" dxfId="1328" priority="5" stopIfTrue="1">
      <formula>#REF!="DLN"</formula>
    </cfRule>
  </conditionalFormatting>
  <conditionalFormatting sqref="M67:M71">
    <cfRule type="expression" dxfId="1327" priority="2" stopIfTrue="1">
      <formula>#REF!="DLN"</formula>
    </cfRule>
  </conditionalFormatting>
  <dataValidations count="1">
    <dataValidation type="list" allowBlank="1" showInputMessage="1" showErrorMessage="1" sqref="A3:A50" xr:uid="{78883909-FECC-48CB-80AA-8D6358C75F09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2F4330-E359-419E-9AE1-BF2992772375}">
          <x14:formula1>
            <xm:f>'Customer and Platform List'!$B$2:$B$16</xm:f>
          </x14:formula1>
          <xm:sqref>B3:B50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02BB-A255-411B-BBEA-C77A96EF9783}">
  <sheetPr codeName="Sheet12"/>
  <dimension ref="A1:AX62"/>
  <sheetViews>
    <sheetView tabSelected="1" workbookViewId="0">
      <selection activeCell="C20" sqref="C20"/>
    </sheetView>
  </sheetViews>
  <sheetFormatPr defaultRowHeight="15" x14ac:dyDescent="0.25"/>
  <cols>
    <col min="1" max="1" width="17.42578125" style="22" customWidth="1"/>
    <col min="2" max="2" width="15.140625" style="22" bestFit="1" customWidth="1"/>
    <col min="3" max="3" width="13.7109375" style="22" bestFit="1" customWidth="1"/>
    <col min="4" max="10" width="9.140625" style="22"/>
    <col min="11" max="11" width="9.85546875" style="22" bestFit="1" customWidth="1"/>
    <col min="12" max="16384" width="9.140625" style="22"/>
  </cols>
  <sheetData>
    <row r="1" spans="1:50" ht="16.5" thickBot="1" x14ac:dyDescent="0.3">
      <c r="A1" s="82" t="s">
        <v>28</v>
      </c>
      <c r="B1" s="83"/>
      <c r="C1" s="83"/>
      <c r="D1" s="83"/>
      <c r="E1" s="83"/>
      <c r="F1" s="83"/>
      <c r="G1" s="78">
        <v>2022</v>
      </c>
      <c r="H1" s="79"/>
      <c r="I1" s="79"/>
      <c r="J1" s="80"/>
      <c r="K1" s="75">
        <v>2023</v>
      </c>
      <c r="L1" s="76"/>
      <c r="M1" s="76"/>
      <c r="N1" s="77"/>
      <c r="O1" s="78">
        <v>2024</v>
      </c>
      <c r="P1" s="79"/>
      <c r="Q1" s="79"/>
      <c r="R1" s="80"/>
      <c r="S1" s="75">
        <v>2025</v>
      </c>
      <c r="T1" s="76"/>
      <c r="U1" s="76"/>
      <c r="V1" s="77"/>
      <c r="W1" s="78">
        <v>2026</v>
      </c>
      <c r="X1" s="79"/>
      <c r="Y1" s="79"/>
      <c r="Z1" s="80"/>
      <c r="AA1" s="82">
        <v>2027</v>
      </c>
      <c r="AB1" s="83"/>
      <c r="AC1" s="83"/>
      <c r="AD1" s="84"/>
      <c r="AE1" s="78">
        <v>2028</v>
      </c>
      <c r="AF1" s="79"/>
      <c r="AG1" s="79"/>
      <c r="AH1" s="80"/>
      <c r="AI1" s="82">
        <v>2029</v>
      </c>
      <c r="AJ1" s="83"/>
      <c r="AK1" s="83"/>
      <c r="AL1" s="84"/>
      <c r="AM1" s="78">
        <v>2030</v>
      </c>
      <c r="AN1" s="79"/>
      <c r="AO1" s="79"/>
      <c r="AP1" s="80"/>
      <c r="AQ1" s="82">
        <v>2031</v>
      </c>
      <c r="AR1" s="83"/>
      <c r="AS1" s="83"/>
      <c r="AT1" s="84"/>
      <c r="AU1" s="78">
        <v>2032</v>
      </c>
      <c r="AV1" s="79"/>
      <c r="AW1" s="79"/>
      <c r="AX1" s="80"/>
    </row>
    <row r="2" spans="1:50" ht="39" thickBot="1" x14ac:dyDescent="0.3">
      <c r="A2" s="27" t="s">
        <v>1</v>
      </c>
      <c r="B2" s="28" t="s">
        <v>0</v>
      </c>
      <c r="C2" s="27" t="s">
        <v>29</v>
      </c>
      <c r="D2" s="27" t="s">
        <v>2</v>
      </c>
      <c r="E2" s="27" t="s">
        <v>30</v>
      </c>
      <c r="F2" s="29" t="s">
        <v>3</v>
      </c>
      <c r="G2" s="30" t="s">
        <v>4</v>
      </c>
      <c r="H2" s="31" t="s">
        <v>5</v>
      </c>
      <c r="I2" s="32" t="s">
        <v>6</v>
      </c>
      <c r="J2" s="33" t="s">
        <v>7</v>
      </c>
      <c r="K2" s="34" t="s">
        <v>4</v>
      </c>
      <c r="L2" s="35" t="s">
        <v>5</v>
      </c>
      <c r="M2" s="36" t="s">
        <v>6</v>
      </c>
      <c r="N2" s="37" t="s">
        <v>7</v>
      </c>
      <c r="O2" s="30" t="s">
        <v>4</v>
      </c>
      <c r="P2" s="31" t="s">
        <v>5</v>
      </c>
      <c r="Q2" s="32" t="s">
        <v>6</v>
      </c>
      <c r="R2" s="33" t="s">
        <v>7</v>
      </c>
      <c r="S2" s="34" t="s">
        <v>4</v>
      </c>
      <c r="T2" s="35" t="s">
        <v>5</v>
      </c>
      <c r="U2" s="36" t="s">
        <v>6</v>
      </c>
      <c r="V2" s="37" t="s">
        <v>7</v>
      </c>
      <c r="W2" s="30" t="s">
        <v>4</v>
      </c>
      <c r="X2" s="31" t="s">
        <v>5</v>
      </c>
      <c r="Y2" s="32" t="s">
        <v>6</v>
      </c>
      <c r="Z2" s="33" t="s">
        <v>7</v>
      </c>
      <c r="AA2" s="38" t="s">
        <v>4</v>
      </c>
      <c r="AB2" s="35" t="s">
        <v>5</v>
      </c>
      <c r="AC2" s="35" t="s">
        <v>6</v>
      </c>
      <c r="AD2" s="37" t="s">
        <v>7</v>
      </c>
      <c r="AE2" s="30" t="s">
        <v>4</v>
      </c>
      <c r="AF2" s="31" t="s">
        <v>5</v>
      </c>
      <c r="AG2" s="32" t="s">
        <v>6</v>
      </c>
      <c r="AH2" s="33" t="s">
        <v>7</v>
      </c>
      <c r="AI2" s="38" t="s">
        <v>4</v>
      </c>
      <c r="AJ2" s="35" t="s">
        <v>5</v>
      </c>
      <c r="AK2" s="35" t="s">
        <v>6</v>
      </c>
      <c r="AL2" s="37" t="s">
        <v>7</v>
      </c>
      <c r="AM2" s="30" t="s">
        <v>4</v>
      </c>
      <c r="AN2" s="31" t="s">
        <v>5</v>
      </c>
      <c r="AO2" s="32" t="s">
        <v>6</v>
      </c>
      <c r="AP2" s="33" t="s">
        <v>7</v>
      </c>
      <c r="AQ2" s="38" t="s">
        <v>4</v>
      </c>
      <c r="AR2" s="35" t="s">
        <v>5</v>
      </c>
      <c r="AS2" s="35" t="s">
        <v>6</v>
      </c>
      <c r="AT2" s="37" t="s">
        <v>7</v>
      </c>
      <c r="AU2" s="30" t="s">
        <v>4</v>
      </c>
      <c r="AV2" s="31" t="s">
        <v>5</v>
      </c>
      <c r="AW2" s="32" t="s">
        <v>6</v>
      </c>
      <c r="AX2" s="33" t="s">
        <v>7</v>
      </c>
    </row>
    <row r="3" spans="1:50" x14ac:dyDescent="0.25">
      <c r="A3" s="93" t="s">
        <v>315</v>
      </c>
      <c r="B3" s="24"/>
      <c r="C3" s="20" t="str">
        <f>IFERROR(VLOOKUP(A3,'Parts List and Volumes'!C2:D194,2,FALSE),"")</f>
        <v>NJ000676ACF20</v>
      </c>
      <c r="D3" s="39">
        <f>IFERROR(IF(VLOOKUP($A3,'Parts List and Volumes'!$C2:$F266,3,FALSE)=0,"",VLOOKUP(A3,'Parts List and Volumes'!C2:F266,3,FALSE)),"")</f>
        <v>4.76</v>
      </c>
      <c r="E3" s="39" t="str">
        <f>IFERROR(IF(VLOOKUP($A3,'Parts List and Volumes'!$C2:$F266,4,FALSE)=0,"",VLOOKUP(B3,'Parts List and Volumes'!D2:G266,3,FALSE)),"")</f>
        <v/>
      </c>
      <c r="F3" s="98">
        <v>34</v>
      </c>
      <c r="G3" s="40">
        <f>IFERROR(VLOOKUP($A3,'Parts List and Volumes'!$C$2:$W194,5,FALSE),"")</f>
        <v>17600</v>
      </c>
      <c r="H3" s="41">
        <f>IFERROR(VLOOKUP($A3,'Parts List and Volumes'!$C$2:$W194,6,FALSE),"")</f>
        <v>20000</v>
      </c>
      <c r="I3" s="42">
        <f t="shared" ref="I3:J50" si="0">IFERROR((($F3*G3)/FourHeadAssumption),"")</f>
        <v>4.4044044044044044E-2</v>
      </c>
      <c r="J3" s="43">
        <f t="shared" si="0"/>
        <v>5.0050050050050053E-2</v>
      </c>
      <c r="K3" s="44">
        <f>IFERROR(VLOOKUP($A3,'Parts List and Volumes'!$C$2:$W194,7,FALSE),"")</f>
        <v>0</v>
      </c>
      <c r="L3" s="45">
        <f>IFERROR(VLOOKUP($A3,'Parts List and Volumes'!$C$2:$W194,8,FALSE),"")</f>
        <v>30000</v>
      </c>
      <c r="M3" s="46">
        <f t="shared" ref="M3:N50" si="1">IFERROR((($F3*K3)/FourHeadAssumption),"")</f>
        <v>0</v>
      </c>
      <c r="N3" s="47">
        <f t="shared" si="1"/>
        <v>7.5075075075075076E-2</v>
      </c>
      <c r="O3" s="41">
        <f>IFERROR(VLOOKUP($A3,'Parts List and Volumes'!$C$2:$W194,9,FALSE),"")</f>
        <v>0</v>
      </c>
      <c r="P3" s="41">
        <f>IFERROR(VLOOKUP($A3,'Parts List and Volumes'!$C$2:$W194,10,FALSE),"")</f>
        <v>27500</v>
      </c>
      <c r="Q3" s="48">
        <f t="shared" ref="Q3:R50" si="2">IFERROR((($F3*O3)/FourHeadAssumption),"")</f>
        <v>0</v>
      </c>
      <c r="R3" s="43">
        <f t="shared" si="2"/>
        <v>6.8818818818818822E-2</v>
      </c>
      <c r="S3" s="44">
        <f>IFERROR(VLOOKUP($A3,'Parts List and Volumes'!$C$2:$W194,11,FALSE),"")</f>
        <v>0</v>
      </c>
      <c r="T3" s="45">
        <f>IFERROR(VLOOKUP($A3,'Parts List and Volumes'!$C$2:$W194,12,FALSE),"")</f>
        <v>27500</v>
      </c>
      <c r="U3" s="46">
        <f t="shared" ref="U3:V50" si="3">IFERROR((($F3*S3)/FourHeadAssumption),"")</f>
        <v>0</v>
      </c>
      <c r="V3" s="47">
        <f t="shared" si="3"/>
        <v>6.8818818818818822E-2</v>
      </c>
      <c r="W3" s="40">
        <f>IFERROR(VLOOKUP($A3,'Parts List and Volumes'!$C$2:$W194,13,FALSE),"")</f>
        <v>0</v>
      </c>
      <c r="X3" s="41">
        <f>IFERROR(VLOOKUP($A3,'Parts List and Volumes'!$C$2:$W194,14,FALSE),"")</f>
        <v>27500</v>
      </c>
      <c r="Y3" s="48">
        <f t="shared" ref="Y3:Z50" si="4">IFERROR((($F3*W3)/FourHeadAssumption),"")</f>
        <v>0</v>
      </c>
      <c r="Z3" s="43">
        <f t="shared" si="4"/>
        <v>6.8818818818818822E-2</v>
      </c>
      <c r="AA3" s="49">
        <f>IFERROR(VLOOKUP($A3,'Parts List and Volumes'!$C$2:$W194,15,FALSE),"")</f>
        <v>0</v>
      </c>
      <c r="AB3" s="50">
        <f>IFERROR(VLOOKUP($A3,'Parts List and Volumes'!$C$2:$W194,16,FALSE),"")</f>
        <v>27500</v>
      </c>
      <c r="AC3" s="51">
        <f t="shared" ref="AC3:AD50" si="5">IFERROR((($F3*AA3)/FourHeadAssumption),"")</f>
        <v>0</v>
      </c>
      <c r="AD3" s="52">
        <f t="shared" si="5"/>
        <v>6.8818818818818822E-2</v>
      </c>
      <c r="AE3" s="40">
        <f>IFERROR(VLOOKUP($A3,'Parts List and Volumes'!$C$2:$W194,17,FALSE),"")</f>
        <v>0</v>
      </c>
      <c r="AF3" s="41">
        <f>IFERROR(VLOOKUP($A3,'Parts List and Volumes'!$C$2:$W194,18,FALSE),"")</f>
        <v>27500</v>
      </c>
      <c r="AG3" s="48">
        <f t="shared" ref="AG3:AH50" si="6">IFERROR((($F3*AE3)/FourHeadAssumption),"")</f>
        <v>0</v>
      </c>
      <c r="AH3" s="43">
        <f t="shared" si="6"/>
        <v>6.8818818818818822E-2</v>
      </c>
      <c r="AI3" s="49">
        <f>IFERROR(VLOOKUP($A3,'Parts List and Volumes'!$C$2:$W194,19,FALSE),"")</f>
        <v>0</v>
      </c>
      <c r="AJ3" s="50">
        <f>IFERROR(VLOOKUP($A3,'Parts List and Volumes'!$C$2:$W194,20,FALSE),"")</f>
        <v>0</v>
      </c>
      <c r="AK3" s="51">
        <f t="shared" ref="AK3:AL50" si="7">IFERROR((($F3*AI3)/FourHeadAssumption),"")</f>
        <v>0</v>
      </c>
      <c r="AL3" s="52">
        <f t="shared" si="7"/>
        <v>0</v>
      </c>
      <c r="AM3" s="40">
        <f>IFERROR(VLOOKUP($A3,'Parts List and Volumes'!$C$2:$W194,21,FALSE),"")</f>
        <v>0</v>
      </c>
      <c r="AN3" s="41" t="str">
        <f>IFERROR(VLOOKUP($A3,'Parts List and Volumes'!$C$2:$W194,22,FALSE),"")</f>
        <v/>
      </c>
      <c r="AO3" s="48">
        <f t="shared" ref="AO3:AP50" si="8">IFERROR((($F3*AM3)/FourHeadAssumption),"")</f>
        <v>0</v>
      </c>
      <c r="AP3" s="43" t="str">
        <f t="shared" si="8"/>
        <v/>
      </c>
      <c r="AQ3" s="49" t="str">
        <f>IFERROR(VLOOKUP($A3,'Parts List and Volumes'!$C$2:$W194,23,FALSE),"")</f>
        <v/>
      </c>
      <c r="AR3" s="50" t="str">
        <f>IFERROR(VLOOKUP($A3,'Parts List and Volumes'!$C$2:$W194,24,FALSE),"")</f>
        <v/>
      </c>
      <c r="AS3" s="51" t="str">
        <f t="shared" ref="AS3:AT50" si="9">IFERROR((($F3*AQ3)/FourHeadAssumption),"")</f>
        <v/>
      </c>
      <c r="AT3" s="52" t="str">
        <f t="shared" si="9"/>
        <v/>
      </c>
      <c r="AU3" s="40" t="str">
        <f>IFERROR(VLOOKUP($A3,'Parts List and Volumes'!$C$2:$W194,25,FALSE),"")</f>
        <v/>
      </c>
      <c r="AV3" s="41" t="str">
        <f>IFERROR(VLOOKUP($A3,'Parts List and Volumes'!$C$2:$W194,26,FALSE),"")</f>
        <v/>
      </c>
      <c r="AW3" s="48" t="str">
        <f t="shared" ref="AW3:AX50" si="10">IFERROR((($F3*AU3)/FourHeadAssumption),"")</f>
        <v/>
      </c>
      <c r="AX3" s="43" t="str">
        <f t="shared" si="10"/>
        <v/>
      </c>
    </row>
    <row r="4" spans="1:50" x14ac:dyDescent="0.25">
      <c r="A4" s="95" t="s">
        <v>321</v>
      </c>
      <c r="B4" s="24"/>
      <c r="C4" s="20" t="str">
        <f>IFERROR(VLOOKUP(A4,'Parts List and Volumes'!C3:D195,2,FALSE),"")</f>
        <v>NJ000690AAF20</v>
      </c>
      <c r="D4" s="39">
        <f>IFERROR(IF(VLOOKUP($A4,'Parts List and Volumes'!$C3:$F266,3,FALSE)=0,"",VLOOKUP(A4,'Parts List and Volumes'!C3:F266,3,FALSE)),"")</f>
        <v>4.76</v>
      </c>
      <c r="E4" s="39" t="str">
        <f>IFERROR(IF(VLOOKUP($A4,'Parts List and Volumes'!$C3:$F266,4,FALSE)=0,"",VLOOKUP(B4,'Parts List and Volumes'!D3:G266,3,FALSE)),"")</f>
        <v/>
      </c>
      <c r="F4" s="98">
        <v>34</v>
      </c>
      <c r="G4" s="40">
        <f>IFERROR(VLOOKUP($A4,'Parts List and Volumes'!$C$2:$W195,5,FALSE),"")</f>
        <v>18800</v>
      </c>
      <c r="H4" s="41">
        <f>IFERROR(VLOOKUP($A4,'Parts List and Volumes'!$C$2:$W195,6,FALSE),"")</f>
        <v>20000</v>
      </c>
      <c r="I4" s="42">
        <f t="shared" si="0"/>
        <v>4.7047047047047048E-2</v>
      </c>
      <c r="J4" s="43">
        <f t="shared" si="0"/>
        <v>5.0050050050050053E-2</v>
      </c>
      <c r="K4" s="44">
        <f>IFERROR(VLOOKUP($A4,'Parts List and Volumes'!$C$2:$W195,7,FALSE),"")</f>
        <v>0</v>
      </c>
      <c r="L4" s="45">
        <f>IFERROR(VLOOKUP($A4,'Parts List and Volumes'!$C$2:$W195,8,FALSE),"")</f>
        <v>30000</v>
      </c>
      <c r="M4" s="46">
        <f t="shared" si="1"/>
        <v>0</v>
      </c>
      <c r="N4" s="47">
        <f t="shared" si="1"/>
        <v>7.5075075075075076E-2</v>
      </c>
      <c r="O4" s="41">
        <f>IFERROR(VLOOKUP($A4,'Parts List and Volumes'!$C$2:$W195,9,FALSE),"")</f>
        <v>0</v>
      </c>
      <c r="P4" s="41">
        <f>IFERROR(VLOOKUP($A4,'Parts List and Volumes'!$C$2:$W195,10,FALSE),"")</f>
        <v>27500</v>
      </c>
      <c r="Q4" s="48">
        <f t="shared" si="2"/>
        <v>0</v>
      </c>
      <c r="R4" s="43">
        <f t="shared" si="2"/>
        <v>6.8818818818818822E-2</v>
      </c>
      <c r="S4" s="44">
        <f>IFERROR(VLOOKUP($A4,'Parts List and Volumes'!$C$2:$W195,11,FALSE),"")</f>
        <v>0</v>
      </c>
      <c r="T4" s="45">
        <f>IFERROR(VLOOKUP($A4,'Parts List and Volumes'!$C$2:$W195,12,FALSE),"")</f>
        <v>27500</v>
      </c>
      <c r="U4" s="46">
        <f t="shared" si="3"/>
        <v>0</v>
      </c>
      <c r="V4" s="47">
        <f t="shared" si="3"/>
        <v>6.8818818818818822E-2</v>
      </c>
      <c r="W4" s="40">
        <f>IFERROR(VLOOKUP($A4,'Parts List and Volumes'!$C$2:$W195,13,FALSE),"")</f>
        <v>0</v>
      </c>
      <c r="X4" s="41">
        <f>IFERROR(VLOOKUP($A4,'Parts List and Volumes'!$C$2:$W195,14,FALSE),"")</f>
        <v>27500</v>
      </c>
      <c r="Y4" s="48">
        <f t="shared" si="4"/>
        <v>0</v>
      </c>
      <c r="Z4" s="43">
        <f t="shared" si="4"/>
        <v>6.8818818818818822E-2</v>
      </c>
      <c r="AA4" s="49">
        <f>IFERROR(VLOOKUP($A4,'Parts List and Volumes'!$C$2:$W195,15,FALSE),"")</f>
        <v>0</v>
      </c>
      <c r="AB4" s="50">
        <f>IFERROR(VLOOKUP($A4,'Parts List and Volumes'!$C$2:$W195,16,FALSE),"")</f>
        <v>27500</v>
      </c>
      <c r="AC4" s="51">
        <f t="shared" si="5"/>
        <v>0</v>
      </c>
      <c r="AD4" s="52">
        <f t="shared" si="5"/>
        <v>6.8818818818818822E-2</v>
      </c>
      <c r="AE4" s="40">
        <f>IFERROR(VLOOKUP($A4,'Parts List and Volumes'!$C$2:$W195,17,FALSE),"")</f>
        <v>0</v>
      </c>
      <c r="AF4" s="41">
        <f>IFERROR(VLOOKUP($A4,'Parts List and Volumes'!$C$2:$W195,18,FALSE),"")</f>
        <v>27500</v>
      </c>
      <c r="AG4" s="48">
        <f t="shared" si="6"/>
        <v>0</v>
      </c>
      <c r="AH4" s="43">
        <f t="shared" si="6"/>
        <v>6.8818818818818822E-2</v>
      </c>
      <c r="AI4" s="49">
        <f>IFERROR(VLOOKUP($A4,'Parts List and Volumes'!$C$2:$W195,19,FALSE),"")</f>
        <v>0</v>
      </c>
      <c r="AJ4" s="50">
        <f>IFERROR(VLOOKUP($A4,'Parts List and Volumes'!$C$2:$W195,20,FALSE),"")</f>
        <v>0</v>
      </c>
      <c r="AK4" s="51">
        <f t="shared" si="7"/>
        <v>0</v>
      </c>
      <c r="AL4" s="52">
        <f t="shared" si="7"/>
        <v>0</v>
      </c>
      <c r="AM4" s="40">
        <f>IFERROR(VLOOKUP($A4,'Parts List and Volumes'!$C$2:$W195,21,FALSE),"")</f>
        <v>0</v>
      </c>
      <c r="AN4" s="41" t="str">
        <f>IFERROR(VLOOKUP($A4,'Parts List and Volumes'!$C$2:$W195,22,FALSE),"")</f>
        <v/>
      </c>
      <c r="AO4" s="48">
        <f t="shared" si="8"/>
        <v>0</v>
      </c>
      <c r="AP4" s="43" t="str">
        <f t="shared" si="8"/>
        <v/>
      </c>
      <c r="AQ4" s="49" t="str">
        <f>IFERROR(VLOOKUP($A4,'Parts List and Volumes'!$C$2:$W195,23,FALSE),"")</f>
        <v/>
      </c>
      <c r="AR4" s="50" t="str">
        <f>IFERROR(VLOOKUP($A4,'Parts List and Volumes'!$C$2:$W195,24,FALSE),"")</f>
        <v/>
      </c>
      <c r="AS4" s="51" t="str">
        <f t="shared" si="9"/>
        <v/>
      </c>
      <c r="AT4" s="52" t="str">
        <f t="shared" si="9"/>
        <v/>
      </c>
      <c r="AU4" s="40" t="str">
        <f>IFERROR(VLOOKUP($A4,'Parts List and Volumes'!$C$2:$W195,25,FALSE),"")</f>
        <v/>
      </c>
      <c r="AV4" s="41" t="str">
        <f>IFERROR(VLOOKUP($A4,'Parts List and Volumes'!$C$2:$W195,26,FALSE),"")</f>
        <v/>
      </c>
      <c r="AW4" s="48" t="str">
        <f t="shared" si="10"/>
        <v/>
      </c>
      <c r="AX4" s="43" t="str">
        <f t="shared" si="10"/>
        <v/>
      </c>
    </row>
    <row r="5" spans="1:50" x14ac:dyDescent="0.25">
      <c r="A5" s="96" t="s">
        <v>325</v>
      </c>
      <c r="B5" s="24"/>
      <c r="C5" s="20" t="str">
        <f>IFERROR(VLOOKUP(A5,'Parts List and Volumes'!C4:D196,2,FALSE),"")</f>
        <v>NJ000677ACF20</v>
      </c>
      <c r="D5" s="39">
        <f>IFERROR(IF(VLOOKUP($A5,'Parts List and Volumes'!$C4:$F266,3,FALSE)=0,"",VLOOKUP(A5,'Parts List and Volumes'!C4:F266,3,FALSE)),"")</f>
        <v>4.76</v>
      </c>
      <c r="E5" s="39" t="str">
        <f>IFERROR(IF(VLOOKUP($A5,'Parts List and Volumes'!$C4:$F266,4,FALSE)=0,"",VLOOKUP(B5,'Parts List and Volumes'!D4:G266,3,FALSE)),"")</f>
        <v/>
      </c>
      <c r="F5" s="98">
        <v>26</v>
      </c>
      <c r="G5" s="40">
        <f>IFERROR(VLOOKUP($A5,'Parts List and Volumes'!$C$2:$W196,5,FALSE),"")</f>
        <v>21800</v>
      </c>
      <c r="H5" s="41">
        <f>IFERROR(VLOOKUP($A5,'Parts List and Volumes'!$C$2:$W196,6,FALSE),"")</f>
        <v>30000</v>
      </c>
      <c r="I5" s="42">
        <f t="shared" si="0"/>
        <v>4.1718188777012305E-2</v>
      </c>
      <c r="J5" s="43">
        <f t="shared" si="0"/>
        <v>5.7410351527998588E-2</v>
      </c>
      <c r="K5" s="44">
        <f>IFERROR(VLOOKUP($A5,'Parts List and Volumes'!$C$2:$W196,7,FALSE),"")</f>
        <v>0</v>
      </c>
      <c r="L5" s="45">
        <f>IFERROR(VLOOKUP($A5,'Parts List and Volumes'!$C$2:$W196,8,FALSE),"")</f>
        <v>30000</v>
      </c>
      <c r="M5" s="46">
        <f t="shared" si="1"/>
        <v>0</v>
      </c>
      <c r="N5" s="47">
        <f t="shared" si="1"/>
        <v>5.7410351527998588E-2</v>
      </c>
      <c r="O5" s="41">
        <f>IFERROR(VLOOKUP($A5,'Parts List and Volumes'!$C$2:$W196,9,FALSE),"")</f>
        <v>0</v>
      </c>
      <c r="P5" s="41">
        <f>IFERROR(VLOOKUP($A5,'Parts List and Volumes'!$C$2:$W196,10,FALSE),"")</f>
        <v>26500</v>
      </c>
      <c r="Q5" s="48">
        <f t="shared" si="2"/>
        <v>0</v>
      </c>
      <c r="R5" s="43">
        <f t="shared" si="2"/>
        <v>5.0712477183065416E-2</v>
      </c>
      <c r="S5" s="44">
        <f>IFERROR(VLOOKUP($A5,'Parts List and Volumes'!$C$2:$W196,11,FALSE),"")</f>
        <v>0</v>
      </c>
      <c r="T5" s="45">
        <f>IFERROR(VLOOKUP($A5,'Parts List and Volumes'!$C$2:$W196,12,FALSE),"")</f>
        <v>26500</v>
      </c>
      <c r="U5" s="46">
        <f t="shared" si="3"/>
        <v>0</v>
      </c>
      <c r="V5" s="47">
        <f t="shared" si="3"/>
        <v>5.0712477183065416E-2</v>
      </c>
      <c r="W5" s="40">
        <f>IFERROR(VLOOKUP($A5,'Parts List and Volumes'!$C$2:$W196,13,FALSE),"")</f>
        <v>0</v>
      </c>
      <c r="X5" s="41">
        <f>IFERROR(VLOOKUP($A5,'Parts List and Volumes'!$C$2:$W196,14,FALSE),"")</f>
        <v>26500</v>
      </c>
      <c r="Y5" s="48">
        <f t="shared" si="4"/>
        <v>0</v>
      </c>
      <c r="Z5" s="43">
        <f t="shared" si="4"/>
        <v>5.0712477183065416E-2</v>
      </c>
      <c r="AA5" s="49">
        <f>IFERROR(VLOOKUP($A5,'Parts List and Volumes'!$C$2:$W196,15,FALSE),"")</f>
        <v>0</v>
      </c>
      <c r="AB5" s="50">
        <f>IFERROR(VLOOKUP($A5,'Parts List and Volumes'!$C$2:$W196,16,FALSE),"")</f>
        <v>26500</v>
      </c>
      <c r="AC5" s="51">
        <f t="shared" si="5"/>
        <v>0</v>
      </c>
      <c r="AD5" s="52">
        <f t="shared" si="5"/>
        <v>5.0712477183065416E-2</v>
      </c>
      <c r="AE5" s="40">
        <f>IFERROR(VLOOKUP($A5,'Parts List and Volumes'!$C$2:$W196,17,FALSE),"")</f>
        <v>0</v>
      </c>
      <c r="AF5" s="41">
        <f>IFERROR(VLOOKUP($A5,'Parts List and Volumes'!$C$2:$W196,18,FALSE),"")</f>
        <v>26500</v>
      </c>
      <c r="AG5" s="48">
        <f t="shared" si="6"/>
        <v>0</v>
      </c>
      <c r="AH5" s="43">
        <f t="shared" si="6"/>
        <v>5.0712477183065416E-2</v>
      </c>
      <c r="AI5" s="49">
        <f>IFERROR(VLOOKUP($A5,'Parts List and Volumes'!$C$2:$W196,19,FALSE),"")</f>
        <v>0</v>
      </c>
      <c r="AJ5" s="50">
        <f>IFERROR(VLOOKUP($A5,'Parts List and Volumes'!$C$2:$W196,20,FALSE),"")</f>
        <v>0</v>
      </c>
      <c r="AK5" s="51">
        <f t="shared" si="7"/>
        <v>0</v>
      </c>
      <c r="AL5" s="52">
        <f t="shared" si="7"/>
        <v>0</v>
      </c>
      <c r="AM5" s="40">
        <f>IFERROR(VLOOKUP($A5,'Parts List and Volumes'!$C$2:$W196,21,FALSE),"")</f>
        <v>0</v>
      </c>
      <c r="AN5" s="41" t="str">
        <f>IFERROR(VLOOKUP($A5,'Parts List and Volumes'!$C$2:$W196,22,FALSE),"")</f>
        <v/>
      </c>
      <c r="AO5" s="48">
        <f t="shared" si="8"/>
        <v>0</v>
      </c>
      <c r="AP5" s="43" t="str">
        <f t="shared" si="8"/>
        <v/>
      </c>
      <c r="AQ5" s="49" t="str">
        <f>IFERROR(VLOOKUP($A5,'Parts List and Volumes'!$C$2:$W196,23,FALSE),"")</f>
        <v/>
      </c>
      <c r="AR5" s="50" t="str">
        <f>IFERROR(VLOOKUP($A5,'Parts List and Volumes'!$C$2:$W196,24,FALSE),"")</f>
        <v/>
      </c>
      <c r="AS5" s="51" t="str">
        <f t="shared" si="9"/>
        <v/>
      </c>
      <c r="AT5" s="52" t="str">
        <f t="shared" si="9"/>
        <v/>
      </c>
      <c r="AU5" s="40" t="str">
        <f>IFERROR(VLOOKUP($A5,'Parts List and Volumes'!$C$2:$W196,25,FALSE),"")</f>
        <v/>
      </c>
      <c r="AV5" s="41" t="str">
        <f>IFERROR(VLOOKUP($A5,'Parts List and Volumes'!$C$2:$W196,26,FALSE),"")</f>
        <v/>
      </c>
      <c r="AW5" s="48" t="str">
        <f t="shared" si="10"/>
        <v/>
      </c>
      <c r="AX5" s="43" t="str">
        <f t="shared" si="10"/>
        <v/>
      </c>
    </row>
    <row r="6" spans="1:50" x14ac:dyDescent="0.25">
      <c r="A6" s="96" t="s">
        <v>326</v>
      </c>
      <c r="B6" s="24"/>
      <c r="C6" s="20" t="str">
        <f>IFERROR(VLOOKUP(A6,'Parts List and Volumes'!C5:D197,2,FALSE),"")</f>
        <v>NJ000691ABF20</v>
      </c>
      <c r="D6" s="39">
        <f>IFERROR(IF(VLOOKUP($A6,'Parts List and Volumes'!$C5:$F266,3,FALSE)=0,"",VLOOKUP(A6,'Parts List and Volumes'!C5:F266,3,FALSE)),"")</f>
        <v>4.76</v>
      </c>
      <c r="E6" s="39" t="str">
        <f>IFERROR(IF(VLOOKUP($A6,'Parts List and Volumes'!$C5:$F266,4,FALSE)=0,"",VLOOKUP(B6,'Parts List and Volumes'!D5:G266,3,FALSE)),"")</f>
        <v/>
      </c>
      <c r="F6" s="98">
        <v>36</v>
      </c>
      <c r="G6" s="40">
        <f>IFERROR(VLOOKUP($A6,'Parts List and Volumes'!$C$2:$W197,5,FALSE),"")</f>
        <v>19600</v>
      </c>
      <c r="H6" s="41">
        <f>IFERROR(VLOOKUP($A6,'Parts List and Volumes'!$C$2:$W197,6,FALSE),"")</f>
        <v>30000</v>
      </c>
      <c r="I6" s="42">
        <f t="shared" si="0"/>
        <v>5.1934287228404874E-2</v>
      </c>
      <c r="J6" s="43">
        <f t="shared" si="0"/>
        <v>7.9491255961844198E-2</v>
      </c>
      <c r="K6" s="58">
        <f>IFERROR(VLOOKUP($A6,'Parts List and Volumes'!$C$2:$W197,7,FALSE),"")</f>
        <v>0</v>
      </c>
      <c r="L6" s="45">
        <f>IFERROR(VLOOKUP($A6,'Parts List and Volumes'!$C$2:$W197,8,FALSE),"")</f>
        <v>30000</v>
      </c>
      <c r="M6" s="46">
        <f t="shared" si="1"/>
        <v>0</v>
      </c>
      <c r="N6" s="47">
        <f t="shared" si="1"/>
        <v>7.9491255961844198E-2</v>
      </c>
      <c r="O6" s="41">
        <f>IFERROR(VLOOKUP($A6,'Parts List and Volumes'!$C$2:$W197,9,FALSE),"")</f>
        <v>0</v>
      </c>
      <c r="P6" s="41">
        <f>IFERROR(VLOOKUP($A6,'Parts List and Volumes'!$C$2:$W197,10,FALSE),"")</f>
        <v>26500</v>
      </c>
      <c r="Q6" s="48">
        <f t="shared" si="2"/>
        <v>0</v>
      </c>
      <c r="R6" s="43">
        <f t="shared" si="2"/>
        <v>7.0217276099629036E-2</v>
      </c>
      <c r="S6" s="44">
        <f>IFERROR(VLOOKUP($A6,'Parts List and Volumes'!$C$2:$W197,11,FALSE),"")</f>
        <v>0</v>
      </c>
      <c r="T6" s="45">
        <f>IFERROR(VLOOKUP($A6,'Parts List and Volumes'!$C$2:$W197,12,FALSE),"")</f>
        <v>26500</v>
      </c>
      <c r="U6" s="46">
        <f t="shared" si="3"/>
        <v>0</v>
      </c>
      <c r="V6" s="47">
        <f t="shared" si="3"/>
        <v>7.0217276099629036E-2</v>
      </c>
      <c r="W6" s="40">
        <f>IFERROR(VLOOKUP($A6,'Parts List and Volumes'!$C$2:$W197,13,FALSE),"")</f>
        <v>0</v>
      </c>
      <c r="X6" s="41">
        <f>IFERROR(VLOOKUP($A6,'Parts List and Volumes'!$C$2:$W197,14,FALSE),"")</f>
        <v>26500</v>
      </c>
      <c r="Y6" s="48">
        <f t="shared" si="4"/>
        <v>0</v>
      </c>
      <c r="Z6" s="43">
        <f t="shared" si="4"/>
        <v>7.0217276099629036E-2</v>
      </c>
      <c r="AA6" s="49">
        <f>IFERROR(VLOOKUP($A6,'Parts List and Volumes'!$C$2:$W197,15,FALSE),"")</f>
        <v>0</v>
      </c>
      <c r="AB6" s="50">
        <f>IFERROR(VLOOKUP($A6,'Parts List and Volumes'!$C$2:$W197,16,FALSE),"")</f>
        <v>26500</v>
      </c>
      <c r="AC6" s="51">
        <f t="shared" si="5"/>
        <v>0</v>
      </c>
      <c r="AD6" s="52">
        <f t="shared" si="5"/>
        <v>7.0217276099629036E-2</v>
      </c>
      <c r="AE6" s="40">
        <f>IFERROR(VLOOKUP($A6,'Parts List and Volumes'!$C$2:$W197,17,FALSE),"")</f>
        <v>0</v>
      </c>
      <c r="AF6" s="41">
        <f>IFERROR(VLOOKUP($A6,'Parts List and Volumes'!$C$2:$W197,18,FALSE),"")</f>
        <v>26500</v>
      </c>
      <c r="AG6" s="48">
        <f t="shared" si="6"/>
        <v>0</v>
      </c>
      <c r="AH6" s="43">
        <f t="shared" si="6"/>
        <v>7.0217276099629036E-2</v>
      </c>
      <c r="AI6" s="49">
        <f>IFERROR(VLOOKUP($A6,'Parts List and Volumes'!$C$2:$W197,19,FALSE),"")</f>
        <v>0</v>
      </c>
      <c r="AJ6" s="50">
        <f>IFERROR(VLOOKUP($A6,'Parts List and Volumes'!$C$2:$W197,20,FALSE),"")</f>
        <v>0</v>
      </c>
      <c r="AK6" s="51">
        <f t="shared" si="7"/>
        <v>0</v>
      </c>
      <c r="AL6" s="52">
        <f t="shared" si="7"/>
        <v>0</v>
      </c>
      <c r="AM6" s="40">
        <f>IFERROR(VLOOKUP($A6,'Parts List and Volumes'!$C$2:$W197,21,FALSE),"")</f>
        <v>0</v>
      </c>
      <c r="AN6" s="41" t="str">
        <f>IFERROR(VLOOKUP($A6,'Parts List and Volumes'!$C$2:$W197,22,FALSE),"")</f>
        <v/>
      </c>
      <c r="AO6" s="48">
        <f t="shared" si="8"/>
        <v>0</v>
      </c>
      <c r="AP6" s="43" t="str">
        <f t="shared" si="8"/>
        <v/>
      </c>
      <c r="AQ6" s="49" t="str">
        <f>IFERROR(VLOOKUP($A6,'Parts List and Volumes'!$C$2:$W197,23,FALSE),"")</f>
        <v/>
      </c>
      <c r="AR6" s="50" t="str">
        <f>IFERROR(VLOOKUP($A6,'Parts List and Volumes'!$C$2:$W197,24,FALSE),"")</f>
        <v/>
      </c>
      <c r="AS6" s="51" t="str">
        <f t="shared" si="9"/>
        <v/>
      </c>
      <c r="AT6" s="52" t="str">
        <f t="shared" si="9"/>
        <v/>
      </c>
      <c r="AU6" s="40" t="str">
        <f>IFERROR(VLOOKUP($A6,'Parts List and Volumes'!$C$2:$W197,25,FALSE),"")</f>
        <v/>
      </c>
      <c r="AV6" s="41" t="str">
        <f>IFERROR(VLOOKUP($A6,'Parts List and Volumes'!$C$2:$W197,26,FALSE),"")</f>
        <v/>
      </c>
      <c r="AW6" s="48" t="str">
        <f t="shared" si="10"/>
        <v/>
      </c>
      <c r="AX6" s="43" t="str">
        <f t="shared" si="10"/>
        <v/>
      </c>
    </row>
    <row r="7" spans="1:50" x14ac:dyDescent="0.25">
      <c r="A7" s="96" t="s">
        <v>328</v>
      </c>
      <c r="B7" s="24"/>
      <c r="C7" s="20" t="str">
        <f>IFERROR(VLOOKUP(A7,'Parts List and Volumes'!C6:D198,2,FALSE),"")</f>
        <v>NJ000675ABF20</v>
      </c>
      <c r="D7" s="39">
        <f>IFERROR(IF(VLOOKUP($A7,'Parts List and Volumes'!$C6:$F266,3,FALSE)=0,"",VLOOKUP(A7,'Parts List and Volumes'!C6:F266,3,FALSE)),"")</f>
        <v>4.76</v>
      </c>
      <c r="E7" s="39" t="str">
        <f>IFERROR(IF(VLOOKUP($A7,'Parts List and Volumes'!$C6:$F266,4,FALSE)=0,"",VLOOKUP(B7,'Parts List and Volumes'!D6:G266,3,FALSE)),"")</f>
        <v/>
      </c>
      <c r="F7" s="98">
        <v>26</v>
      </c>
      <c r="G7" s="40">
        <f>IFERROR(VLOOKUP($A7,'Parts List and Volumes'!$C$2:$W198,5,FALSE),"")</f>
        <v>21400</v>
      </c>
      <c r="H7" s="41">
        <f>IFERROR(VLOOKUP($A7,'Parts List and Volumes'!$C$2:$W198,6,FALSE),"")</f>
        <v>30000</v>
      </c>
      <c r="I7" s="42">
        <f t="shared" si="0"/>
        <v>4.0952717423305661E-2</v>
      </c>
      <c r="J7" s="43">
        <f t="shared" si="0"/>
        <v>5.7410351527998588E-2</v>
      </c>
      <c r="K7" s="58">
        <f>IFERROR(VLOOKUP($A7,'Parts List and Volumes'!$C$2:$W198,7,FALSE),"")</f>
        <v>0</v>
      </c>
      <c r="L7" s="45">
        <f>IFERROR(VLOOKUP($A7,'Parts List and Volumes'!$C$2:$W198,8,FALSE),"")</f>
        <v>30000</v>
      </c>
      <c r="M7" s="46">
        <f t="shared" si="1"/>
        <v>0</v>
      </c>
      <c r="N7" s="47">
        <f t="shared" si="1"/>
        <v>5.7410351527998588E-2</v>
      </c>
      <c r="O7" s="41">
        <f>IFERROR(VLOOKUP($A7,'Parts List and Volumes'!$C$2:$W198,9,FALSE),"")</f>
        <v>0</v>
      </c>
      <c r="P7" s="41">
        <f>IFERROR(VLOOKUP($A7,'Parts List and Volumes'!$C$2:$W198,10,FALSE),"")</f>
        <v>26500</v>
      </c>
      <c r="Q7" s="48">
        <f t="shared" si="2"/>
        <v>0</v>
      </c>
      <c r="R7" s="43">
        <f t="shared" si="2"/>
        <v>5.0712477183065416E-2</v>
      </c>
      <c r="S7" s="44">
        <f>IFERROR(VLOOKUP($A7,'Parts List and Volumes'!$C$2:$W198,11,FALSE),"")</f>
        <v>0</v>
      </c>
      <c r="T7" s="45">
        <f>IFERROR(VLOOKUP($A7,'Parts List and Volumes'!$C$2:$W198,12,FALSE),"")</f>
        <v>26500</v>
      </c>
      <c r="U7" s="46">
        <f t="shared" si="3"/>
        <v>0</v>
      </c>
      <c r="V7" s="47">
        <f t="shared" si="3"/>
        <v>5.0712477183065416E-2</v>
      </c>
      <c r="W7" s="40">
        <f>IFERROR(VLOOKUP($A7,'Parts List and Volumes'!$C$2:$W198,13,FALSE),"")</f>
        <v>0</v>
      </c>
      <c r="X7" s="41">
        <f>IFERROR(VLOOKUP($A7,'Parts List and Volumes'!$C$2:$W198,14,FALSE),"")</f>
        <v>26500</v>
      </c>
      <c r="Y7" s="48">
        <f t="shared" si="4"/>
        <v>0</v>
      </c>
      <c r="Z7" s="43">
        <f t="shared" si="4"/>
        <v>5.0712477183065416E-2</v>
      </c>
      <c r="AA7" s="49">
        <f>IFERROR(VLOOKUP($A7,'Parts List and Volumes'!$C$2:$W198,15,FALSE),"")</f>
        <v>0</v>
      </c>
      <c r="AB7" s="50">
        <f>IFERROR(VLOOKUP($A7,'Parts List and Volumes'!$C$2:$W198,16,FALSE),"")</f>
        <v>26500</v>
      </c>
      <c r="AC7" s="51">
        <f t="shared" si="5"/>
        <v>0</v>
      </c>
      <c r="AD7" s="52">
        <f t="shared" si="5"/>
        <v>5.0712477183065416E-2</v>
      </c>
      <c r="AE7" s="40">
        <f>IFERROR(VLOOKUP($A7,'Parts List and Volumes'!$C$2:$W198,17,FALSE),"")</f>
        <v>0</v>
      </c>
      <c r="AF7" s="41">
        <f>IFERROR(VLOOKUP($A7,'Parts List and Volumes'!$C$2:$W198,18,FALSE),"")</f>
        <v>26500</v>
      </c>
      <c r="AG7" s="48">
        <f t="shared" si="6"/>
        <v>0</v>
      </c>
      <c r="AH7" s="43">
        <f t="shared" si="6"/>
        <v>5.0712477183065416E-2</v>
      </c>
      <c r="AI7" s="49">
        <f>IFERROR(VLOOKUP($A7,'Parts List and Volumes'!$C$2:$W198,19,FALSE),"")</f>
        <v>0</v>
      </c>
      <c r="AJ7" s="50">
        <f>IFERROR(VLOOKUP($A7,'Parts List and Volumes'!$C$2:$W198,20,FALSE),"")</f>
        <v>0</v>
      </c>
      <c r="AK7" s="51">
        <f t="shared" si="7"/>
        <v>0</v>
      </c>
      <c r="AL7" s="52">
        <f t="shared" si="7"/>
        <v>0</v>
      </c>
      <c r="AM7" s="40">
        <f>IFERROR(VLOOKUP($A7,'Parts List and Volumes'!$C$2:$W198,21,FALSE),"")</f>
        <v>0</v>
      </c>
      <c r="AN7" s="41" t="str">
        <f>IFERROR(VLOOKUP($A7,'Parts List and Volumes'!$C$2:$W198,22,FALSE),"")</f>
        <v/>
      </c>
      <c r="AO7" s="48">
        <f t="shared" si="8"/>
        <v>0</v>
      </c>
      <c r="AP7" s="43" t="str">
        <f t="shared" si="8"/>
        <v/>
      </c>
      <c r="AQ7" s="49" t="str">
        <f>IFERROR(VLOOKUP($A7,'Parts List and Volumes'!$C$2:$W198,23,FALSE),"")</f>
        <v/>
      </c>
      <c r="AR7" s="50" t="str">
        <f>IFERROR(VLOOKUP($A7,'Parts List and Volumes'!$C$2:$W198,24,FALSE),"")</f>
        <v/>
      </c>
      <c r="AS7" s="51" t="str">
        <f t="shared" si="9"/>
        <v/>
      </c>
      <c r="AT7" s="52" t="str">
        <f t="shared" si="9"/>
        <v/>
      </c>
      <c r="AU7" s="40" t="str">
        <f>IFERROR(VLOOKUP($A7,'Parts List and Volumes'!$C$2:$W198,25,FALSE),"")</f>
        <v/>
      </c>
      <c r="AV7" s="41" t="str">
        <f>IFERROR(VLOOKUP($A7,'Parts List and Volumes'!$C$2:$W198,26,FALSE),"")</f>
        <v/>
      </c>
      <c r="AW7" s="48" t="str">
        <f t="shared" si="10"/>
        <v/>
      </c>
      <c r="AX7" s="43" t="str">
        <f t="shared" si="10"/>
        <v/>
      </c>
    </row>
    <row r="8" spans="1:50" x14ac:dyDescent="0.25">
      <c r="A8" s="96" t="s">
        <v>316</v>
      </c>
      <c r="B8" s="24"/>
      <c r="C8" s="20" t="str">
        <f>IFERROR(VLOOKUP(A8,'Parts List and Volumes'!C7:D199,2,FALSE),"")</f>
        <v>NJ000674ABF20</v>
      </c>
      <c r="D8" s="39">
        <f>IFERROR(IF(VLOOKUP($A8,'Parts List and Volumes'!$C7:$F266,3,FALSE)=0,"",VLOOKUP(A8,'Parts List and Volumes'!C7:F266,3,FALSE)),"")</f>
        <v>4.76</v>
      </c>
      <c r="E8" s="39" t="str">
        <f>IFERROR(IF(VLOOKUP($A8,'Parts List and Volumes'!$C7:$F266,4,FALSE)=0,"",VLOOKUP(B8,'Parts List and Volumes'!D7:G266,3,FALSE)),"")</f>
        <v/>
      </c>
      <c r="F8" s="98">
        <v>34</v>
      </c>
      <c r="G8" s="40">
        <f>IFERROR(VLOOKUP($A8,'Parts List and Volumes'!$C$2:$W199,5,FALSE),"")</f>
        <v>16400</v>
      </c>
      <c r="H8" s="41">
        <f>IFERROR(VLOOKUP($A8,'Parts List and Volumes'!$C$2:$W199,6,FALSE),"")</f>
        <v>20000</v>
      </c>
      <c r="I8" s="42">
        <f t="shared" si="0"/>
        <v>4.1041041041041039E-2</v>
      </c>
      <c r="J8" s="43">
        <f t="shared" si="0"/>
        <v>5.0050050050050053E-2</v>
      </c>
      <c r="K8" s="58">
        <f>IFERROR(VLOOKUP($A8,'Parts List and Volumes'!$C$2:$W199,7,FALSE),"")</f>
        <v>0</v>
      </c>
      <c r="L8" s="45">
        <f>IFERROR(VLOOKUP($A8,'Parts List and Volumes'!$C$2:$W199,8,FALSE),"")</f>
        <v>30000</v>
      </c>
      <c r="M8" s="46">
        <f t="shared" si="1"/>
        <v>0</v>
      </c>
      <c r="N8" s="47">
        <f t="shared" si="1"/>
        <v>7.5075075075075076E-2</v>
      </c>
      <c r="O8" s="41">
        <f>IFERROR(VLOOKUP($A8,'Parts List and Volumes'!$C$2:$W199,9,FALSE),"")</f>
        <v>0</v>
      </c>
      <c r="P8" s="41">
        <f>IFERROR(VLOOKUP($A8,'Parts List and Volumes'!$C$2:$W199,10,FALSE),"")</f>
        <v>27500</v>
      </c>
      <c r="Q8" s="48">
        <f t="shared" si="2"/>
        <v>0</v>
      </c>
      <c r="R8" s="43">
        <f t="shared" si="2"/>
        <v>6.8818818818818822E-2</v>
      </c>
      <c r="S8" s="44">
        <f>IFERROR(VLOOKUP($A8,'Parts List and Volumes'!$C$2:$W199,11,FALSE),"")</f>
        <v>0</v>
      </c>
      <c r="T8" s="45">
        <f>IFERROR(VLOOKUP($A8,'Parts List and Volumes'!$C$2:$W199,12,FALSE),"")</f>
        <v>27500</v>
      </c>
      <c r="U8" s="46">
        <f t="shared" si="3"/>
        <v>0</v>
      </c>
      <c r="V8" s="47">
        <f t="shared" si="3"/>
        <v>6.8818818818818822E-2</v>
      </c>
      <c r="W8" s="40">
        <f>IFERROR(VLOOKUP($A8,'Parts List and Volumes'!$C$2:$W199,13,FALSE),"")</f>
        <v>0</v>
      </c>
      <c r="X8" s="41">
        <f>IFERROR(VLOOKUP($A8,'Parts List and Volumes'!$C$2:$W199,14,FALSE),"")</f>
        <v>27500</v>
      </c>
      <c r="Y8" s="48">
        <f t="shared" si="4"/>
        <v>0</v>
      </c>
      <c r="Z8" s="43">
        <f t="shared" si="4"/>
        <v>6.8818818818818822E-2</v>
      </c>
      <c r="AA8" s="49">
        <f>IFERROR(VLOOKUP($A8,'Parts List and Volumes'!$C$2:$W199,15,FALSE),"")</f>
        <v>0</v>
      </c>
      <c r="AB8" s="50">
        <f>IFERROR(VLOOKUP($A8,'Parts List and Volumes'!$C$2:$W199,16,FALSE),"")</f>
        <v>27500</v>
      </c>
      <c r="AC8" s="51">
        <f t="shared" si="5"/>
        <v>0</v>
      </c>
      <c r="AD8" s="52">
        <f t="shared" si="5"/>
        <v>6.8818818818818822E-2</v>
      </c>
      <c r="AE8" s="40">
        <f>IFERROR(VLOOKUP($A8,'Parts List and Volumes'!$C$2:$W199,17,FALSE),"")</f>
        <v>0</v>
      </c>
      <c r="AF8" s="41">
        <f>IFERROR(VLOOKUP($A8,'Parts List and Volumes'!$C$2:$W199,18,FALSE),"")</f>
        <v>27500</v>
      </c>
      <c r="AG8" s="48">
        <f t="shared" si="6"/>
        <v>0</v>
      </c>
      <c r="AH8" s="43">
        <f t="shared" si="6"/>
        <v>6.8818818818818822E-2</v>
      </c>
      <c r="AI8" s="49">
        <f>IFERROR(VLOOKUP($A8,'Parts List and Volumes'!$C$2:$W199,19,FALSE),"")</f>
        <v>0</v>
      </c>
      <c r="AJ8" s="50">
        <f>IFERROR(VLOOKUP($A8,'Parts List and Volumes'!$C$2:$W199,20,FALSE),"")</f>
        <v>0</v>
      </c>
      <c r="AK8" s="51">
        <f t="shared" si="7"/>
        <v>0</v>
      </c>
      <c r="AL8" s="52">
        <f t="shared" si="7"/>
        <v>0</v>
      </c>
      <c r="AM8" s="40">
        <f>IFERROR(VLOOKUP($A8,'Parts List and Volumes'!$C$2:$W199,21,FALSE),"")</f>
        <v>0</v>
      </c>
      <c r="AN8" s="41" t="str">
        <f>IFERROR(VLOOKUP($A8,'Parts List and Volumes'!$C$2:$W199,22,FALSE),"")</f>
        <v/>
      </c>
      <c r="AO8" s="48">
        <f t="shared" si="8"/>
        <v>0</v>
      </c>
      <c r="AP8" s="43" t="str">
        <f t="shared" si="8"/>
        <v/>
      </c>
      <c r="AQ8" s="49" t="str">
        <f>IFERROR(VLOOKUP($A8,'Parts List and Volumes'!$C$2:$W199,23,FALSE),"")</f>
        <v/>
      </c>
      <c r="AR8" s="50" t="str">
        <f>IFERROR(VLOOKUP($A8,'Parts List and Volumes'!$C$2:$W199,24,FALSE),"")</f>
        <v/>
      </c>
      <c r="AS8" s="51" t="str">
        <f t="shared" si="9"/>
        <v/>
      </c>
      <c r="AT8" s="52" t="str">
        <f t="shared" si="9"/>
        <v/>
      </c>
      <c r="AU8" s="40" t="str">
        <f>IFERROR(VLOOKUP($A8,'Parts List and Volumes'!$C$2:$W199,25,FALSE),"")</f>
        <v/>
      </c>
      <c r="AV8" s="41" t="str">
        <f>IFERROR(VLOOKUP($A8,'Parts List and Volumes'!$C$2:$W199,26,FALSE),"")</f>
        <v/>
      </c>
      <c r="AW8" s="48" t="str">
        <f t="shared" si="10"/>
        <v/>
      </c>
      <c r="AX8" s="43" t="str">
        <f t="shared" si="10"/>
        <v/>
      </c>
    </row>
    <row r="9" spans="1:50" x14ac:dyDescent="0.25">
      <c r="A9" s="96" t="s">
        <v>350</v>
      </c>
      <c r="B9" s="24"/>
      <c r="C9" s="20" t="str">
        <f>IFERROR(VLOOKUP(A9,'Parts List and Volumes'!C8:D200,2,FALSE),"")</f>
        <v>NJ000749AAF20</v>
      </c>
      <c r="D9" s="39">
        <f>IFERROR(IF(VLOOKUP($A9,'Parts List and Volumes'!$C8:$F266,3,FALSE)=0,"",VLOOKUP(A9,'Parts List and Volumes'!C8:F266,3,FALSE)),"")</f>
        <v>4.76</v>
      </c>
      <c r="E9" s="39" t="str">
        <f>IFERROR(IF(VLOOKUP($A9,'Parts List and Volumes'!$C8:$F266,4,FALSE)=0,"",VLOOKUP(B9,'Parts List and Volumes'!D8:G266,3,FALSE)),"")</f>
        <v/>
      </c>
      <c r="F9" s="98">
        <v>40</v>
      </c>
      <c r="G9" s="40">
        <f>IFERROR(VLOOKUP($A9,'Parts List and Volumes'!$C$2:$W200,5,FALSE),"")</f>
        <v>15600</v>
      </c>
      <c r="H9" s="41">
        <f>IFERROR(VLOOKUP($A9,'Parts List and Volumes'!$C$2:$W200,6,FALSE),"")</f>
        <v>10439.96764258865</v>
      </c>
      <c r="I9" s="42">
        <f t="shared" si="0"/>
        <v>4.5928281222398872E-2</v>
      </c>
      <c r="J9" s="43">
        <f t="shared" si="0"/>
        <v>3.0736523707792056E-2</v>
      </c>
      <c r="K9" s="58">
        <f>IFERROR(VLOOKUP($A9,'Parts List and Volumes'!$C$2:$W200,7,FALSE),"")</f>
        <v>0</v>
      </c>
      <c r="L9" s="45">
        <f>IFERROR(VLOOKUP($A9,'Parts List and Volumes'!$C$2:$W200,8,FALSE),"")</f>
        <v>20447.63370430352</v>
      </c>
      <c r="M9" s="46">
        <f t="shared" si="1"/>
        <v>0</v>
      </c>
      <c r="N9" s="47">
        <f t="shared" si="1"/>
        <v>6.0200299429734205E-2</v>
      </c>
      <c r="O9" s="41">
        <f>IFERROR(VLOOKUP($A9,'Parts List and Volumes'!$C$2:$W200,9,FALSE),"")</f>
        <v>0</v>
      </c>
      <c r="P9" s="41">
        <f>IFERROR(VLOOKUP($A9,'Parts List and Volumes'!$C$2:$W200,10,FALSE),"")</f>
        <v>19929.446159936266</v>
      </c>
      <c r="Q9" s="48">
        <f t="shared" si="2"/>
        <v>0</v>
      </c>
      <c r="R9" s="43">
        <f t="shared" si="2"/>
        <v>5.8674692810269879E-2</v>
      </c>
      <c r="S9" s="44">
        <f>IFERROR(VLOOKUP($A9,'Parts List and Volumes'!$C$2:$W200,11,FALSE),"")</f>
        <v>0</v>
      </c>
      <c r="T9" s="45">
        <f>IFERROR(VLOOKUP($A9,'Parts List and Volumes'!$C$2:$W200,12,FALSE),"")</f>
        <v>15428.007023705004</v>
      </c>
      <c r="U9" s="46">
        <f t="shared" si="3"/>
        <v>0</v>
      </c>
      <c r="V9" s="47">
        <f t="shared" si="3"/>
        <v>4.5421913159350541E-2</v>
      </c>
      <c r="W9" s="40">
        <f>IFERROR(VLOOKUP($A9,'Parts List and Volumes'!$C$2:$W200,13,FALSE),"")</f>
        <v>0</v>
      </c>
      <c r="X9" s="41">
        <f>IFERROR(VLOOKUP($A9,'Parts List and Volumes'!$C$2:$W200,14,FALSE),"")</f>
        <v>0</v>
      </c>
      <c r="Y9" s="48">
        <f t="shared" si="4"/>
        <v>0</v>
      </c>
      <c r="Z9" s="43">
        <f t="shared" si="4"/>
        <v>0</v>
      </c>
      <c r="AA9" s="49">
        <f>IFERROR(VLOOKUP($A9,'Parts List and Volumes'!$C$2:$W200,15,FALSE),"")</f>
        <v>0</v>
      </c>
      <c r="AB9" s="50">
        <f>IFERROR(VLOOKUP($A9,'Parts List and Volumes'!$C$2:$W200,16,FALSE),"")</f>
        <v>0</v>
      </c>
      <c r="AC9" s="51">
        <f t="shared" si="5"/>
        <v>0</v>
      </c>
      <c r="AD9" s="52">
        <f t="shared" si="5"/>
        <v>0</v>
      </c>
      <c r="AE9" s="40">
        <f>IFERROR(VLOOKUP($A9,'Parts List and Volumes'!$C$2:$W200,17,FALSE),"")</f>
        <v>0</v>
      </c>
      <c r="AF9" s="41">
        <f>IFERROR(VLOOKUP($A9,'Parts List and Volumes'!$C$2:$W200,18,FALSE),"")</f>
        <v>0</v>
      </c>
      <c r="AG9" s="48">
        <f t="shared" si="6"/>
        <v>0</v>
      </c>
      <c r="AH9" s="43">
        <f t="shared" si="6"/>
        <v>0</v>
      </c>
      <c r="AI9" s="49">
        <f>IFERROR(VLOOKUP($A9,'Parts List and Volumes'!$C$2:$W200,19,FALSE),"")</f>
        <v>0</v>
      </c>
      <c r="AJ9" s="50">
        <f>IFERROR(VLOOKUP($A9,'Parts List and Volumes'!$C$2:$W200,20,FALSE),"")</f>
        <v>0</v>
      </c>
      <c r="AK9" s="51">
        <f t="shared" si="7"/>
        <v>0</v>
      </c>
      <c r="AL9" s="52">
        <f t="shared" si="7"/>
        <v>0</v>
      </c>
      <c r="AM9" s="40">
        <f>IFERROR(VLOOKUP($A9,'Parts List and Volumes'!$C$2:$W200,21,FALSE),"")</f>
        <v>0</v>
      </c>
      <c r="AN9" s="41" t="str">
        <f>IFERROR(VLOOKUP($A9,'Parts List and Volumes'!$C$2:$W200,22,FALSE),"")</f>
        <v/>
      </c>
      <c r="AO9" s="48">
        <f t="shared" si="8"/>
        <v>0</v>
      </c>
      <c r="AP9" s="43" t="str">
        <f t="shared" si="8"/>
        <v/>
      </c>
      <c r="AQ9" s="49" t="str">
        <f>IFERROR(VLOOKUP($A9,'Parts List and Volumes'!$C$2:$W200,23,FALSE),"")</f>
        <v/>
      </c>
      <c r="AR9" s="50" t="str">
        <f>IFERROR(VLOOKUP($A9,'Parts List and Volumes'!$C$2:$W200,24,FALSE),"")</f>
        <v/>
      </c>
      <c r="AS9" s="51" t="str">
        <f t="shared" si="9"/>
        <v/>
      </c>
      <c r="AT9" s="52" t="str">
        <f t="shared" si="9"/>
        <v/>
      </c>
      <c r="AU9" s="40" t="str">
        <f>IFERROR(VLOOKUP($A9,'Parts List and Volumes'!$C$2:$W200,25,FALSE),"")</f>
        <v/>
      </c>
      <c r="AV9" s="41" t="str">
        <f>IFERROR(VLOOKUP($A9,'Parts List and Volumes'!$C$2:$W200,26,FALSE),"")</f>
        <v/>
      </c>
      <c r="AW9" s="48" t="str">
        <f t="shared" si="10"/>
        <v/>
      </c>
      <c r="AX9" s="43" t="str">
        <f t="shared" si="10"/>
        <v/>
      </c>
    </row>
    <row r="10" spans="1:50" x14ac:dyDescent="0.25">
      <c r="A10" s="96" t="s">
        <v>352</v>
      </c>
      <c r="B10" s="24"/>
      <c r="C10" s="20" t="str">
        <f>IFERROR(VLOOKUP(A10,'Parts List and Volumes'!C9:D201,2,FALSE),"")</f>
        <v>NJ000750AAF20</v>
      </c>
      <c r="D10" s="39">
        <f>IFERROR(IF(VLOOKUP($A10,'Parts List and Volumes'!$C9:$F266,3,FALSE)=0,"",VLOOKUP(A10,'Parts List and Volumes'!C9:F266,3,FALSE)),"")</f>
        <v>4.76</v>
      </c>
      <c r="E10" s="39" t="str">
        <f>IFERROR(IF(VLOOKUP($A10,'Parts List and Volumes'!$C9:$F266,4,FALSE)=0,"",VLOOKUP(B10,'Parts List and Volumes'!D9:G266,3,FALSE)),"")</f>
        <v/>
      </c>
      <c r="F10" s="98">
        <v>40</v>
      </c>
      <c r="G10" s="40">
        <f>IFERROR(VLOOKUP($A10,'Parts List and Volumes'!$C$2:$W201,5,FALSE),"")</f>
        <v>15600</v>
      </c>
      <c r="H10" s="41">
        <f>IFERROR(VLOOKUP($A10,'Parts List and Volumes'!$C$2:$W201,6,FALSE),"")</f>
        <v>10439.96764258865</v>
      </c>
      <c r="I10" s="42">
        <f t="shared" si="0"/>
        <v>4.5928281222398872E-2</v>
      </c>
      <c r="J10" s="43">
        <f t="shared" si="0"/>
        <v>3.0736523707792056E-2</v>
      </c>
      <c r="K10" s="58">
        <f>IFERROR(VLOOKUP($A10,'Parts List and Volumes'!$C$2:$W201,7,FALSE),"")</f>
        <v>0</v>
      </c>
      <c r="L10" s="45">
        <f>IFERROR(VLOOKUP($A10,'Parts List and Volumes'!$C$2:$W201,8,FALSE),"")</f>
        <v>20447.63370430352</v>
      </c>
      <c r="M10" s="46">
        <f t="shared" si="1"/>
        <v>0</v>
      </c>
      <c r="N10" s="47">
        <f t="shared" si="1"/>
        <v>6.0200299429734205E-2</v>
      </c>
      <c r="O10" s="41">
        <f>IFERROR(VLOOKUP($A10,'Parts List and Volumes'!$C$2:$W201,9,FALSE),"")</f>
        <v>0</v>
      </c>
      <c r="P10" s="41">
        <f>IFERROR(VLOOKUP($A10,'Parts List and Volumes'!$C$2:$W201,10,FALSE),"")</f>
        <v>19929.446159936266</v>
      </c>
      <c r="Q10" s="48">
        <f t="shared" si="2"/>
        <v>0</v>
      </c>
      <c r="R10" s="43">
        <f t="shared" si="2"/>
        <v>5.8674692810269879E-2</v>
      </c>
      <c r="S10" s="44">
        <f>IFERROR(VLOOKUP($A10,'Parts List and Volumes'!$C$2:$W201,11,FALSE),"")</f>
        <v>0</v>
      </c>
      <c r="T10" s="45">
        <f>IFERROR(VLOOKUP($A10,'Parts List and Volumes'!$C$2:$W201,12,FALSE),"")</f>
        <v>15428.007023705004</v>
      </c>
      <c r="U10" s="46">
        <f t="shared" si="3"/>
        <v>0</v>
      </c>
      <c r="V10" s="47">
        <f t="shared" si="3"/>
        <v>4.5421913159350541E-2</v>
      </c>
      <c r="W10" s="40">
        <f>IFERROR(VLOOKUP($A10,'Parts List and Volumes'!$C$2:$W201,13,FALSE),"")</f>
        <v>0</v>
      </c>
      <c r="X10" s="41">
        <f>IFERROR(VLOOKUP($A10,'Parts List and Volumes'!$C$2:$W201,14,FALSE),"")</f>
        <v>0</v>
      </c>
      <c r="Y10" s="48">
        <f t="shared" si="4"/>
        <v>0</v>
      </c>
      <c r="Z10" s="43">
        <f t="shared" si="4"/>
        <v>0</v>
      </c>
      <c r="AA10" s="49">
        <f>IFERROR(VLOOKUP($A10,'Parts List and Volumes'!$C$2:$W201,15,FALSE),"")</f>
        <v>0</v>
      </c>
      <c r="AB10" s="50">
        <f>IFERROR(VLOOKUP($A10,'Parts List and Volumes'!$C$2:$W201,16,FALSE),"")</f>
        <v>0</v>
      </c>
      <c r="AC10" s="51">
        <f t="shared" si="5"/>
        <v>0</v>
      </c>
      <c r="AD10" s="52">
        <f t="shared" si="5"/>
        <v>0</v>
      </c>
      <c r="AE10" s="40">
        <f>IFERROR(VLOOKUP($A10,'Parts List and Volumes'!$C$2:$W201,17,FALSE),"")</f>
        <v>0</v>
      </c>
      <c r="AF10" s="41">
        <f>IFERROR(VLOOKUP($A10,'Parts List and Volumes'!$C$2:$W201,18,FALSE),"")</f>
        <v>0</v>
      </c>
      <c r="AG10" s="48">
        <f t="shared" si="6"/>
        <v>0</v>
      </c>
      <c r="AH10" s="43">
        <f t="shared" si="6"/>
        <v>0</v>
      </c>
      <c r="AI10" s="49">
        <f>IFERROR(VLOOKUP($A10,'Parts List and Volumes'!$C$2:$W201,19,FALSE),"")</f>
        <v>0</v>
      </c>
      <c r="AJ10" s="50">
        <f>IFERROR(VLOOKUP($A10,'Parts List and Volumes'!$C$2:$W201,20,FALSE),"")</f>
        <v>0</v>
      </c>
      <c r="AK10" s="51">
        <f t="shared" si="7"/>
        <v>0</v>
      </c>
      <c r="AL10" s="52">
        <f t="shared" si="7"/>
        <v>0</v>
      </c>
      <c r="AM10" s="40">
        <f>IFERROR(VLOOKUP($A10,'Parts List and Volumes'!$C$2:$W201,21,FALSE),"")</f>
        <v>0</v>
      </c>
      <c r="AN10" s="41" t="str">
        <f>IFERROR(VLOOKUP($A10,'Parts List and Volumes'!$C$2:$W201,22,FALSE),"")</f>
        <v/>
      </c>
      <c r="AO10" s="48">
        <f t="shared" si="8"/>
        <v>0</v>
      </c>
      <c r="AP10" s="43" t="str">
        <f t="shared" si="8"/>
        <v/>
      </c>
      <c r="AQ10" s="49" t="str">
        <f>IFERROR(VLOOKUP($A10,'Parts List and Volumes'!$C$2:$W201,23,FALSE),"")</f>
        <v/>
      </c>
      <c r="AR10" s="50" t="str">
        <f>IFERROR(VLOOKUP($A10,'Parts List and Volumes'!$C$2:$W201,24,FALSE),"")</f>
        <v/>
      </c>
      <c r="AS10" s="51" t="str">
        <f t="shared" si="9"/>
        <v/>
      </c>
      <c r="AT10" s="52" t="str">
        <f t="shared" si="9"/>
        <v/>
      </c>
      <c r="AU10" s="40" t="str">
        <f>IFERROR(VLOOKUP($A10,'Parts List and Volumes'!$C$2:$W201,25,FALSE),"")</f>
        <v/>
      </c>
      <c r="AV10" s="41" t="str">
        <f>IFERROR(VLOOKUP($A10,'Parts List and Volumes'!$C$2:$W201,26,FALSE),"")</f>
        <v/>
      </c>
      <c r="AW10" s="48" t="str">
        <f t="shared" si="10"/>
        <v/>
      </c>
      <c r="AX10" s="43" t="str">
        <f t="shared" si="10"/>
        <v/>
      </c>
    </row>
    <row r="11" spans="1:50" x14ac:dyDescent="0.25">
      <c r="A11" s="96" t="s">
        <v>355</v>
      </c>
      <c r="B11" s="24"/>
      <c r="C11" s="20" t="str">
        <f>IFERROR(VLOOKUP(A11,'Parts List and Volumes'!C10:D202,2,FALSE),"")</f>
        <v>NJ000752ABF20</v>
      </c>
      <c r="D11" s="39">
        <f>IFERROR(IF(VLOOKUP($A11,'Parts List and Volumes'!$C10:$F266,3,FALSE)=0,"",VLOOKUP(A11,'Parts List and Volumes'!C10:F266,3,FALSE)),"")</f>
        <v>4.76</v>
      </c>
      <c r="E11" s="39" t="str">
        <f>IFERROR(IF(VLOOKUP($A11,'Parts List and Volumes'!$C10:$F266,4,FALSE)=0,"",VLOOKUP(B11,'Parts List and Volumes'!D10:G266,3,FALSE)),"")</f>
        <v/>
      </c>
      <c r="F11" s="98">
        <v>18</v>
      </c>
      <c r="G11" s="40">
        <f>IFERROR(VLOOKUP($A11,'Parts List and Volumes'!$C$2:$W202,5,FALSE),"")</f>
        <v>0</v>
      </c>
      <c r="H11" s="41">
        <f>IFERROR(VLOOKUP($A11,'Parts List and Volumes'!$C$2:$W202,6,FALSE),"")</f>
        <v>4995.4108502463532</v>
      </c>
      <c r="I11" s="42">
        <f t="shared" si="0"/>
        <v>0</v>
      </c>
      <c r="J11" s="43">
        <f t="shared" si="0"/>
        <v>6.61819137552511E-3</v>
      </c>
      <c r="K11" s="58">
        <f>IFERROR(VLOOKUP($A11,'Parts List and Volumes'!$C$2:$W202,7,FALSE),"")</f>
        <v>0</v>
      </c>
      <c r="L11" s="45">
        <f>IFERROR(VLOOKUP($A11,'Parts List and Volumes'!$C$2:$W202,8,FALSE),"")</f>
        <v>17515.652000762144</v>
      </c>
      <c r="M11" s="46">
        <f t="shared" si="1"/>
        <v>0</v>
      </c>
      <c r="N11" s="47">
        <f t="shared" si="1"/>
        <v>2.3205686275519534E-2</v>
      </c>
      <c r="O11" s="41">
        <f>IFERROR(VLOOKUP($A11,'Parts List and Volumes'!$C$2:$W202,9,FALSE),"")</f>
        <v>0</v>
      </c>
      <c r="P11" s="41">
        <f>IFERROR(VLOOKUP($A11,'Parts List and Volumes'!$C$2:$W202,10,FALSE),"")</f>
        <v>18600.695964398939</v>
      </c>
      <c r="Q11" s="48">
        <f t="shared" si="2"/>
        <v>0</v>
      </c>
      <c r="R11" s="43">
        <f t="shared" si="2"/>
        <v>2.4643211399574642E-2</v>
      </c>
      <c r="S11" s="44">
        <f>IFERROR(VLOOKUP($A11,'Parts List and Volumes'!$C$2:$W202,11,FALSE),"")</f>
        <v>0</v>
      </c>
      <c r="T11" s="45">
        <f>IFERROR(VLOOKUP($A11,'Parts List and Volumes'!$C$2:$W202,12,FALSE),"")</f>
        <v>17571.992976294991</v>
      </c>
      <c r="U11" s="46">
        <f t="shared" si="3"/>
        <v>0</v>
      </c>
      <c r="V11" s="47">
        <f t="shared" si="3"/>
        <v>2.3280329857306561E-2</v>
      </c>
      <c r="W11" s="40">
        <f>IFERROR(VLOOKUP($A11,'Parts List and Volumes'!$C$2:$W202,13,FALSE),"")</f>
        <v>0</v>
      </c>
      <c r="X11" s="41">
        <f>IFERROR(VLOOKUP($A11,'Parts List and Volumes'!$C$2:$W202,14,FALSE),"")</f>
        <v>0</v>
      </c>
      <c r="Y11" s="48">
        <f t="shared" si="4"/>
        <v>0</v>
      </c>
      <c r="Z11" s="43">
        <f t="shared" si="4"/>
        <v>0</v>
      </c>
      <c r="AA11" s="49">
        <f>IFERROR(VLOOKUP($A11,'Parts List and Volumes'!$C$2:$W202,15,FALSE),"")</f>
        <v>0</v>
      </c>
      <c r="AB11" s="50">
        <f>IFERROR(VLOOKUP($A11,'Parts List and Volumes'!$C$2:$W202,16,FALSE),"")</f>
        <v>0</v>
      </c>
      <c r="AC11" s="51">
        <f t="shared" si="5"/>
        <v>0</v>
      </c>
      <c r="AD11" s="52">
        <f t="shared" si="5"/>
        <v>0</v>
      </c>
      <c r="AE11" s="40">
        <f>IFERROR(VLOOKUP($A11,'Parts List and Volumes'!$C$2:$W202,17,FALSE),"")</f>
        <v>0</v>
      </c>
      <c r="AF11" s="41">
        <f>IFERROR(VLOOKUP($A11,'Parts List and Volumes'!$C$2:$W202,18,FALSE),"")</f>
        <v>0</v>
      </c>
      <c r="AG11" s="48">
        <f t="shared" si="6"/>
        <v>0</v>
      </c>
      <c r="AH11" s="43">
        <f t="shared" si="6"/>
        <v>0</v>
      </c>
      <c r="AI11" s="49">
        <f>IFERROR(VLOOKUP($A11,'Parts List and Volumes'!$C$2:$W202,19,FALSE),"")</f>
        <v>0</v>
      </c>
      <c r="AJ11" s="50">
        <f>IFERROR(VLOOKUP($A11,'Parts List and Volumes'!$C$2:$W202,20,FALSE),"")</f>
        <v>0</v>
      </c>
      <c r="AK11" s="51">
        <f t="shared" si="7"/>
        <v>0</v>
      </c>
      <c r="AL11" s="52">
        <f t="shared" si="7"/>
        <v>0</v>
      </c>
      <c r="AM11" s="40">
        <f>IFERROR(VLOOKUP($A11,'Parts List and Volumes'!$C$2:$W202,21,FALSE),"")</f>
        <v>0</v>
      </c>
      <c r="AN11" s="41" t="str">
        <f>IFERROR(VLOOKUP($A11,'Parts List and Volumes'!$C$2:$W202,22,FALSE),"")</f>
        <v/>
      </c>
      <c r="AO11" s="48">
        <f t="shared" si="8"/>
        <v>0</v>
      </c>
      <c r="AP11" s="43" t="str">
        <f t="shared" si="8"/>
        <v/>
      </c>
      <c r="AQ11" s="49" t="str">
        <f>IFERROR(VLOOKUP($A11,'Parts List and Volumes'!$C$2:$W202,23,FALSE),"")</f>
        <v/>
      </c>
      <c r="AR11" s="50" t="str">
        <f>IFERROR(VLOOKUP($A11,'Parts List and Volumes'!$C$2:$W202,24,FALSE),"")</f>
        <v/>
      </c>
      <c r="AS11" s="51" t="str">
        <f t="shared" si="9"/>
        <v/>
      </c>
      <c r="AT11" s="52" t="str">
        <f t="shared" si="9"/>
        <v/>
      </c>
      <c r="AU11" s="40" t="str">
        <f>IFERROR(VLOOKUP($A11,'Parts List and Volumes'!$C$2:$W202,25,FALSE),"")</f>
        <v/>
      </c>
      <c r="AV11" s="41" t="str">
        <f>IFERROR(VLOOKUP($A11,'Parts List and Volumes'!$C$2:$W202,26,FALSE),"")</f>
        <v/>
      </c>
      <c r="AW11" s="48" t="str">
        <f t="shared" si="10"/>
        <v/>
      </c>
      <c r="AX11" s="43" t="str">
        <f t="shared" si="10"/>
        <v/>
      </c>
    </row>
    <row r="12" spans="1:50" x14ac:dyDescent="0.25">
      <c r="A12" s="96" t="s">
        <v>356</v>
      </c>
      <c r="B12" s="24"/>
      <c r="C12" s="20" t="str">
        <f>IFERROR(VLOOKUP(A12,'Parts List and Volumes'!C11:D203,2,FALSE),"")</f>
        <v>NJ000753ABF20</v>
      </c>
      <c r="D12" s="39">
        <f>IFERROR(IF(VLOOKUP($A12,'Parts List and Volumes'!$C11:$F266,3,FALSE)=0,"",VLOOKUP(A12,'Parts List and Volumes'!C11:F266,3,FALSE)),"")</f>
        <v>4.76</v>
      </c>
      <c r="E12" s="39" t="str">
        <f>IFERROR(IF(VLOOKUP($A12,'Parts List and Volumes'!$C11:$F266,4,FALSE)=0,"",VLOOKUP(B12,'Parts List and Volumes'!D11:G266,3,FALSE)),"")</f>
        <v/>
      </c>
      <c r="F12" s="98">
        <v>20</v>
      </c>
      <c r="G12" s="40">
        <f>IFERROR(VLOOKUP($A12,'Parts List and Volumes'!$C$2:$W203,5,FALSE),"")</f>
        <v>0</v>
      </c>
      <c r="H12" s="41">
        <f>IFERROR(VLOOKUP($A12,'Parts List and Volumes'!$C$2:$W203,6,FALSE),"")</f>
        <v>4995.4108502463532</v>
      </c>
      <c r="I12" s="42">
        <f t="shared" si="0"/>
        <v>0</v>
      </c>
      <c r="J12" s="43">
        <f t="shared" si="0"/>
        <v>7.3535459728056784E-3</v>
      </c>
      <c r="K12" s="58">
        <f>IFERROR(VLOOKUP($A12,'Parts List and Volumes'!$C$2:$W203,7,FALSE),"")</f>
        <v>0</v>
      </c>
      <c r="L12" s="45">
        <f>IFERROR(VLOOKUP($A12,'Parts List and Volumes'!$C$2:$W203,8,FALSE),"")</f>
        <v>17515.652000762144</v>
      </c>
      <c r="M12" s="46">
        <f t="shared" si="1"/>
        <v>0</v>
      </c>
      <c r="N12" s="47">
        <f t="shared" si="1"/>
        <v>2.578409586168837E-2</v>
      </c>
      <c r="O12" s="41">
        <f>IFERROR(VLOOKUP($A12,'Parts List and Volumes'!$C$2:$W203,9,FALSE),"")</f>
        <v>0</v>
      </c>
      <c r="P12" s="41">
        <f>IFERROR(VLOOKUP($A12,'Parts List and Volumes'!$C$2:$W203,10,FALSE),"")</f>
        <v>18600.695964398939</v>
      </c>
      <c r="Q12" s="48">
        <f t="shared" si="2"/>
        <v>0</v>
      </c>
      <c r="R12" s="43">
        <f t="shared" si="2"/>
        <v>2.7381345999527379E-2</v>
      </c>
      <c r="S12" s="44">
        <f>IFERROR(VLOOKUP($A12,'Parts List and Volumes'!$C$2:$W203,11,FALSE),"")</f>
        <v>0</v>
      </c>
      <c r="T12" s="45">
        <f>IFERROR(VLOOKUP($A12,'Parts List and Volumes'!$C$2:$W203,12,FALSE),"")</f>
        <v>17571.992976294991</v>
      </c>
      <c r="U12" s="46">
        <f t="shared" si="3"/>
        <v>0</v>
      </c>
      <c r="V12" s="47">
        <f t="shared" si="3"/>
        <v>2.5867033174785066E-2</v>
      </c>
      <c r="W12" s="40">
        <f>IFERROR(VLOOKUP($A12,'Parts List and Volumes'!$C$2:$W203,13,FALSE),"")</f>
        <v>0</v>
      </c>
      <c r="X12" s="41">
        <f>IFERROR(VLOOKUP($A12,'Parts List and Volumes'!$C$2:$W203,14,FALSE),"")</f>
        <v>0</v>
      </c>
      <c r="Y12" s="48">
        <f t="shared" si="4"/>
        <v>0</v>
      </c>
      <c r="Z12" s="43">
        <f t="shared" si="4"/>
        <v>0</v>
      </c>
      <c r="AA12" s="49">
        <f>IFERROR(VLOOKUP($A12,'Parts List and Volumes'!$C$2:$W203,15,FALSE),"")</f>
        <v>0</v>
      </c>
      <c r="AB12" s="50">
        <f>IFERROR(VLOOKUP($A12,'Parts List and Volumes'!$C$2:$W203,16,FALSE),"")</f>
        <v>0</v>
      </c>
      <c r="AC12" s="51">
        <f t="shared" si="5"/>
        <v>0</v>
      </c>
      <c r="AD12" s="52">
        <f t="shared" si="5"/>
        <v>0</v>
      </c>
      <c r="AE12" s="40">
        <f>IFERROR(VLOOKUP($A12,'Parts List and Volumes'!$C$2:$W203,17,FALSE),"")</f>
        <v>0</v>
      </c>
      <c r="AF12" s="41">
        <f>IFERROR(VLOOKUP($A12,'Parts List and Volumes'!$C$2:$W203,18,FALSE),"")</f>
        <v>0</v>
      </c>
      <c r="AG12" s="48">
        <f t="shared" si="6"/>
        <v>0</v>
      </c>
      <c r="AH12" s="43">
        <f t="shared" si="6"/>
        <v>0</v>
      </c>
      <c r="AI12" s="49">
        <f>IFERROR(VLOOKUP($A12,'Parts List and Volumes'!$C$2:$W203,19,FALSE),"")</f>
        <v>0</v>
      </c>
      <c r="AJ12" s="50">
        <f>IFERROR(VLOOKUP($A12,'Parts List and Volumes'!$C$2:$W203,20,FALSE),"")</f>
        <v>0</v>
      </c>
      <c r="AK12" s="51">
        <f t="shared" si="7"/>
        <v>0</v>
      </c>
      <c r="AL12" s="52">
        <f t="shared" si="7"/>
        <v>0</v>
      </c>
      <c r="AM12" s="40">
        <f>IFERROR(VLOOKUP($A12,'Parts List and Volumes'!$C$2:$W203,21,FALSE),"")</f>
        <v>0</v>
      </c>
      <c r="AN12" s="41" t="str">
        <f>IFERROR(VLOOKUP($A12,'Parts List and Volumes'!$C$2:$W203,22,FALSE),"")</f>
        <v/>
      </c>
      <c r="AO12" s="48">
        <f t="shared" si="8"/>
        <v>0</v>
      </c>
      <c r="AP12" s="43" t="str">
        <f t="shared" si="8"/>
        <v/>
      </c>
      <c r="AQ12" s="49" t="str">
        <f>IFERROR(VLOOKUP($A12,'Parts List and Volumes'!$C$2:$W203,23,FALSE),"")</f>
        <v/>
      </c>
      <c r="AR12" s="50" t="str">
        <f>IFERROR(VLOOKUP($A12,'Parts List and Volumes'!$C$2:$W203,24,FALSE),"")</f>
        <v/>
      </c>
      <c r="AS12" s="51" t="str">
        <f t="shared" si="9"/>
        <v/>
      </c>
      <c r="AT12" s="52" t="str">
        <f t="shared" si="9"/>
        <v/>
      </c>
      <c r="AU12" s="40" t="str">
        <f>IFERROR(VLOOKUP($A12,'Parts List and Volumes'!$C$2:$W203,25,FALSE),"")</f>
        <v/>
      </c>
      <c r="AV12" s="41" t="str">
        <f>IFERROR(VLOOKUP($A12,'Parts List and Volumes'!$C$2:$W203,26,FALSE),"")</f>
        <v/>
      </c>
      <c r="AW12" s="48" t="str">
        <f t="shared" si="10"/>
        <v/>
      </c>
      <c r="AX12" s="43" t="str">
        <f t="shared" si="10"/>
        <v/>
      </c>
    </row>
    <row r="13" spans="1:50" x14ac:dyDescent="0.25">
      <c r="A13" s="96" t="s">
        <v>353</v>
      </c>
      <c r="B13" s="24"/>
      <c r="C13" s="20" t="str">
        <f>IFERROR(VLOOKUP(A13,'Parts List and Volumes'!C12:D204,2,FALSE),"")</f>
        <v>NJ000754AAF20</v>
      </c>
      <c r="D13" s="39">
        <f>IFERROR(IF(VLOOKUP($A13,'Parts List and Volumes'!$C12:$F267,3,FALSE)=0,"",VLOOKUP(A13,'Parts List and Volumes'!C12:F267,3,FALSE)),"")</f>
        <v>4.76</v>
      </c>
      <c r="E13" s="39" t="str">
        <f>IFERROR(IF(VLOOKUP($A13,'Parts List and Volumes'!$C12:$F267,4,FALSE)=0,"",VLOOKUP(B13,'Parts List and Volumes'!D12:G267,3,FALSE)),"")</f>
        <v/>
      </c>
      <c r="F13" s="98">
        <v>12</v>
      </c>
      <c r="G13" s="40">
        <f>IFERROR(VLOOKUP($A13,'Parts List and Volumes'!$C$2:$W204,5,FALSE),"")</f>
        <v>15600</v>
      </c>
      <c r="H13" s="41">
        <f>IFERROR(VLOOKUP($A13,'Parts List and Volumes'!$C$2:$W204,6,FALSE),"")</f>
        <v>10439.96764258865</v>
      </c>
      <c r="I13" s="42">
        <f t="shared" si="0"/>
        <v>1.377848436671966E-2</v>
      </c>
      <c r="J13" s="43">
        <f t="shared" si="0"/>
        <v>9.2209571123376168E-3</v>
      </c>
      <c r="K13" s="58">
        <f>IFERROR(VLOOKUP($A13,'Parts List and Volumes'!$C$2:$W204,7,FALSE),"")</f>
        <v>0</v>
      </c>
      <c r="L13" s="45">
        <f>IFERROR(VLOOKUP($A13,'Parts List and Volumes'!$C$2:$W204,8,FALSE),"")</f>
        <v>20447.63370430352</v>
      </c>
      <c r="M13" s="46">
        <f t="shared" si="1"/>
        <v>0</v>
      </c>
      <c r="N13" s="47">
        <f t="shared" si="1"/>
        <v>1.8060089828920264E-2</v>
      </c>
      <c r="O13" s="41">
        <f>IFERROR(VLOOKUP($A13,'Parts List and Volumes'!$C$2:$W204,9,FALSE),"")</f>
        <v>0</v>
      </c>
      <c r="P13" s="41">
        <f>IFERROR(VLOOKUP($A13,'Parts List and Volumes'!$C$2:$W204,10,FALSE),"")</f>
        <v>19929.446159936266</v>
      </c>
      <c r="Q13" s="48">
        <f t="shared" si="2"/>
        <v>0</v>
      </c>
      <c r="R13" s="43">
        <f t="shared" si="2"/>
        <v>1.7602407843080963E-2</v>
      </c>
      <c r="S13" s="44">
        <f>IFERROR(VLOOKUP($A13,'Parts List and Volumes'!$C$2:$W204,11,FALSE),"")</f>
        <v>0</v>
      </c>
      <c r="T13" s="45">
        <f>IFERROR(VLOOKUP($A13,'Parts List and Volumes'!$C$2:$W204,12,FALSE),"")</f>
        <v>15428.007023705004</v>
      </c>
      <c r="U13" s="46">
        <f t="shared" si="3"/>
        <v>0</v>
      </c>
      <c r="V13" s="47">
        <f t="shared" si="3"/>
        <v>1.3626573947805162E-2</v>
      </c>
      <c r="W13" s="40">
        <f>IFERROR(VLOOKUP($A13,'Parts List and Volumes'!$C$2:$W204,13,FALSE),"")</f>
        <v>0</v>
      </c>
      <c r="X13" s="41">
        <f>IFERROR(VLOOKUP($A13,'Parts List and Volumes'!$C$2:$W204,14,FALSE),"")</f>
        <v>0</v>
      </c>
      <c r="Y13" s="48">
        <f t="shared" si="4"/>
        <v>0</v>
      </c>
      <c r="Z13" s="43">
        <f t="shared" si="4"/>
        <v>0</v>
      </c>
      <c r="AA13" s="49">
        <f>IFERROR(VLOOKUP($A13,'Parts List and Volumes'!$C$2:$W204,15,FALSE),"")</f>
        <v>0</v>
      </c>
      <c r="AB13" s="50">
        <f>IFERROR(VLOOKUP($A13,'Parts List and Volumes'!$C$2:$W204,16,FALSE),"")</f>
        <v>0</v>
      </c>
      <c r="AC13" s="51">
        <f t="shared" si="5"/>
        <v>0</v>
      </c>
      <c r="AD13" s="52">
        <f t="shared" si="5"/>
        <v>0</v>
      </c>
      <c r="AE13" s="40">
        <f>IFERROR(VLOOKUP($A13,'Parts List and Volumes'!$C$2:$W204,17,FALSE),"")</f>
        <v>0</v>
      </c>
      <c r="AF13" s="41">
        <f>IFERROR(VLOOKUP($A13,'Parts List and Volumes'!$C$2:$W204,18,FALSE),"")</f>
        <v>0</v>
      </c>
      <c r="AG13" s="48">
        <f t="shared" si="6"/>
        <v>0</v>
      </c>
      <c r="AH13" s="43">
        <f t="shared" si="6"/>
        <v>0</v>
      </c>
      <c r="AI13" s="49">
        <f>IFERROR(VLOOKUP($A13,'Parts List and Volumes'!$C$2:$W204,19,FALSE),"")</f>
        <v>0</v>
      </c>
      <c r="AJ13" s="50">
        <f>IFERROR(VLOOKUP($A13,'Parts List and Volumes'!$C$2:$W204,20,FALSE),"")</f>
        <v>0</v>
      </c>
      <c r="AK13" s="51">
        <f t="shared" si="7"/>
        <v>0</v>
      </c>
      <c r="AL13" s="52">
        <f t="shared" si="7"/>
        <v>0</v>
      </c>
      <c r="AM13" s="40">
        <f>IFERROR(VLOOKUP($A13,'Parts List and Volumes'!$C$2:$W204,21,FALSE),"")</f>
        <v>0</v>
      </c>
      <c r="AN13" s="41" t="str">
        <f>IFERROR(VLOOKUP($A13,'Parts List and Volumes'!$C$2:$W204,22,FALSE),"")</f>
        <v/>
      </c>
      <c r="AO13" s="48">
        <f t="shared" si="8"/>
        <v>0</v>
      </c>
      <c r="AP13" s="43" t="str">
        <f t="shared" si="8"/>
        <v/>
      </c>
      <c r="AQ13" s="49" t="str">
        <f>IFERROR(VLOOKUP($A13,'Parts List and Volumes'!$C$2:$W204,23,FALSE),"")</f>
        <v/>
      </c>
      <c r="AR13" s="50" t="str">
        <f>IFERROR(VLOOKUP($A13,'Parts List and Volumes'!$C$2:$W204,24,FALSE),"")</f>
        <v/>
      </c>
      <c r="AS13" s="51" t="str">
        <f t="shared" si="9"/>
        <v/>
      </c>
      <c r="AT13" s="52" t="str">
        <f t="shared" si="9"/>
        <v/>
      </c>
      <c r="AU13" s="40" t="str">
        <f>IFERROR(VLOOKUP($A13,'Parts List and Volumes'!$C$2:$W204,25,FALSE),"")</f>
        <v/>
      </c>
      <c r="AV13" s="41" t="str">
        <f>IFERROR(VLOOKUP($A13,'Parts List and Volumes'!$C$2:$W204,26,FALSE),"")</f>
        <v/>
      </c>
      <c r="AW13" s="48" t="str">
        <f t="shared" si="10"/>
        <v/>
      </c>
      <c r="AX13" s="43" t="str">
        <f t="shared" si="10"/>
        <v/>
      </c>
    </row>
    <row r="14" spans="1:50" x14ac:dyDescent="0.25">
      <c r="A14" s="96" t="s">
        <v>354</v>
      </c>
      <c r="B14" s="24"/>
      <c r="C14" s="20" t="str">
        <f>IFERROR(VLOOKUP(A14,'Parts List and Volumes'!C13:D205,2,FALSE),"")</f>
        <v>NJ000756AAF20</v>
      </c>
      <c r="D14" s="39">
        <f>IFERROR(IF(VLOOKUP($A14,'Parts List and Volumes'!$C13:$F268,3,FALSE)=0,"",VLOOKUP(A14,'Parts List and Volumes'!C13:F268,3,FALSE)),"")</f>
        <v>4.76</v>
      </c>
      <c r="E14" s="39" t="str">
        <f>IFERROR(IF(VLOOKUP($A14,'Parts List and Volumes'!$C13:$F268,4,FALSE)=0,"",VLOOKUP(B14,'Parts List and Volumes'!D13:G268,3,FALSE)),"")</f>
        <v/>
      </c>
      <c r="F14" s="98">
        <v>13</v>
      </c>
      <c r="G14" s="40">
        <f>IFERROR(VLOOKUP($A14,'Parts List and Volumes'!$C$2:$W205,5,FALSE),"")</f>
        <v>15600</v>
      </c>
      <c r="H14" s="41">
        <f>IFERROR(VLOOKUP($A14,'Parts List and Volumes'!$C$2:$W205,6,FALSE),"")</f>
        <v>10439.96764258865</v>
      </c>
      <c r="I14" s="42">
        <f t="shared" si="0"/>
        <v>1.4926691397279633E-2</v>
      </c>
      <c r="J14" s="43">
        <f t="shared" si="0"/>
        <v>9.989370205032419E-3</v>
      </c>
      <c r="K14" s="58">
        <f>IFERROR(VLOOKUP($A14,'Parts List and Volumes'!$C$2:$W205,7,FALSE),"")</f>
        <v>0</v>
      </c>
      <c r="L14" s="45">
        <f>IFERROR(VLOOKUP($A14,'Parts List and Volumes'!$C$2:$W205,8,FALSE),"")</f>
        <v>20447.63370430352</v>
      </c>
      <c r="M14" s="46">
        <f t="shared" si="1"/>
        <v>0</v>
      </c>
      <c r="N14" s="47">
        <f t="shared" si="1"/>
        <v>1.9565097314663618E-2</v>
      </c>
      <c r="O14" s="41">
        <f>IFERROR(VLOOKUP($A14,'Parts List and Volumes'!$C$2:$W205,9,FALSE),"")</f>
        <v>0</v>
      </c>
      <c r="P14" s="41">
        <f>IFERROR(VLOOKUP($A14,'Parts List and Volumes'!$C$2:$W205,10,FALSE),"")</f>
        <v>19929.446159936266</v>
      </c>
      <c r="Q14" s="48">
        <f t="shared" si="2"/>
        <v>0</v>
      </c>
      <c r="R14" s="43">
        <f t="shared" si="2"/>
        <v>1.9069275163337708E-2</v>
      </c>
      <c r="S14" s="44">
        <f>IFERROR(VLOOKUP($A14,'Parts List and Volumes'!$C$2:$W205,11,FALSE),"")</f>
        <v>0</v>
      </c>
      <c r="T14" s="45">
        <f>IFERROR(VLOOKUP($A14,'Parts List and Volumes'!$C$2:$W205,12,FALSE),"")</f>
        <v>15428.007023705004</v>
      </c>
      <c r="U14" s="46">
        <f t="shared" si="3"/>
        <v>0</v>
      </c>
      <c r="V14" s="47">
        <f t="shared" si="3"/>
        <v>1.4762121776788924E-2</v>
      </c>
      <c r="W14" s="40">
        <f>IFERROR(VLOOKUP($A14,'Parts List and Volumes'!$C$2:$W205,13,FALSE),"")</f>
        <v>0</v>
      </c>
      <c r="X14" s="41">
        <f>IFERROR(VLOOKUP($A14,'Parts List and Volumes'!$C$2:$W205,14,FALSE),"")</f>
        <v>0</v>
      </c>
      <c r="Y14" s="48">
        <f t="shared" si="4"/>
        <v>0</v>
      </c>
      <c r="Z14" s="43">
        <f t="shared" si="4"/>
        <v>0</v>
      </c>
      <c r="AA14" s="49">
        <f>IFERROR(VLOOKUP($A14,'Parts List and Volumes'!$C$2:$W205,15,FALSE),"")</f>
        <v>0</v>
      </c>
      <c r="AB14" s="50">
        <f>IFERROR(VLOOKUP($A14,'Parts List and Volumes'!$C$2:$W205,16,FALSE),"")</f>
        <v>0</v>
      </c>
      <c r="AC14" s="51">
        <f t="shared" si="5"/>
        <v>0</v>
      </c>
      <c r="AD14" s="52">
        <f t="shared" si="5"/>
        <v>0</v>
      </c>
      <c r="AE14" s="40">
        <f>IFERROR(VLOOKUP($A14,'Parts List and Volumes'!$C$2:$W205,17,FALSE),"")</f>
        <v>0</v>
      </c>
      <c r="AF14" s="41">
        <f>IFERROR(VLOOKUP($A14,'Parts List and Volumes'!$C$2:$W205,18,FALSE),"")</f>
        <v>0</v>
      </c>
      <c r="AG14" s="48">
        <f t="shared" si="6"/>
        <v>0</v>
      </c>
      <c r="AH14" s="43">
        <f t="shared" si="6"/>
        <v>0</v>
      </c>
      <c r="AI14" s="49">
        <f>IFERROR(VLOOKUP($A14,'Parts List and Volumes'!$C$2:$W205,19,FALSE),"")</f>
        <v>0</v>
      </c>
      <c r="AJ14" s="50">
        <f>IFERROR(VLOOKUP($A14,'Parts List and Volumes'!$C$2:$W205,20,FALSE),"")</f>
        <v>0</v>
      </c>
      <c r="AK14" s="51">
        <f t="shared" si="7"/>
        <v>0</v>
      </c>
      <c r="AL14" s="52">
        <f t="shared" si="7"/>
        <v>0</v>
      </c>
      <c r="AM14" s="40">
        <f>IFERROR(VLOOKUP($A14,'Parts List and Volumes'!$C$2:$W205,21,FALSE),"")</f>
        <v>0</v>
      </c>
      <c r="AN14" s="41" t="str">
        <f>IFERROR(VLOOKUP($A14,'Parts List and Volumes'!$C$2:$W205,22,FALSE),"")</f>
        <v/>
      </c>
      <c r="AO14" s="48">
        <f t="shared" si="8"/>
        <v>0</v>
      </c>
      <c r="AP14" s="43" t="str">
        <f t="shared" si="8"/>
        <v/>
      </c>
      <c r="AQ14" s="49" t="str">
        <f>IFERROR(VLOOKUP($A14,'Parts List and Volumes'!$C$2:$W205,23,FALSE),"")</f>
        <v/>
      </c>
      <c r="AR14" s="50" t="str">
        <f>IFERROR(VLOOKUP($A14,'Parts List and Volumes'!$C$2:$W205,24,FALSE),"")</f>
        <v/>
      </c>
      <c r="AS14" s="51" t="str">
        <f t="shared" si="9"/>
        <v/>
      </c>
      <c r="AT14" s="52" t="str">
        <f t="shared" si="9"/>
        <v/>
      </c>
      <c r="AU14" s="40" t="str">
        <f>IFERROR(VLOOKUP($A14,'Parts List and Volumes'!$C$2:$W205,25,FALSE),"")</f>
        <v/>
      </c>
      <c r="AV14" s="41" t="str">
        <f>IFERROR(VLOOKUP($A14,'Parts List and Volumes'!$C$2:$W205,26,FALSE),"")</f>
        <v/>
      </c>
      <c r="AW14" s="48" t="str">
        <f t="shared" si="10"/>
        <v/>
      </c>
      <c r="AX14" s="43" t="str">
        <f t="shared" si="10"/>
        <v/>
      </c>
    </row>
    <row r="15" spans="1:50" x14ac:dyDescent="0.25">
      <c r="A15" s="96" t="s">
        <v>333</v>
      </c>
      <c r="B15" s="24"/>
      <c r="C15" s="20" t="str">
        <f>IFERROR(VLOOKUP(A15,'Parts List and Volumes'!C14:D206,2,FALSE),"")</f>
        <v>NJ000767AAF21</v>
      </c>
      <c r="D15" s="39">
        <f>IFERROR(IF(VLOOKUP($A15,'Parts List and Volumes'!$C14:$F269,3,FALSE)=0,"",VLOOKUP(A15,'Parts List and Volumes'!C14:F269,3,FALSE)),"")</f>
        <v>4.76</v>
      </c>
      <c r="E15" s="39" t="str">
        <f>IFERROR(IF(VLOOKUP($A15,'Parts List and Volumes'!$C14:$F269,4,FALSE)=0,"",VLOOKUP(B15,'Parts List and Volumes'!D14:G269,3,FALSE)),"")</f>
        <v/>
      </c>
      <c r="F15" s="98">
        <v>45</v>
      </c>
      <c r="G15" s="40">
        <f>IFERROR(VLOOKUP($A15,'Parts List and Volumes'!$C$2:$W206,5,FALSE),"")</f>
        <v>0</v>
      </c>
      <c r="H15" s="41">
        <f>IFERROR(VLOOKUP($A15,'Parts List and Volumes'!$C$2:$W206,6,FALSE),"")</f>
        <v>4995.4108502463532</v>
      </c>
      <c r="I15" s="42">
        <f t="shared" si="0"/>
        <v>0</v>
      </c>
      <c r="J15" s="43">
        <f t="shared" si="0"/>
        <v>1.6545478438812777E-2</v>
      </c>
      <c r="K15" s="58">
        <f>IFERROR(VLOOKUP($A15,'Parts List and Volumes'!$C$2:$W206,7,FALSE),"")</f>
        <v>0</v>
      </c>
      <c r="L15" s="45">
        <f>IFERROR(VLOOKUP($A15,'Parts List and Volumes'!$C$2:$W206,8,FALSE),"")</f>
        <v>17515.652000762144</v>
      </c>
      <c r="M15" s="46">
        <f t="shared" si="1"/>
        <v>0</v>
      </c>
      <c r="N15" s="47">
        <f t="shared" si="1"/>
        <v>5.8014215688798838E-2</v>
      </c>
      <c r="O15" s="41">
        <f>IFERROR(VLOOKUP($A15,'Parts List and Volumes'!$C$2:$W206,9,FALSE),"")</f>
        <v>0</v>
      </c>
      <c r="P15" s="41">
        <f>IFERROR(VLOOKUP($A15,'Parts List and Volumes'!$C$2:$W206,10,FALSE),"")</f>
        <v>19615.145347931539</v>
      </c>
      <c r="Q15" s="48">
        <f t="shared" si="2"/>
        <v>0</v>
      </c>
      <c r="R15" s="43">
        <f t="shared" si="2"/>
        <v>6.4968022482550139E-2</v>
      </c>
      <c r="S15" s="44">
        <f>IFERROR(VLOOKUP($A15,'Parts List and Volumes'!$C$2:$W206,11,FALSE),"")</f>
        <v>0</v>
      </c>
      <c r="T15" s="45">
        <f>IFERROR(VLOOKUP($A15,'Parts List and Volumes'!$C$2:$W206,12,FALSE),"")</f>
        <v>19571.992976294991</v>
      </c>
      <c r="U15" s="46">
        <f t="shared" si="3"/>
        <v>0</v>
      </c>
      <c r="V15" s="47">
        <f t="shared" si="3"/>
        <v>6.482509597342008E-2</v>
      </c>
      <c r="W15" s="40">
        <f>IFERROR(VLOOKUP($A15,'Parts List and Volumes'!$C$2:$W206,13,FALSE),"")</f>
        <v>0</v>
      </c>
      <c r="X15" s="41">
        <f>IFERROR(VLOOKUP($A15,'Parts List and Volumes'!$C$2:$W206,14,FALSE),"")</f>
        <v>0</v>
      </c>
      <c r="Y15" s="48">
        <f t="shared" si="4"/>
        <v>0</v>
      </c>
      <c r="Z15" s="43">
        <f t="shared" si="4"/>
        <v>0</v>
      </c>
      <c r="AA15" s="49">
        <f>IFERROR(VLOOKUP($A15,'Parts List and Volumes'!$C$2:$W206,15,FALSE),"")</f>
        <v>0</v>
      </c>
      <c r="AB15" s="50">
        <f>IFERROR(VLOOKUP($A15,'Parts List and Volumes'!$C$2:$W206,16,FALSE),"")</f>
        <v>0</v>
      </c>
      <c r="AC15" s="51">
        <f t="shared" si="5"/>
        <v>0</v>
      </c>
      <c r="AD15" s="52">
        <f t="shared" si="5"/>
        <v>0</v>
      </c>
      <c r="AE15" s="40">
        <f>IFERROR(VLOOKUP($A15,'Parts List and Volumes'!$C$2:$W206,17,FALSE),"")</f>
        <v>0</v>
      </c>
      <c r="AF15" s="41">
        <f>IFERROR(VLOOKUP($A15,'Parts List and Volumes'!$C$2:$W206,18,FALSE),"")</f>
        <v>0</v>
      </c>
      <c r="AG15" s="48">
        <f t="shared" si="6"/>
        <v>0</v>
      </c>
      <c r="AH15" s="43">
        <f t="shared" si="6"/>
        <v>0</v>
      </c>
      <c r="AI15" s="49">
        <f>IFERROR(VLOOKUP($A15,'Parts List and Volumes'!$C$2:$W206,19,FALSE),"")</f>
        <v>0</v>
      </c>
      <c r="AJ15" s="50">
        <f>IFERROR(VLOOKUP($A15,'Parts List and Volumes'!$C$2:$W206,20,FALSE),"")</f>
        <v>0</v>
      </c>
      <c r="AK15" s="51">
        <f t="shared" si="7"/>
        <v>0</v>
      </c>
      <c r="AL15" s="52">
        <f t="shared" si="7"/>
        <v>0</v>
      </c>
      <c r="AM15" s="40">
        <f>IFERROR(VLOOKUP($A15,'Parts List and Volumes'!$C$2:$W206,21,FALSE),"")</f>
        <v>0</v>
      </c>
      <c r="AN15" s="41" t="str">
        <f>IFERROR(VLOOKUP($A15,'Parts List and Volumes'!$C$2:$W206,22,FALSE),"")</f>
        <v/>
      </c>
      <c r="AO15" s="48">
        <f t="shared" si="8"/>
        <v>0</v>
      </c>
      <c r="AP15" s="43" t="str">
        <f t="shared" si="8"/>
        <v/>
      </c>
      <c r="AQ15" s="49" t="str">
        <f>IFERROR(VLOOKUP($A15,'Parts List and Volumes'!$C$2:$W206,23,FALSE),"")</f>
        <v/>
      </c>
      <c r="AR15" s="50" t="str">
        <f>IFERROR(VLOOKUP($A15,'Parts List and Volumes'!$C$2:$W206,24,FALSE),"")</f>
        <v/>
      </c>
      <c r="AS15" s="51" t="str">
        <f t="shared" si="9"/>
        <v/>
      </c>
      <c r="AT15" s="52" t="str">
        <f t="shared" si="9"/>
        <v/>
      </c>
      <c r="AU15" s="40" t="str">
        <f>IFERROR(VLOOKUP($A15,'Parts List and Volumes'!$C$2:$W206,25,FALSE),"")</f>
        <v/>
      </c>
      <c r="AV15" s="41" t="str">
        <f>IFERROR(VLOOKUP($A15,'Parts List and Volumes'!$C$2:$W206,26,FALSE),"")</f>
        <v/>
      </c>
      <c r="AW15" s="48" t="str">
        <f t="shared" si="10"/>
        <v/>
      </c>
      <c r="AX15" s="43" t="str">
        <f t="shared" si="10"/>
        <v/>
      </c>
    </row>
    <row r="16" spans="1:50" x14ac:dyDescent="0.25">
      <c r="A16" s="96" t="s">
        <v>332</v>
      </c>
      <c r="B16" s="24"/>
      <c r="C16" s="20" t="str">
        <f>IFERROR(VLOOKUP(A16,'Parts List and Volumes'!C15:D207,2,FALSE),"")</f>
        <v>NJ000769AAF20</v>
      </c>
      <c r="D16" s="39">
        <f>IFERROR(IF(VLOOKUP($A16,'Parts List and Volumes'!$C15:$F270,3,FALSE)=0,"",VLOOKUP(A16,'Parts List and Volumes'!C15:F270,3,FALSE)),"")</f>
        <v>4.76</v>
      </c>
      <c r="E16" s="39" t="str">
        <f>IFERROR(IF(VLOOKUP($A16,'Parts List and Volumes'!$C15:$F270,4,FALSE)=0,"",VLOOKUP(B16,'Parts List and Volumes'!D15:G270,3,FALSE)),"")</f>
        <v/>
      </c>
      <c r="F16" s="98">
        <v>41</v>
      </c>
      <c r="G16" s="40">
        <f>IFERROR(VLOOKUP($A16,'Parts List and Volumes'!$C$2:$W207,5,FALSE),"")</f>
        <v>0</v>
      </c>
      <c r="H16" s="41">
        <f>IFERROR(VLOOKUP($A16,'Parts List and Volumes'!$C$2:$W207,6,FALSE),"")</f>
        <v>4995.4108502463532</v>
      </c>
      <c r="I16" s="42">
        <f t="shared" si="0"/>
        <v>0</v>
      </c>
      <c r="J16" s="43">
        <f t="shared" si="0"/>
        <v>1.507476924425164E-2</v>
      </c>
      <c r="K16" s="58">
        <f>IFERROR(VLOOKUP($A16,'Parts List and Volumes'!$C$2:$W207,7,FALSE),"")</f>
        <v>0</v>
      </c>
      <c r="L16" s="45">
        <f>IFERROR(VLOOKUP($A16,'Parts List and Volumes'!$C$2:$W207,8,FALSE),"")</f>
        <v>17515.652000762144</v>
      </c>
      <c r="M16" s="46">
        <f t="shared" si="1"/>
        <v>0</v>
      </c>
      <c r="N16" s="47">
        <f t="shared" si="1"/>
        <v>5.2857396516461159E-2</v>
      </c>
      <c r="O16" s="41">
        <f>IFERROR(VLOOKUP($A16,'Parts List and Volumes'!$C$2:$W207,9,FALSE),"")</f>
        <v>0</v>
      </c>
      <c r="P16" s="41">
        <f>IFERROR(VLOOKUP($A16,'Parts List and Volumes'!$C$2:$W207,10,FALSE),"")</f>
        <v>19615.145347931539</v>
      </c>
      <c r="Q16" s="48">
        <f t="shared" si="2"/>
        <v>0</v>
      </c>
      <c r="R16" s="43">
        <f t="shared" si="2"/>
        <v>5.9193087150767904E-2</v>
      </c>
      <c r="S16" s="44">
        <f>IFERROR(VLOOKUP($A16,'Parts List and Volumes'!$C$2:$W207,11,FALSE),"")</f>
        <v>0</v>
      </c>
      <c r="T16" s="45">
        <f>IFERROR(VLOOKUP($A16,'Parts List and Volumes'!$C$2:$W207,12,FALSE),"")</f>
        <v>19571.992976294991</v>
      </c>
      <c r="U16" s="46">
        <f t="shared" si="3"/>
        <v>0</v>
      </c>
      <c r="V16" s="47">
        <f t="shared" si="3"/>
        <v>5.9062865220227183E-2</v>
      </c>
      <c r="W16" s="40">
        <f>IFERROR(VLOOKUP($A16,'Parts List and Volumes'!$C$2:$W207,13,FALSE),"")</f>
        <v>0</v>
      </c>
      <c r="X16" s="41">
        <f>IFERROR(VLOOKUP($A16,'Parts List and Volumes'!$C$2:$W207,14,FALSE),"")</f>
        <v>0</v>
      </c>
      <c r="Y16" s="48">
        <f t="shared" si="4"/>
        <v>0</v>
      </c>
      <c r="Z16" s="43">
        <f t="shared" si="4"/>
        <v>0</v>
      </c>
      <c r="AA16" s="49">
        <f>IFERROR(VLOOKUP($A16,'Parts List and Volumes'!$C$2:$W207,15,FALSE),"")</f>
        <v>0</v>
      </c>
      <c r="AB16" s="50">
        <f>IFERROR(VLOOKUP($A16,'Parts List and Volumes'!$C$2:$W207,16,FALSE),"")</f>
        <v>0</v>
      </c>
      <c r="AC16" s="51">
        <f t="shared" si="5"/>
        <v>0</v>
      </c>
      <c r="AD16" s="52">
        <f t="shared" si="5"/>
        <v>0</v>
      </c>
      <c r="AE16" s="40">
        <f>IFERROR(VLOOKUP($A16,'Parts List and Volumes'!$C$2:$W207,17,FALSE),"")</f>
        <v>0</v>
      </c>
      <c r="AF16" s="41">
        <f>IFERROR(VLOOKUP($A16,'Parts List and Volumes'!$C$2:$W207,18,FALSE),"")</f>
        <v>0</v>
      </c>
      <c r="AG16" s="48">
        <f t="shared" si="6"/>
        <v>0</v>
      </c>
      <c r="AH16" s="43">
        <f t="shared" si="6"/>
        <v>0</v>
      </c>
      <c r="AI16" s="49">
        <f>IFERROR(VLOOKUP($A16,'Parts List and Volumes'!$C$2:$W207,19,FALSE),"")</f>
        <v>0</v>
      </c>
      <c r="AJ16" s="50">
        <f>IFERROR(VLOOKUP($A16,'Parts List and Volumes'!$C$2:$W207,20,FALSE),"")</f>
        <v>0</v>
      </c>
      <c r="AK16" s="51">
        <f t="shared" si="7"/>
        <v>0</v>
      </c>
      <c r="AL16" s="52">
        <f t="shared" si="7"/>
        <v>0</v>
      </c>
      <c r="AM16" s="40">
        <f>IFERROR(VLOOKUP($A16,'Parts List and Volumes'!$C$2:$W207,21,FALSE),"")</f>
        <v>0</v>
      </c>
      <c r="AN16" s="41" t="str">
        <f>IFERROR(VLOOKUP($A16,'Parts List and Volumes'!$C$2:$W207,22,FALSE),"")</f>
        <v/>
      </c>
      <c r="AO16" s="48">
        <f t="shared" si="8"/>
        <v>0</v>
      </c>
      <c r="AP16" s="43" t="str">
        <f t="shared" si="8"/>
        <v/>
      </c>
      <c r="AQ16" s="49" t="str">
        <f>IFERROR(VLOOKUP($A16,'Parts List and Volumes'!$C$2:$W207,23,FALSE),"")</f>
        <v/>
      </c>
      <c r="AR16" s="50" t="str">
        <f>IFERROR(VLOOKUP($A16,'Parts List and Volumes'!$C$2:$W207,24,FALSE),"")</f>
        <v/>
      </c>
      <c r="AS16" s="51" t="str">
        <f t="shared" si="9"/>
        <v/>
      </c>
      <c r="AT16" s="52" t="str">
        <f t="shared" si="9"/>
        <v/>
      </c>
      <c r="AU16" s="40" t="str">
        <f>IFERROR(VLOOKUP($A16,'Parts List and Volumes'!$C$2:$W207,25,FALSE),"")</f>
        <v/>
      </c>
      <c r="AV16" s="41" t="str">
        <f>IFERROR(VLOOKUP($A16,'Parts List and Volumes'!$C$2:$W207,26,FALSE),"")</f>
        <v/>
      </c>
      <c r="AW16" s="48" t="str">
        <f t="shared" si="10"/>
        <v/>
      </c>
      <c r="AX16" s="43" t="str">
        <f t="shared" si="10"/>
        <v/>
      </c>
    </row>
    <row r="17" spans="1:50" x14ac:dyDescent="0.25">
      <c r="A17" s="96" t="s">
        <v>360</v>
      </c>
      <c r="B17" s="24"/>
      <c r="C17" s="20">
        <f>IFERROR(VLOOKUP(A17,'Parts List and Volumes'!C16:D208,2,FALSE),"")</f>
        <v>0</v>
      </c>
      <c r="D17" s="39">
        <f>IFERROR(IF(VLOOKUP($A17,'Parts List and Volumes'!$C16:$F271,3,FALSE)=0,"",VLOOKUP(A17,'Parts List and Volumes'!C16:F271,3,FALSE)),"")</f>
        <v>4.76</v>
      </c>
      <c r="E17" s="39" t="str">
        <f>IFERROR(IF(VLOOKUP($A17,'Parts List and Volumes'!$C16:$F271,4,FALSE)=0,"",VLOOKUP(B17,'Parts List and Volumes'!D16:G271,3,FALSE)),"")</f>
        <v/>
      </c>
      <c r="F17" s="98">
        <v>12</v>
      </c>
      <c r="G17" s="40">
        <f>IFERROR(VLOOKUP($A17,'Parts List and Volumes'!$C$2:$W208,5,FALSE),"")</f>
        <v>0</v>
      </c>
      <c r="H17" s="41">
        <f>IFERROR(VLOOKUP($A17,'Parts List and Volumes'!$C$2:$W208,6,FALSE),"")</f>
        <v>10439.96764258865</v>
      </c>
      <c r="I17" s="42">
        <f t="shared" si="0"/>
        <v>0</v>
      </c>
      <c r="J17" s="43">
        <f t="shared" si="0"/>
        <v>9.2209571123376168E-3</v>
      </c>
      <c r="K17" s="58">
        <f>IFERROR(VLOOKUP($A17,'Parts List and Volumes'!$C$2:$W208,7,FALSE),"")</f>
        <v>0</v>
      </c>
      <c r="L17" s="45">
        <f>IFERROR(VLOOKUP($A17,'Parts List and Volumes'!$C$2:$W208,8,FALSE),"")</f>
        <v>20447.63370430352</v>
      </c>
      <c r="M17" s="46">
        <f t="shared" si="1"/>
        <v>0</v>
      </c>
      <c r="N17" s="47">
        <f t="shared" si="1"/>
        <v>1.8060089828920264E-2</v>
      </c>
      <c r="O17" s="41">
        <f>IFERROR(VLOOKUP($A17,'Parts List and Volumes'!$C$2:$W208,9,FALSE),"")</f>
        <v>0</v>
      </c>
      <c r="P17" s="41">
        <f>IFERROR(VLOOKUP($A17,'Parts List and Volumes'!$C$2:$W208,10,FALSE),"")</f>
        <v>19929.446159936266</v>
      </c>
      <c r="Q17" s="48">
        <f t="shared" si="2"/>
        <v>0</v>
      </c>
      <c r="R17" s="43">
        <f t="shared" si="2"/>
        <v>1.7602407843080963E-2</v>
      </c>
      <c r="S17" s="44">
        <f>IFERROR(VLOOKUP($A17,'Parts List and Volumes'!$C$2:$W208,11,FALSE),"")</f>
        <v>0</v>
      </c>
      <c r="T17" s="45">
        <f>IFERROR(VLOOKUP($A17,'Parts List and Volumes'!$C$2:$W208,12,FALSE),"")</f>
        <v>15428.007023705004</v>
      </c>
      <c r="U17" s="46">
        <f t="shared" si="3"/>
        <v>0</v>
      </c>
      <c r="V17" s="47">
        <f t="shared" si="3"/>
        <v>1.3626573947805162E-2</v>
      </c>
      <c r="W17" s="40">
        <f>IFERROR(VLOOKUP($A17,'Parts List and Volumes'!$C$2:$W208,13,FALSE),"")</f>
        <v>0</v>
      </c>
      <c r="X17" s="41">
        <f>IFERROR(VLOOKUP($A17,'Parts List and Volumes'!$C$2:$W208,14,FALSE),"")</f>
        <v>0</v>
      </c>
      <c r="Y17" s="48">
        <f t="shared" si="4"/>
        <v>0</v>
      </c>
      <c r="Z17" s="43">
        <f t="shared" si="4"/>
        <v>0</v>
      </c>
      <c r="AA17" s="49">
        <f>IFERROR(VLOOKUP($A17,'Parts List and Volumes'!$C$2:$W208,15,FALSE),"")</f>
        <v>0</v>
      </c>
      <c r="AB17" s="50">
        <f>IFERROR(VLOOKUP($A17,'Parts List and Volumes'!$C$2:$W208,16,FALSE),"")</f>
        <v>0</v>
      </c>
      <c r="AC17" s="51">
        <f t="shared" si="5"/>
        <v>0</v>
      </c>
      <c r="AD17" s="52">
        <f t="shared" si="5"/>
        <v>0</v>
      </c>
      <c r="AE17" s="40">
        <f>IFERROR(VLOOKUP($A17,'Parts List and Volumes'!$C$2:$W208,17,FALSE),"")</f>
        <v>0</v>
      </c>
      <c r="AF17" s="41">
        <f>IFERROR(VLOOKUP($A17,'Parts List and Volumes'!$C$2:$W208,18,FALSE),"")</f>
        <v>0</v>
      </c>
      <c r="AG17" s="48">
        <f t="shared" si="6"/>
        <v>0</v>
      </c>
      <c r="AH17" s="43">
        <f t="shared" si="6"/>
        <v>0</v>
      </c>
      <c r="AI17" s="49">
        <f>IFERROR(VLOOKUP($A17,'Parts List and Volumes'!$C$2:$W208,19,FALSE),"")</f>
        <v>0</v>
      </c>
      <c r="AJ17" s="50">
        <f>IFERROR(VLOOKUP($A17,'Parts List and Volumes'!$C$2:$W208,20,FALSE),"")</f>
        <v>0</v>
      </c>
      <c r="AK17" s="51">
        <f t="shared" si="7"/>
        <v>0</v>
      </c>
      <c r="AL17" s="52">
        <f t="shared" si="7"/>
        <v>0</v>
      </c>
      <c r="AM17" s="40">
        <f>IFERROR(VLOOKUP($A17,'Parts List and Volumes'!$C$2:$W208,21,FALSE),"")</f>
        <v>0</v>
      </c>
      <c r="AN17" s="41" t="str">
        <f>IFERROR(VLOOKUP($A17,'Parts List and Volumes'!$C$2:$W208,22,FALSE),"")</f>
        <v/>
      </c>
      <c r="AO17" s="48">
        <f t="shared" si="8"/>
        <v>0</v>
      </c>
      <c r="AP17" s="43" t="str">
        <f t="shared" si="8"/>
        <v/>
      </c>
      <c r="AQ17" s="49" t="str">
        <f>IFERROR(VLOOKUP($A17,'Parts List and Volumes'!$C$2:$W208,23,FALSE),"")</f>
        <v/>
      </c>
      <c r="AR17" s="50" t="str">
        <f>IFERROR(VLOOKUP($A17,'Parts List and Volumes'!$C$2:$W208,24,FALSE),"")</f>
        <v/>
      </c>
      <c r="AS17" s="51" t="str">
        <f t="shared" si="9"/>
        <v/>
      </c>
      <c r="AT17" s="52" t="str">
        <f t="shared" si="9"/>
        <v/>
      </c>
      <c r="AU17" s="40" t="str">
        <f>IFERROR(VLOOKUP($A17,'Parts List and Volumes'!$C$2:$W208,25,FALSE),"")</f>
        <v/>
      </c>
      <c r="AV17" s="41" t="str">
        <f>IFERROR(VLOOKUP($A17,'Parts List and Volumes'!$C$2:$W208,26,FALSE),"")</f>
        <v/>
      </c>
      <c r="AW17" s="48" t="str">
        <f t="shared" si="10"/>
        <v/>
      </c>
      <c r="AX17" s="43" t="str">
        <f t="shared" si="10"/>
        <v/>
      </c>
    </row>
    <row r="18" spans="1:50" x14ac:dyDescent="0.25">
      <c r="A18" s="96" t="s">
        <v>358</v>
      </c>
      <c r="B18" s="24"/>
      <c r="C18" s="20">
        <f>IFERROR(VLOOKUP(A18,'Parts List and Volumes'!C17:D209,2,FALSE),"")</f>
        <v>0</v>
      </c>
      <c r="D18" s="39">
        <f>IFERROR(IF(VLOOKUP($A18,'Parts List and Volumes'!$C17:$F272,3,FALSE)=0,"",VLOOKUP(A18,'Parts List and Volumes'!C17:F272,3,FALSE)),"")</f>
        <v>4.76</v>
      </c>
      <c r="E18" s="39" t="str">
        <f>IFERROR(IF(VLOOKUP($A18,'Parts List and Volumes'!$C17:$F272,4,FALSE)=0,"",VLOOKUP(B18,'Parts List and Volumes'!D17:G272,3,FALSE)),"")</f>
        <v/>
      </c>
      <c r="F18" s="98">
        <v>13</v>
      </c>
      <c r="G18" s="40">
        <f>IFERROR(VLOOKUP($A18,'Parts List and Volumes'!$C$2:$W209,5,FALSE),"")</f>
        <v>0</v>
      </c>
      <c r="H18" s="41">
        <f>IFERROR(VLOOKUP($A18,'Parts List and Volumes'!$C$2:$W209,6,FALSE),"")</f>
        <v>10439.96764258865</v>
      </c>
      <c r="I18" s="42">
        <f t="shared" si="0"/>
        <v>0</v>
      </c>
      <c r="J18" s="43">
        <f t="shared" si="0"/>
        <v>9.989370205032419E-3</v>
      </c>
      <c r="K18" s="58">
        <f>IFERROR(VLOOKUP($A18,'Parts List and Volumes'!$C$2:$W209,7,FALSE),"")</f>
        <v>0</v>
      </c>
      <c r="L18" s="45">
        <f>IFERROR(VLOOKUP($A18,'Parts List and Volumes'!$C$2:$W209,8,FALSE),"")</f>
        <v>20447.63370430352</v>
      </c>
      <c r="M18" s="46">
        <f t="shared" si="1"/>
        <v>0</v>
      </c>
      <c r="N18" s="47">
        <f t="shared" si="1"/>
        <v>1.9565097314663618E-2</v>
      </c>
      <c r="O18" s="41">
        <f>IFERROR(VLOOKUP($A18,'Parts List and Volumes'!$C$2:$W209,9,FALSE),"")</f>
        <v>0</v>
      </c>
      <c r="P18" s="41">
        <f>IFERROR(VLOOKUP($A18,'Parts List and Volumes'!$C$2:$W209,10,FALSE),"")</f>
        <v>19929.446159936266</v>
      </c>
      <c r="Q18" s="48">
        <f t="shared" si="2"/>
        <v>0</v>
      </c>
      <c r="R18" s="43">
        <f t="shared" si="2"/>
        <v>1.9069275163337708E-2</v>
      </c>
      <c r="S18" s="44">
        <f>IFERROR(VLOOKUP($A18,'Parts List and Volumes'!$C$2:$W209,11,FALSE),"")</f>
        <v>0</v>
      </c>
      <c r="T18" s="45">
        <f>IFERROR(VLOOKUP($A18,'Parts List and Volumes'!$C$2:$W209,12,FALSE),"")</f>
        <v>15428.007023705004</v>
      </c>
      <c r="U18" s="46">
        <f t="shared" si="3"/>
        <v>0</v>
      </c>
      <c r="V18" s="47">
        <f t="shared" si="3"/>
        <v>1.4762121776788924E-2</v>
      </c>
      <c r="W18" s="40">
        <f>IFERROR(VLOOKUP($A18,'Parts List and Volumes'!$C$2:$W209,13,FALSE),"")</f>
        <v>0</v>
      </c>
      <c r="X18" s="41">
        <f>IFERROR(VLOOKUP($A18,'Parts List and Volumes'!$C$2:$W209,14,FALSE),"")</f>
        <v>0</v>
      </c>
      <c r="Y18" s="48">
        <f t="shared" si="4"/>
        <v>0</v>
      </c>
      <c r="Z18" s="43">
        <f t="shared" si="4"/>
        <v>0</v>
      </c>
      <c r="AA18" s="49">
        <f>IFERROR(VLOOKUP($A18,'Parts List and Volumes'!$C$2:$W209,15,FALSE),"")</f>
        <v>0</v>
      </c>
      <c r="AB18" s="50">
        <f>IFERROR(VLOOKUP($A18,'Parts List and Volumes'!$C$2:$W209,16,FALSE),"")</f>
        <v>0</v>
      </c>
      <c r="AC18" s="51">
        <f t="shared" si="5"/>
        <v>0</v>
      </c>
      <c r="AD18" s="52">
        <f t="shared" si="5"/>
        <v>0</v>
      </c>
      <c r="AE18" s="40">
        <f>IFERROR(VLOOKUP($A18,'Parts List and Volumes'!$C$2:$W209,17,FALSE),"")</f>
        <v>0</v>
      </c>
      <c r="AF18" s="41">
        <f>IFERROR(VLOOKUP($A18,'Parts List and Volumes'!$C$2:$W209,18,FALSE),"")</f>
        <v>0</v>
      </c>
      <c r="AG18" s="48">
        <f t="shared" si="6"/>
        <v>0</v>
      </c>
      <c r="AH18" s="43">
        <f t="shared" si="6"/>
        <v>0</v>
      </c>
      <c r="AI18" s="49">
        <f>IFERROR(VLOOKUP($A18,'Parts List and Volumes'!$C$2:$W209,19,FALSE),"")</f>
        <v>0</v>
      </c>
      <c r="AJ18" s="50">
        <f>IFERROR(VLOOKUP($A18,'Parts List and Volumes'!$C$2:$W209,20,FALSE),"")</f>
        <v>0</v>
      </c>
      <c r="AK18" s="51">
        <f t="shared" si="7"/>
        <v>0</v>
      </c>
      <c r="AL18" s="52">
        <f t="shared" si="7"/>
        <v>0</v>
      </c>
      <c r="AM18" s="40">
        <f>IFERROR(VLOOKUP($A18,'Parts List and Volumes'!$C$2:$W209,21,FALSE),"")</f>
        <v>0</v>
      </c>
      <c r="AN18" s="41" t="str">
        <f>IFERROR(VLOOKUP($A18,'Parts List and Volumes'!$C$2:$W209,22,FALSE),"")</f>
        <v/>
      </c>
      <c r="AO18" s="48">
        <f t="shared" si="8"/>
        <v>0</v>
      </c>
      <c r="AP18" s="43" t="str">
        <f t="shared" si="8"/>
        <v/>
      </c>
      <c r="AQ18" s="49" t="str">
        <f>IFERROR(VLOOKUP($A18,'Parts List and Volumes'!$C$2:$W209,23,FALSE),"")</f>
        <v/>
      </c>
      <c r="AR18" s="50" t="str">
        <f>IFERROR(VLOOKUP($A18,'Parts List and Volumes'!$C$2:$W209,24,FALSE),"")</f>
        <v/>
      </c>
      <c r="AS18" s="51" t="str">
        <f t="shared" si="9"/>
        <v/>
      </c>
      <c r="AT18" s="52" t="str">
        <f t="shared" si="9"/>
        <v/>
      </c>
      <c r="AU18" s="40" t="str">
        <f>IFERROR(VLOOKUP($A18,'Parts List and Volumes'!$C$2:$W209,25,FALSE),"")</f>
        <v/>
      </c>
      <c r="AV18" s="41" t="str">
        <f>IFERROR(VLOOKUP($A18,'Parts List and Volumes'!$C$2:$W209,26,FALSE),"")</f>
        <v/>
      </c>
      <c r="AW18" s="48" t="str">
        <f t="shared" si="10"/>
        <v/>
      </c>
      <c r="AX18" s="43" t="str">
        <f t="shared" si="10"/>
        <v/>
      </c>
    </row>
    <row r="19" spans="1:50" x14ac:dyDescent="0.25">
      <c r="A19" s="96" t="s">
        <v>359</v>
      </c>
      <c r="B19" s="24"/>
      <c r="C19" s="20">
        <f>IFERROR(VLOOKUP(A19,'Parts List and Volumes'!C18:D210,2,FALSE),"")</f>
        <v>0</v>
      </c>
      <c r="D19" s="39">
        <f>IFERROR(IF(VLOOKUP($A19,'Parts List and Volumes'!$C18:$F273,3,FALSE)=0,"",VLOOKUP(A19,'Parts List and Volumes'!C18:F273,3,FALSE)),"")</f>
        <v>4.76</v>
      </c>
      <c r="E19" s="39" t="str">
        <f>IFERROR(IF(VLOOKUP($A19,'Parts List and Volumes'!$C18:$F273,4,FALSE)=0,"",VLOOKUP(B19,'Parts List and Volumes'!D18:G273,3,FALSE)),"")</f>
        <v/>
      </c>
      <c r="F19" s="98">
        <v>48</v>
      </c>
      <c r="G19" s="40">
        <f>IFERROR(VLOOKUP($A19,'Parts List and Volumes'!$C$2:$W210,5,FALSE),"")</f>
        <v>0</v>
      </c>
      <c r="H19" s="41">
        <f>IFERROR(VLOOKUP($A19,'Parts List and Volumes'!$C$2:$W210,6,FALSE),"")</f>
        <v>10439.96764258865</v>
      </c>
      <c r="I19" s="42">
        <f t="shared" si="0"/>
        <v>0</v>
      </c>
      <c r="J19" s="43">
        <f t="shared" si="0"/>
        <v>3.6883828449350467E-2</v>
      </c>
      <c r="K19" s="58">
        <f>IFERROR(VLOOKUP($A19,'Parts List and Volumes'!$C$2:$W210,7,FALSE),"")</f>
        <v>0</v>
      </c>
      <c r="L19" s="45">
        <f>IFERROR(VLOOKUP($A19,'Parts List and Volumes'!$C$2:$W210,8,FALSE),"")</f>
        <v>20447.63370430352</v>
      </c>
      <c r="M19" s="46">
        <f t="shared" si="1"/>
        <v>0</v>
      </c>
      <c r="N19" s="47">
        <f t="shared" si="1"/>
        <v>7.2240359315681055E-2</v>
      </c>
      <c r="O19" s="41">
        <f>IFERROR(VLOOKUP($A19,'Parts List and Volumes'!$C$2:$W210,9,FALSE),"")</f>
        <v>0</v>
      </c>
      <c r="P19" s="41">
        <f>IFERROR(VLOOKUP($A19,'Parts List and Volumes'!$C$2:$W210,10,FALSE),"")</f>
        <v>19929.446159936266</v>
      </c>
      <c r="Q19" s="48">
        <f t="shared" si="2"/>
        <v>0</v>
      </c>
      <c r="R19" s="43">
        <f t="shared" si="2"/>
        <v>7.0409631372323853E-2</v>
      </c>
      <c r="S19" s="44">
        <f>IFERROR(VLOOKUP($A19,'Parts List and Volumes'!$C$2:$W210,11,FALSE),"")</f>
        <v>0</v>
      </c>
      <c r="T19" s="45">
        <f>IFERROR(VLOOKUP($A19,'Parts List and Volumes'!$C$2:$W210,12,FALSE),"")</f>
        <v>15428.007023705004</v>
      </c>
      <c r="U19" s="46">
        <f t="shared" si="3"/>
        <v>0</v>
      </c>
      <c r="V19" s="47">
        <f t="shared" si="3"/>
        <v>5.4506295791220648E-2</v>
      </c>
      <c r="W19" s="40">
        <f>IFERROR(VLOOKUP($A19,'Parts List and Volumes'!$C$2:$W210,13,FALSE),"")</f>
        <v>0</v>
      </c>
      <c r="X19" s="41">
        <f>IFERROR(VLOOKUP($A19,'Parts List and Volumes'!$C$2:$W210,14,FALSE),"")</f>
        <v>0</v>
      </c>
      <c r="Y19" s="48">
        <f t="shared" si="4"/>
        <v>0</v>
      </c>
      <c r="Z19" s="43">
        <f t="shared" si="4"/>
        <v>0</v>
      </c>
      <c r="AA19" s="49">
        <f>IFERROR(VLOOKUP($A19,'Parts List and Volumes'!$C$2:$W210,15,FALSE),"")</f>
        <v>0</v>
      </c>
      <c r="AB19" s="50">
        <f>IFERROR(VLOOKUP($A19,'Parts List and Volumes'!$C$2:$W210,16,FALSE),"")</f>
        <v>0</v>
      </c>
      <c r="AC19" s="51">
        <f t="shared" si="5"/>
        <v>0</v>
      </c>
      <c r="AD19" s="52">
        <f t="shared" si="5"/>
        <v>0</v>
      </c>
      <c r="AE19" s="40">
        <f>IFERROR(VLOOKUP($A19,'Parts List and Volumes'!$C$2:$W210,17,FALSE),"")</f>
        <v>0</v>
      </c>
      <c r="AF19" s="41">
        <f>IFERROR(VLOOKUP($A19,'Parts List and Volumes'!$C$2:$W210,18,FALSE),"")</f>
        <v>0</v>
      </c>
      <c r="AG19" s="48">
        <f t="shared" si="6"/>
        <v>0</v>
      </c>
      <c r="AH19" s="43">
        <f t="shared" si="6"/>
        <v>0</v>
      </c>
      <c r="AI19" s="49">
        <f>IFERROR(VLOOKUP($A19,'Parts List and Volumes'!$C$2:$W210,19,FALSE),"")</f>
        <v>0</v>
      </c>
      <c r="AJ19" s="50">
        <f>IFERROR(VLOOKUP($A19,'Parts List and Volumes'!$C$2:$W210,20,FALSE),"")</f>
        <v>0</v>
      </c>
      <c r="AK19" s="51">
        <f t="shared" si="7"/>
        <v>0</v>
      </c>
      <c r="AL19" s="52">
        <f t="shared" si="7"/>
        <v>0</v>
      </c>
      <c r="AM19" s="40">
        <f>IFERROR(VLOOKUP($A19,'Parts List and Volumes'!$C$2:$W210,21,FALSE),"")</f>
        <v>0</v>
      </c>
      <c r="AN19" s="41" t="str">
        <f>IFERROR(VLOOKUP($A19,'Parts List and Volumes'!$C$2:$W210,22,FALSE),"")</f>
        <v/>
      </c>
      <c r="AO19" s="48">
        <f t="shared" si="8"/>
        <v>0</v>
      </c>
      <c r="AP19" s="43" t="str">
        <f t="shared" si="8"/>
        <v/>
      </c>
      <c r="AQ19" s="49" t="str">
        <f>IFERROR(VLOOKUP($A19,'Parts List and Volumes'!$C$2:$W210,23,FALSE),"")</f>
        <v/>
      </c>
      <c r="AR19" s="50" t="str">
        <f>IFERROR(VLOOKUP($A19,'Parts List and Volumes'!$C$2:$W210,24,FALSE),"")</f>
        <v/>
      </c>
      <c r="AS19" s="51" t="str">
        <f t="shared" si="9"/>
        <v/>
      </c>
      <c r="AT19" s="52" t="str">
        <f t="shared" si="9"/>
        <v/>
      </c>
      <c r="AU19" s="40" t="str">
        <f>IFERROR(VLOOKUP($A19,'Parts List and Volumes'!$C$2:$W210,25,FALSE),"")</f>
        <v/>
      </c>
      <c r="AV19" s="41" t="str">
        <f>IFERROR(VLOOKUP($A19,'Parts List and Volumes'!$C$2:$W210,26,FALSE),"")</f>
        <v/>
      </c>
      <c r="AW19" s="48" t="str">
        <f t="shared" si="10"/>
        <v/>
      </c>
      <c r="AX19" s="43" t="str">
        <f t="shared" si="10"/>
        <v/>
      </c>
    </row>
    <row r="20" spans="1:50" x14ac:dyDescent="0.25">
      <c r="A20" s="96" t="s">
        <v>357</v>
      </c>
      <c r="B20" s="24"/>
      <c r="C20" s="20">
        <f>IFERROR(VLOOKUP(A20,'Parts List and Volumes'!C19:D211,2,FALSE),"")</f>
        <v>0</v>
      </c>
      <c r="D20" s="39">
        <f>IFERROR(IF(VLOOKUP($A20,'Parts List and Volumes'!$C19:$F274,3,FALSE)=0,"",VLOOKUP(A20,'Parts List and Volumes'!C19:F274,3,FALSE)),"")</f>
        <v>4.76</v>
      </c>
      <c r="E20" s="39" t="str">
        <f>IFERROR(IF(VLOOKUP($A20,'Parts List and Volumes'!$C19:$F274,4,FALSE)=0,"",VLOOKUP(B20,'Parts List and Volumes'!D19:G274,3,FALSE)),"")</f>
        <v/>
      </c>
      <c r="F20" s="98">
        <v>45</v>
      </c>
      <c r="G20" s="40">
        <f>IFERROR(VLOOKUP($A20,'Parts List and Volumes'!$C$2:$W211,5,FALSE),"")</f>
        <v>0</v>
      </c>
      <c r="H20" s="41">
        <f>IFERROR(VLOOKUP($A20,'Parts List and Volumes'!$C$2:$W211,6,FALSE),"")</f>
        <v>10439.96764258865</v>
      </c>
      <c r="I20" s="42">
        <f t="shared" si="0"/>
        <v>0</v>
      </c>
      <c r="J20" s="43">
        <f t="shared" si="0"/>
        <v>3.4578589171266064E-2</v>
      </c>
      <c r="K20" s="58">
        <f>IFERROR(VLOOKUP($A20,'Parts List and Volumes'!$C$2:$W211,7,FALSE),"")</f>
        <v>0</v>
      </c>
      <c r="L20" s="45">
        <f>IFERROR(VLOOKUP($A20,'Parts List and Volumes'!$C$2:$W211,8,FALSE),"")</f>
        <v>20447.63370430352</v>
      </c>
      <c r="M20" s="46">
        <f t="shared" si="1"/>
        <v>0</v>
      </c>
      <c r="N20" s="47">
        <f t="shared" si="1"/>
        <v>6.7725336858450988E-2</v>
      </c>
      <c r="O20" s="41">
        <f>IFERROR(VLOOKUP($A20,'Parts List and Volumes'!$C$2:$W211,9,FALSE),"")</f>
        <v>0</v>
      </c>
      <c r="P20" s="41">
        <f>IFERROR(VLOOKUP($A20,'Parts List and Volumes'!$C$2:$W211,10,FALSE),"")</f>
        <v>19929.446159936266</v>
      </c>
      <c r="Q20" s="48">
        <f t="shared" si="2"/>
        <v>0</v>
      </c>
      <c r="R20" s="43">
        <f t="shared" si="2"/>
        <v>6.6009029411553607E-2</v>
      </c>
      <c r="S20" s="44">
        <f>IFERROR(VLOOKUP($A20,'Parts List and Volumes'!$C$2:$W211,11,FALSE),"")</f>
        <v>0</v>
      </c>
      <c r="T20" s="45">
        <f>IFERROR(VLOOKUP($A20,'Parts List and Volumes'!$C$2:$W211,12,FALSE),"")</f>
        <v>15428.007023705004</v>
      </c>
      <c r="U20" s="46">
        <f t="shared" si="3"/>
        <v>0</v>
      </c>
      <c r="V20" s="47">
        <f t="shared" si="3"/>
        <v>5.1099652304269355E-2</v>
      </c>
      <c r="W20" s="40">
        <f>IFERROR(VLOOKUP($A20,'Parts List and Volumes'!$C$2:$W211,13,FALSE),"")</f>
        <v>0</v>
      </c>
      <c r="X20" s="41">
        <f>IFERROR(VLOOKUP($A20,'Parts List and Volumes'!$C$2:$W211,14,FALSE),"")</f>
        <v>0</v>
      </c>
      <c r="Y20" s="48">
        <f t="shared" si="4"/>
        <v>0</v>
      </c>
      <c r="Z20" s="43">
        <f t="shared" si="4"/>
        <v>0</v>
      </c>
      <c r="AA20" s="49">
        <f>IFERROR(VLOOKUP($A20,'Parts List and Volumes'!$C$2:$W211,15,FALSE),"")</f>
        <v>0</v>
      </c>
      <c r="AB20" s="50">
        <f>IFERROR(VLOOKUP($A20,'Parts List and Volumes'!$C$2:$W211,16,FALSE),"")</f>
        <v>0</v>
      </c>
      <c r="AC20" s="51">
        <f t="shared" si="5"/>
        <v>0</v>
      </c>
      <c r="AD20" s="52">
        <f t="shared" si="5"/>
        <v>0</v>
      </c>
      <c r="AE20" s="40">
        <f>IFERROR(VLOOKUP($A20,'Parts List and Volumes'!$C$2:$W211,17,FALSE),"")</f>
        <v>0</v>
      </c>
      <c r="AF20" s="41">
        <f>IFERROR(VLOOKUP($A20,'Parts List and Volumes'!$C$2:$W211,18,FALSE),"")</f>
        <v>0</v>
      </c>
      <c r="AG20" s="48">
        <f t="shared" si="6"/>
        <v>0</v>
      </c>
      <c r="AH20" s="43">
        <f t="shared" si="6"/>
        <v>0</v>
      </c>
      <c r="AI20" s="49">
        <f>IFERROR(VLOOKUP($A20,'Parts List and Volumes'!$C$2:$W211,19,FALSE),"")</f>
        <v>0</v>
      </c>
      <c r="AJ20" s="50">
        <f>IFERROR(VLOOKUP($A20,'Parts List and Volumes'!$C$2:$W211,20,FALSE),"")</f>
        <v>0</v>
      </c>
      <c r="AK20" s="51">
        <f t="shared" si="7"/>
        <v>0</v>
      </c>
      <c r="AL20" s="52">
        <f t="shared" si="7"/>
        <v>0</v>
      </c>
      <c r="AM20" s="40">
        <f>IFERROR(VLOOKUP($A20,'Parts List and Volumes'!$C$2:$W211,21,FALSE),"")</f>
        <v>0</v>
      </c>
      <c r="AN20" s="41" t="str">
        <f>IFERROR(VLOOKUP($A20,'Parts List and Volumes'!$C$2:$W211,22,FALSE),"")</f>
        <v/>
      </c>
      <c r="AO20" s="48">
        <f t="shared" si="8"/>
        <v>0</v>
      </c>
      <c r="AP20" s="43" t="str">
        <f t="shared" si="8"/>
        <v/>
      </c>
      <c r="AQ20" s="49" t="str">
        <f>IFERROR(VLOOKUP($A20,'Parts List and Volumes'!$C$2:$W211,23,FALSE),"")</f>
        <v/>
      </c>
      <c r="AR20" s="50" t="str">
        <f>IFERROR(VLOOKUP($A20,'Parts List and Volumes'!$C$2:$W211,24,FALSE),"")</f>
        <v/>
      </c>
      <c r="AS20" s="51" t="str">
        <f t="shared" si="9"/>
        <v/>
      </c>
      <c r="AT20" s="52" t="str">
        <f t="shared" si="9"/>
        <v/>
      </c>
      <c r="AU20" s="40" t="str">
        <f>IFERROR(VLOOKUP($A20,'Parts List and Volumes'!$C$2:$W211,25,FALSE),"")</f>
        <v/>
      </c>
      <c r="AV20" s="41" t="str">
        <f>IFERROR(VLOOKUP($A20,'Parts List and Volumes'!$C$2:$W211,26,FALSE),"")</f>
        <v/>
      </c>
      <c r="AW20" s="48" t="str">
        <f t="shared" si="10"/>
        <v/>
      </c>
      <c r="AX20" s="43" t="str">
        <f t="shared" si="10"/>
        <v/>
      </c>
    </row>
    <row r="21" spans="1:50" x14ac:dyDescent="0.25">
      <c r="A21" s="23"/>
      <c r="B21" s="24"/>
      <c r="C21" s="20" t="str">
        <f>IFERROR(VLOOKUP(A21,'Parts List and Volumes'!C20:D212,2,FALSE),"")</f>
        <v/>
      </c>
      <c r="D21" s="39" t="str">
        <f>IFERROR(IF(VLOOKUP($A21,'Parts List and Volumes'!$C20:$F275,3,FALSE)=0,"",VLOOKUP(A21,'Parts List and Volumes'!C20:F275,3,FALSE)),"")</f>
        <v/>
      </c>
      <c r="E21" s="39" t="str">
        <f>IFERROR(IF(VLOOKUP($A21,'Parts List and Volumes'!$C20:$F275,4,FALSE)=0,"",VLOOKUP(B21,'Parts List and Volumes'!D20:G275,3,FALSE)),"")</f>
        <v/>
      </c>
      <c r="F21" s="26"/>
      <c r="G21" s="40" t="str">
        <f>IFERROR(VLOOKUP($A21,'Parts List and Volumes'!$C$2:$W212,5,FALSE),"")</f>
        <v/>
      </c>
      <c r="H21" s="41" t="str">
        <f>IFERROR(VLOOKUP($A21,'Parts List and Volumes'!$C$2:$W212,6,FALSE),"")</f>
        <v/>
      </c>
      <c r="I21" s="42" t="str">
        <f t="shared" si="0"/>
        <v/>
      </c>
      <c r="J21" s="43" t="str">
        <f t="shared" si="0"/>
        <v/>
      </c>
      <c r="K21" s="58" t="str">
        <f>IFERROR(VLOOKUP($A21,'Parts List and Volumes'!$C$2:$W212,7,FALSE),"")</f>
        <v/>
      </c>
      <c r="L21" s="45" t="str">
        <f>IFERROR(VLOOKUP($A21,'Parts List and Volumes'!$C$2:$W212,8,FALSE),"")</f>
        <v/>
      </c>
      <c r="M21" s="46" t="str">
        <f t="shared" si="1"/>
        <v/>
      </c>
      <c r="N21" s="47" t="str">
        <f t="shared" si="1"/>
        <v/>
      </c>
      <c r="O21" s="41" t="str">
        <f>IFERROR(VLOOKUP($A21,'Parts List and Volumes'!$C$2:$W212,9,FALSE),"")</f>
        <v/>
      </c>
      <c r="P21" s="41" t="str">
        <f>IFERROR(VLOOKUP($A21,'Parts List and Volumes'!$C$2:$W212,10,FALSE),"")</f>
        <v/>
      </c>
      <c r="Q21" s="48" t="str">
        <f t="shared" si="2"/>
        <v/>
      </c>
      <c r="R21" s="43" t="str">
        <f t="shared" si="2"/>
        <v/>
      </c>
      <c r="S21" s="44" t="str">
        <f>IFERROR(VLOOKUP($A21,'Parts List and Volumes'!$C$2:$W212,11,FALSE),"")</f>
        <v/>
      </c>
      <c r="T21" s="45" t="str">
        <f>IFERROR(VLOOKUP($A21,'Parts List and Volumes'!$C$2:$W212,12,FALSE),"")</f>
        <v/>
      </c>
      <c r="U21" s="46" t="str">
        <f t="shared" si="3"/>
        <v/>
      </c>
      <c r="V21" s="47" t="str">
        <f t="shared" si="3"/>
        <v/>
      </c>
      <c r="W21" s="40" t="str">
        <f>IFERROR(VLOOKUP($A21,'Parts List and Volumes'!$C$2:$W212,13,FALSE),"")</f>
        <v/>
      </c>
      <c r="X21" s="41" t="str">
        <f>IFERROR(VLOOKUP($A21,'Parts List and Volumes'!$C$2:$W212,14,FALSE),"")</f>
        <v/>
      </c>
      <c r="Y21" s="48" t="str">
        <f t="shared" si="4"/>
        <v/>
      </c>
      <c r="Z21" s="43" t="str">
        <f t="shared" si="4"/>
        <v/>
      </c>
      <c r="AA21" s="49" t="str">
        <f>IFERROR(VLOOKUP($A21,'Parts List and Volumes'!$C$2:$W212,15,FALSE),"")</f>
        <v/>
      </c>
      <c r="AB21" s="50" t="str">
        <f>IFERROR(VLOOKUP($A21,'Parts List and Volumes'!$C$2:$W212,16,FALSE),"")</f>
        <v/>
      </c>
      <c r="AC21" s="51" t="str">
        <f t="shared" si="5"/>
        <v/>
      </c>
      <c r="AD21" s="52" t="str">
        <f t="shared" si="5"/>
        <v/>
      </c>
      <c r="AE21" s="40" t="str">
        <f>IFERROR(VLOOKUP($A21,'Parts List and Volumes'!$C$2:$W212,17,FALSE),"")</f>
        <v/>
      </c>
      <c r="AF21" s="41" t="str">
        <f>IFERROR(VLOOKUP($A21,'Parts List and Volumes'!$C$2:$W212,18,FALSE),"")</f>
        <v/>
      </c>
      <c r="AG21" s="48" t="str">
        <f t="shared" si="6"/>
        <v/>
      </c>
      <c r="AH21" s="43" t="str">
        <f t="shared" si="6"/>
        <v/>
      </c>
      <c r="AI21" s="49" t="str">
        <f>IFERROR(VLOOKUP($A21,'Parts List and Volumes'!$C$2:$W212,19,FALSE),"")</f>
        <v/>
      </c>
      <c r="AJ21" s="50" t="str">
        <f>IFERROR(VLOOKUP($A21,'Parts List and Volumes'!$C$2:$W212,20,FALSE),"")</f>
        <v/>
      </c>
      <c r="AK21" s="51" t="str">
        <f t="shared" si="7"/>
        <v/>
      </c>
      <c r="AL21" s="52" t="str">
        <f t="shared" si="7"/>
        <v/>
      </c>
      <c r="AM21" s="40" t="str">
        <f>IFERROR(VLOOKUP($A21,'Parts List and Volumes'!$C$2:$W212,21,FALSE),"")</f>
        <v/>
      </c>
      <c r="AN21" s="41" t="str">
        <f>IFERROR(VLOOKUP($A21,'Parts List and Volumes'!$C$2:$W212,22,FALSE),"")</f>
        <v/>
      </c>
      <c r="AO21" s="48" t="str">
        <f t="shared" si="8"/>
        <v/>
      </c>
      <c r="AP21" s="43" t="str">
        <f t="shared" si="8"/>
        <v/>
      </c>
      <c r="AQ21" s="49" t="str">
        <f>IFERROR(VLOOKUP($A21,'Parts List and Volumes'!$C$2:$W212,23,FALSE),"")</f>
        <v/>
      </c>
      <c r="AR21" s="50" t="str">
        <f>IFERROR(VLOOKUP($A21,'Parts List and Volumes'!$C$2:$W212,24,FALSE),"")</f>
        <v/>
      </c>
      <c r="AS21" s="51" t="str">
        <f t="shared" si="9"/>
        <v/>
      </c>
      <c r="AT21" s="52" t="str">
        <f t="shared" si="9"/>
        <v/>
      </c>
      <c r="AU21" s="40" t="str">
        <f>IFERROR(VLOOKUP($A21,'Parts List and Volumes'!$C$2:$W212,25,FALSE),"")</f>
        <v/>
      </c>
      <c r="AV21" s="41" t="str">
        <f>IFERROR(VLOOKUP($A21,'Parts List and Volumes'!$C$2:$W212,26,FALSE),"")</f>
        <v/>
      </c>
      <c r="AW21" s="48" t="str">
        <f t="shared" si="10"/>
        <v/>
      </c>
      <c r="AX21" s="43" t="str">
        <f t="shared" si="10"/>
        <v/>
      </c>
    </row>
    <row r="22" spans="1:50" x14ac:dyDescent="0.25">
      <c r="A22" s="23"/>
      <c r="B22" s="24"/>
      <c r="C22" s="20" t="str">
        <f>IFERROR(VLOOKUP(A22,'Parts List and Volumes'!C21:D213,2,FALSE),"")</f>
        <v/>
      </c>
      <c r="D22" s="39" t="str">
        <f>IFERROR(IF(VLOOKUP($A22,'Parts List and Volumes'!$C21:$F276,3,FALSE)=0,"",VLOOKUP(A22,'Parts List and Volumes'!C21:F276,3,FALSE)),"")</f>
        <v/>
      </c>
      <c r="E22" s="39" t="str">
        <f>IFERROR(IF(VLOOKUP($A22,'Parts List and Volumes'!$C21:$F276,4,FALSE)=0,"",VLOOKUP(B22,'Parts List and Volumes'!D21:G276,3,FALSE)),"")</f>
        <v/>
      </c>
      <c r="F22" s="26"/>
      <c r="G22" s="40" t="str">
        <f>IFERROR(VLOOKUP($A22,'Parts List and Volumes'!$C$2:$W213,5,FALSE),"")</f>
        <v/>
      </c>
      <c r="H22" s="41" t="str">
        <f>IFERROR(VLOOKUP($A22,'Parts List and Volumes'!$C$2:$W213,6,FALSE),"")</f>
        <v/>
      </c>
      <c r="I22" s="42" t="str">
        <f t="shared" si="0"/>
        <v/>
      </c>
      <c r="J22" s="43" t="str">
        <f t="shared" si="0"/>
        <v/>
      </c>
      <c r="K22" s="58" t="str">
        <f>IFERROR(VLOOKUP($A22,'Parts List and Volumes'!$C$2:$W213,7,FALSE),"")</f>
        <v/>
      </c>
      <c r="L22" s="45" t="str">
        <f>IFERROR(VLOOKUP($A22,'Parts List and Volumes'!$C$2:$W213,8,FALSE),"")</f>
        <v/>
      </c>
      <c r="M22" s="46" t="str">
        <f t="shared" si="1"/>
        <v/>
      </c>
      <c r="N22" s="47" t="str">
        <f t="shared" si="1"/>
        <v/>
      </c>
      <c r="O22" s="41" t="str">
        <f>IFERROR(VLOOKUP($A22,'Parts List and Volumes'!$C$2:$W213,9,FALSE),"")</f>
        <v/>
      </c>
      <c r="P22" s="41" t="str">
        <f>IFERROR(VLOOKUP($A22,'Parts List and Volumes'!$C$2:$W213,10,FALSE),"")</f>
        <v/>
      </c>
      <c r="Q22" s="48" t="str">
        <f t="shared" si="2"/>
        <v/>
      </c>
      <c r="R22" s="43" t="str">
        <f t="shared" si="2"/>
        <v/>
      </c>
      <c r="S22" s="44" t="str">
        <f>IFERROR(VLOOKUP($A22,'Parts List and Volumes'!$C$2:$W213,11,FALSE),"")</f>
        <v/>
      </c>
      <c r="T22" s="45" t="str">
        <f>IFERROR(VLOOKUP($A22,'Parts List and Volumes'!$C$2:$W213,12,FALSE),"")</f>
        <v/>
      </c>
      <c r="U22" s="46" t="str">
        <f t="shared" si="3"/>
        <v/>
      </c>
      <c r="V22" s="47" t="str">
        <f t="shared" si="3"/>
        <v/>
      </c>
      <c r="W22" s="40" t="str">
        <f>IFERROR(VLOOKUP($A22,'Parts List and Volumes'!$C$2:$W213,13,FALSE),"")</f>
        <v/>
      </c>
      <c r="X22" s="41" t="str">
        <f>IFERROR(VLOOKUP($A22,'Parts List and Volumes'!$C$2:$W213,14,FALSE),"")</f>
        <v/>
      </c>
      <c r="Y22" s="48" t="str">
        <f t="shared" si="4"/>
        <v/>
      </c>
      <c r="Z22" s="43" t="str">
        <f t="shared" si="4"/>
        <v/>
      </c>
      <c r="AA22" s="49" t="str">
        <f>IFERROR(VLOOKUP($A22,'Parts List and Volumes'!$C$2:$W213,15,FALSE),"")</f>
        <v/>
      </c>
      <c r="AB22" s="50" t="str">
        <f>IFERROR(VLOOKUP($A22,'Parts List and Volumes'!$C$2:$W213,16,FALSE),"")</f>
        <v/>
      </c>
      <c r="AC22" s="51" t="str">
        <f t="shared" si="5"/>
        <v/>
      </c>
      <c r="AD22" s="52" t="str">
        <f t="shared" si="5"/>
        <v/>
      </c>
      <c r="AE22" s="40" t="str">
        <f>IFERROR(VLOOKUP($A22,'Parts List and Volumes'!$C$2:$W213,17,FALSE),"")</f>
        <v/>
      </c>
      <c r="AF22" s="41" t="str">
        <f>IFERROR(VLOOKUP($A22,'Parts List and Volumes'!$C$2:$W213,18,FALSE),"")</f>
        <v/>
      </c>
      <c r="AG22" s="48" t="str">
        <f t="shared" si="6"/>
        <v/>
      </c>
      <c r="AH22" s="43" t="str">
        <f t="shared" si="6"/>
        <v/>
      </c>
      <c r="AI22" s="49" t="str">
        <f>IFERROR(VLOOKUP($A22,'Parts List and Volumes'!$C$2:$W213,19,FALSE),"")</f>
        <v/>
      </c>
      <c r="AJ22" s="50" t="str">
        <f>IFERROR(VLOOKUP($A22,'Parts List and Volumes'!$C$2:$W213,20,FALSE),"")</f>
        <v/>
      </c>
      <c r="AK22" s="51" t="str">
        <f t="shared" si="7"/>
        <v/>
      </c>
      <c r="AL22" s="52" t="str">
        <f t="shared" si="7"/>
        <v/>
      </c>
      <c r="AM22" s="40" t="str">
        <f>IFERROR(VLOOKUP($A22,'Parts List and Volumes'!$C$2:$W213,21,FALSE),"")</f>
        <v/>
      </c>
      <c r="AN22" s="41" t="str">
        <f>IFERROR(VLOOKUP($A22,'Parts List and Volumes'!$C$2:$W213,22,FALSE),"")</f>
        <v/>
      </c>
      <c r="AO22" s="48" t="str">
        <f t="shared" si="8"/>
        <v/>
      </c>
      <c r="AP22" s="43" t="str">
        <f t="shared" si="8"/>
        <v/>
      </c>
      <c r="AQ22" s="49" t="str">
        <f>IFERROR(VLOOKUP($A22,'Parts List and Volumes'!$C$2:$W213,23,FALSE),"")</f>
        <v/>
      </c>
      <c r="AR22" s="50" t="str">
        <f>IFERROR(VLOOKUP($A22,'Parts List and Volumes'!$C$2:$W213,24,FALSE),"")</f>
        <v/>
      </c>
      <c r="AS22" s="51" t="str">
        <f t="shared" si="9"/>
        <v/>
      </c>
      <c r="AT22" s="52" t="str">
        <f t="shared" si="9"/>
        <v/>
      </c>
      <c r="AU22" s="40" t="str">
        <f>IFERROR(VLOOKUP($A22,'Parts List and Volumes'!$C$2:$W213,25,FALSE),"")</f>
        <v/>
      </c>
      <c r="AV22" s="41" t="str">
        <f>IFERROR(VLOOKUP($A22,'Parts List and Volumes'!$C$2:$W213,26,FALSE),"")</f>
        <v/>
      </c>
      <c r="AW22" s="48" t="str">
        <f t="shared" si="10"/>
        <v/>
      </c>
      <c r="AX22" s="43" t="str">
        <f t="shared" si="10"/>
        <v/>
      </c>
    </row>
    <row r="23" spans="1:50" x14ac:dyDescent="0.25">
      <c r="A23" s="23"/>
      <c r="B23" s="24"/>
      <c r="C23" s="20" t="str">
        <f>IFERROR(VLOOKUP(A23,'Parts List and Volumes'!C22:D214,2,FALSE),"")</f>
        <v/>
      </c>
      <c r="D23" s="39" t="str">
        <f>IFERROR(IF(VLOOKUP($A23,'Parts List and Volumes'!$C22:$F277,3,FALSE)=0,"",VLOOKUP(A23,'Parts List and Volumes'!C22:F277,3,FALSE)),"")</f>
        <v/>
      </c>
      <c r="E23" s="39" t="str">
        <f>IFERROR(IF(VLOOKUP($A23,'Parts List and Volumes'!$C22:$F277,4,FALSE)=0,"",VLOOKUP(B23,'Parts List and Volumes'!D22:G277,3,FALSE)),"")</f>
        <v/>
      </c>
      <c r="F23" s="26"/>
      <c r="G23" s="40" t="str">
        <f>IFERROR(VLOOKUP($A23,'Parts List and Volumes'!$C$2:$W214,5,FALSE),"")</f>
        <v/>
      </c>
      <c r="H23" s="41" t="str">
        <f>IFERROR(VLOOKUP($A23,'Parts List and Volumes'!$C$2:$W214,6,FALSE),"")</f>
        <v/>
      </c>
      <c r="I23" s="42" t="str">
        <f t="shared" si="0"/>
        <v/>
      </c>
      <c r="J23" s="43" t="str">
        <f t="shared" si="0"/>
        <v/>
      </c>
      <c r="K23" s="58" t="str">
        <f>IFERROR(VLOOKUP($A23,'Parts List and Volumes'!$C$2:$W214,7,FALSE),"")</f>
        <v/>
      </c>
      <c r="L23" s="45" t="str">
        <f>IFERROR(VLOOKUP($A23,'Parts List and Volumes'!$C$2:$W214,8,FALSE),"")</f>
        <v/>
      </c>
      <c r="M23" s="46" t="str">
        <f t="shared" si="1"/>
        <v/>
      </c>
      <c r="N23" s="47" t="str">
        <f t="shared" si="1"/>
        <v/>
      </c>
      <c r="O23" s="41" t="str">
        <f>IFERROR(VLOOKUP($A23,'Parts List and Volumes'!$C$2:$W214,9,FALSE),"")</f>
        <v/>
      </c>
      <c r="P23" s="41" t="str">
        <f>IFERROR(VLOOKUP($A23,'Parts List and Volumes'!$C$2:$W214,10,FALSE),"")</f>
        <v/>
      </c>
      <c r="Q23" s="48" t="str">
        <f t="shared" si="2"/>
        <v/>
      </c>
      <c r="R23" s="43" t="str">
        <f t="shared" si="2"/>
        <v/>
      </c>
      <c r="S23" s="44" t="str">
        <f>IFERROR(VLOOKUP($A23,'Parts List and Volumes'!$C$2:$W214,11,FALSE),"")</f>
        <v/>
      </c>
      <c r="T23" s="45" t="str">
        <f>IFERROR(VLOOKUP($A23,'Parts List and Volumes'!$C$2:$W214,12,FALSE),"")</f>
        <v/>
      </c>
      <c r="U23" s="46" t="str">
        <f t="shared" si="3"/>
        <v/>
      </c>
      <c r="V23" s="47" t="str">
        <f t="shared" si="3"/>
        <v/>
      </c>
      <c r="W23" s="40" t="str">
        <f>IFERROR(VLOOKUP($A23,'Parts List and Volumes'!$C$2:$W214,13,FALSE),"")</f>
        <v/>
      </c>
      <c r="X23" s="41" t="str">
        <f>IFERROR(VLOOKUP($A23,'Parts List and Volumes'!$C$2:$W214,14,FALSE),"")</f>
        <v/>
      </c>
      <c r="Y23" s="48" t="str">
        <f t="shared" si="4"/>
        <v/>
      </c>
      <c r="Z23" s="43" t="str">
        <f t="shared" si="4"/>
        <v/>
      </c>
      <c r="AA23" s="49" t="str">
        <f>IFERROR(VLOOKUP($A23,'Parts List and Volumes'!$C$2:$W214,15,FALSE),"")</f>
        <v/>
      </c>
      <c r="AB23" s="50" t="str">
        <f>IFERROR(VLOOKUP($A23,'Parts List and Volumes'!$C$2:$W214,16,FALSE),"")</f>
        <v/>
      </c>
      <c r="AC23" s="51" t="str">
        <f t="shared" si="5"/>
        <v/>
      </c>
      <c r="AD23" s="52" t="str">
        <f t="shared" si="5"/>
        <v/>
      </c>
      <c r="AE23" s="40" t="str">
        <f>IFERROR(VLOOKUP($A23,'Parts List and Volumes'!$C$2:$W214,17,FALSE),"")</f>
        <v/>
      </c>
      <c r="AF23" s="41" t="str">
        <f>IFERROR(VLOOKUP($A23,'Parts List and Volumes'!$C$2:$W214,18,FALSE),"")</f>
        <v/>
      </c>
      <c r="AG23" s="48" t="str">
        <f t="shared" si="6"/>
        <v/>
      </c>
      <c r="AH23" s="43" t="str">
        <f t="shared" si="6"/>
        <v/>
      </c>
      <c r="AI23" s="49" t="str">
        <f>IFERROR(VLOOKUP($A23,'Parts List and Volumes'!$C$2:$W214,19,FALSE),"")</f>
        <v/>
      </c>
      <c r="AJ23" s="50" t="str">
        <f>IFERROR(VLOOKUP($A23,'Parts List and Volumes'!$C$2:$W214,20,FALSE),"")</f>
        <v/>
      </c>
      <c r="AK23" s="51" t="str">
        <f t="shared" si="7"/>
        <v/>
      </c>
      <c r="AL23" s="52" t="str">
        <f t="shared" si="7"/>
        <v/>
      </c>
      <c r="AM23" s="40" t="str">
        <f>IFERROR(VLOOKUP($A23,'Parts List and Volumes'!$C$2:$W214,21,FALSE),"")</f>
        <v/>
      </c>
      <c r="AN23" s="41" t="str">
        <f>IFERROR(VLOOKUP($A23,'Parts List and Volumes'!$C$2:$W214,22,FALSE),"")</f>
        <v/>
      </c>
      <c r="AO23" s="48" t="str">
        <f t="shared" si="8"/>
        <v/>
      </c>
      <c r="AP23" s="43" t="str">
        <f t="shared" si="8"/>
        <v/>
      </c>
      <c r="AQ23" s="49" t="str">
        <f>IFERROR(VLOOKUP($A23,'Parts List and Volumes'!$C$2:$W214,23,FALSE),"")</f>
        <v/>
      </c>
      <c r="AR23" s="50" t="str">
        <f>IFERROR(VLOOKUP($A23,'Parts List and Volumes'!$C$2:$W214,24,FALSE),"")</f>
        <v/>
      </c>
      <c r="AS23" s="51" t="str">
        <f t="shared" si="9"/>
        <v/>
      </c>
      <c r="AT23" s="52" t="str">
        <f t="shared" si="9"/>
        <v/>
      </c>
      <c r="AU23" s="40" t="str">
        <f>IFERROR(VLOOKUP($A23,'Parts List and Volumes'!$C$2:$W214,25,FALSE),"")</f>
        <v/>
      </c>
      <c r="AV23" s="41" t="str">
        <f>IFERROR(VLOOKUP($A23,'Parts List and Volumes'!$C$2:$W214,26,FALSE),"")</f>
        <v/>
      </c>
      <c r="AW23" s="48" t="str">
        <f t="shared" si="10"/>
        <v/>
      </c>
      <c r="AX23" s="43" t="str">
        <f t="shared" si="10"/>
        <v/>
      </c>
    </row>
    <row r="24" spans="1:50" x14ac:dyDescent="0.25">
      <c r="A24" s="23"/>
      <c r="B24" s="24"/>
      <c r="C24" s="20" t="str">
        <f>IFERROR(VLOOKUP(A24,'Parts List and Volumes'!C23:D215,2,FALSE),"")</f>
        <v/>
      </c>
      <c r="D24" s="39" t="str">
        <f>IFERROR(IF(VLOOKUP($A24,'Parts List and Volumes'!$C23:$F278,3,FALSE)=0,"",VLOOKUP(A24,'Parts List and Volumes'!C23:F278,3,FALSE)),"")</f>
        <v/>
      </c>
      <c r="E24" s="39" t="str">
        <f>IFERROR(IF(VLOOKUP($A24,'Parts List and Volumes'!$C23:$F278,4,FALSE)=0,"",VLOOKUP(B24,'Parts List and Volumes'!D23:G278,3,FALSE)),"")</f>
        <v/>
      </c>
      <c r="F24" s="26"/>
      <c r="G24" s="40" t="str">
        <f>IFERROR(VLOOKUP($A24,'Parts List and Volumes'!$C$2:$W215,5,FALSE),"")</f>
        <v/>
      </c>
      <c r="H24" s="41" t="str">
        <f>IFERROR(VLOOKUP($A24,'Parts List and Volumes'!$C$2:$W215,6,FALSE),"")</f>
        <v/>
      </c>
      <c r="I24" s="42" t="str">
        <f t="shared" si="0"/>
        <v/>
      </c>
      <c r="J24" s="43" t="str">
        <f t="shared" si="0"/>
        <v/>
      </c>
      <c r="K24" s="58" t="str">
        <f>IFERROR(VLOOKUP($A24,'Parts List and Volumes'!$C$2:$W215,7,FALSE),"")</f>
        <v/>
      </c>
      <c r="L24" s="45" t="str">
        <f>IFERROR(VLOOKUP($A24,'Parts List and Volumes'!$C$2:$W215,8,FALSE),"")</f>
        <v/>
      </c>
      <c r="M24" s="46" t="str">
        <f t="shared" si="1"/>
        <v/>
      </c>
      <c r="N24" s="47" t="str">
        <f t="shared" si="1"/>
        <v/>
      </c>
      <c r="O24" s="41" t="str">
        <f>IFERROR(VLOOKUP($A24,'Parts List and Volumes'!$C$2:$W215,9,FALSE),"")</f>
        <v/>
      </c>
      <c r="P24" s="41" t="str">
        <f>IFERROR(VLOOKUP($A24,'Parts List and Volumes'!$C$2:$W215,10,FALSE),"")</f>
        <v/>
      </c>
      <c r="Q24" s="48" t="str">
        <f t="shared" si="2"/>
        <v/>
      </c>
      <c r="R24" s="43" t="str">
        <f t="shared" si="2"/>
        <v/>
      </c>
      <c r="S24" s="44" t="str">
        <f>IFERROR(VLOOKUP($A24,'Parts List and Volumes'!$C$2:$W215,11,FALSE),"")</f>
        <v/>
      </c>
      <c r="T24" s="45" t="str">
        <f>IFERROR(VLOOKUP($A24,'Parts List and Volumes'!$C$2:$W215,12,FALSE),"")</f>
        <v/>
      </c>
      <c r="U24" s="46" t="str">
        <f t="shared" si="3"/>
        <v/>
      </c>
      <c r="V24" s="47" t="str">
        <f t="shared" si="3"/>
        <v/>
      </c>
      <c r="W24" s="40" t="str">
        <f>IFERROR(VLOOKUP($A24,'Parts List and Volumes'!$C$2:$W215,13,FALSE),"")</f>
        <v/>
      </c>
      <c r="X24" s="41" t="str">
        <f>IFERROR(VLOOKUP($A24,'Parts List and Volumes'!$C$2:$W215,14,FALSE),"")</f>
        <v/>
      </c>
      <c r="Y24" s="48" t="str">
        <f t="shared" si="4"/>
        <v/>
      </c>
      <c r="Z24" s="43" t="str">
        <f t="shared" si="4"/>
        <v/>
      </c>
      <c r="AA24" s="49" t="str">
        <f>IFERROR(VLOOKUP($A24,'Parts List and Volumes'!$C$2:$W215,15,FALSE),"")</f>
        <v/>
      </c>
      <c r="AB24" s="50" t="str">
        <f>IFERROR(VLOOKUP($A24,'Parts List and Volumes'!$C$2:$W215,16,FALSE),"")</f>
        <v/>
      </c>
      <c r="AC24" s="51" t="str">
        <f t="shared" si="5"/>
        <v/>
      </c>
      <c r="AD24" s="52" t="str">
        <f t="shared" si="5"/>
        <v/>
      </c>
      <c r="AE24" s="40" t="str">
        <f>IFERROR(VLOOKUP($A24,'Parts List and Volumes'!$C$2:$W215,17,FALSE),"")</f>
        <v/>
      </c>
      <c r="AF24" s="41" t="str">
        <f>IFERROR(VLOOKUP($A24,'Parts List and Volumes'!$C$2:$W215,18,FALSE),"")</f>
        <v/>
      </c>
      <c r="AG24" s="48" t="str">
        <f t="shared" si="6"/>
        <v/>
      </c>
      <c r="AH24" s="43" t="str">
        <f t="shared" si="6"/>
        <v/>
      </c>
      <c r="AI24" s="49" t="str">
        <f>IFERROR(VLOOKUP($A24,'Parts List and Volumes'!$C$2:$W215,19,FALSE),"")</f>
        <v/>
      </c>
      <c r="AJ24" s="50" t="str">
        <f>IFERROR(VLOOKUP($A24,'Parts List and Volumes'!$C$2:$W215,20,FALSE),"")</f>
        <v/>
      </c>
      <c r="AK24" s="51" t="str">
        <f t="shared" si="7"/>
        <v/>
      </c>
      <c r="AL24" s="52" t="str">
        <f t="shared" si="7"/>
        <v/>
      </c>
      <c r="AM24" s="40" t="str">
        <f>IFERROR(VLOOKUP($A24,'Parts List and Volumes'!$C$2:$W215,21,FALSE),"")</f>
        <v/>
      </c>
      <c r="AN24" s="41" t="str">
        <f>IFERROR(VLOOKUP($A24,'Parts List and Volumes'!$C$2:$W215,22,FALSE),"")</f>
        <v/>
      </c>
      <c r="AO24" s="48" t="str">
        <f t="shared" si="8"/>
        <v/>
      </c>
      <c r="AP24" s="43" t="str">
        <f t="shared" si="8"/>
        <v/>
      </c>
      <c r="AQ24" s="49" t="str">
        <f>IFERROR(VLOOKUP($A24,'Parts List and Volumes'!$C$2:$W215,23,FALSE),"")</f>
        <v/>
      </c>
      <c r="AR24" s="50" t="str">
        <f>IFERROR(VLOOKUP($A24,'Parts List and Volumes'!$C$2:$W215,24,FALSE),"")</f>
        <v/>
      </c>
      <c r="AS24" s="51" t="str">
        <f t="shared" si="9"/>
        <v/>
      </c>
      <c r="AT24" s="52" t="str">
        <f t="shared" si="9"/>
        <v/>
      </c>
      <c r="AU24" s="40" t="str">
        <f>IFERROR(VLOOKUP($A24,'Parts List and Volumes'!$C$2:$W215,25,FALSE),"")</f>
        <v/>
      </c>
      <c r="AV24" s="41" t="str">
        <f>IFERROR(VLOOKUP($A24,'Parts List and Volumes'!$C$2:$W215,26,FALSE),"")</f>
        <v/>
      </c>
      <c r="AW24" s="48" t="str">
        <f t="shared" si="10"/>
        <v/>
      </c>
      <c r="AX24" s="43" t="str">
        <f t="shared" si="10"/>
        <v/>
      </c>
    </row>
    <row r="25" spans="1:50" x14ac:dyDescent="0.25">
      <c r="A25" s="23"/>
      <c r="B25" s="24"/>
      <c r="C25" s="20" t="str">
        <f>IFERROR(VLOOKUP(A25,'Parts List and Volumes'!C24:D216,2,FALSE),"")</f>
        <v/>
      </c>
      <c r="D25" s="39" t="str">
        <f>IFERROR(IF(VLOOKUP($A25,'Parts List and Volumes'!$C24:$F279,3,FALSE)=0,"",VLOOKUP(A25,'Parts List and Volumes'!C24:F279,3,FALSE)),"")</f>
        <v/>
      </c>
      <c r="E25" s="39" t="str">
        <f>IFERROR(IF(VLOOKUP($A25,'Parts List and Volumes'!$C24:$F279,4,FALSE)=0,"",VLOOKUP(B25,'Parts List and Volumes'!D24:G279,3,FALSE)),"")</f>
        <v/>
      </c>
      <c r="F25" s="26"/>
      <c r="G25" s="40" t="str">
        <f>IFERROR(VLOOKUP($A25,'Parts List and Volumes'!$C$2:$W216,5,FALSE),"")</f>
        <v/>
      </c>
      <c r="H25" s="41" t="str">
        <f>IFERROR(VLOOKUP($A25,'Parts List and Volumes'!$C$2:$W216,6,FALSE),"")</f>
        <v/>
      </c>
      <c r="I25" s="42" t="str">
        <f t="shared" si="0"/>
        <v/>
      </c>
      <c r="J25" s="43" t="str">
        <f t="shared" si="0"/>
        <v/>
      </c>
      <c r="K25" s="58" t="str">
        <f>IFERROR(VLOOKUP($A25,'Parts List and Volumes'!$C$2:$W216,7,FALSE),"")</f>
        <v/>
      </c>
      <c r="L25" s="45" t="str">
        <f>IFERROR(VLOOKUP($A25,'Parts List and Volumes'!$C$2:$W216,8,FALSE),"")</f>
        <v/>
      </c>
      <c r="M25" s="46" t="str">
        <f t="shared" si="1"/>
        <v/>
      </c>
      <c r="N25" s="47" t="str">
        <f t="shared" si="1"/>
        <v/>
      </c>
      <c r="O25" s="41" t="str">
        <f>IFERROR(VLOOKUP($A25,'Parts List and Volumes'!$C$2:$W216,9,FALSE),"")</f>
        <v/>
      </c>
      <c r="P25" s="41" t="str">
        <f>IFERROR(VLOOKUP($A25,'Parts List and Volumes'!$C$2:$W216,10,FALSE),"")</f>
        <v/>
      </c>
      <c r="Q25" s="48" t="str">
        <f t="shared" si="2"/>
        <v/>
      </c>
      <c r="R25" s="43" t="str">
        <f t="shared" si="2"/>
        <v/>
      </c>
      <c r="S25" s="44" t="str">
        <f>IFERROR(VLOOKUP($A25,'Parts List and Volumes'!$C$2:$W216,11,FALSE),"")</f>
        <v/>
      </c>
      <c r="T25" s="45" t="str">
        <f>IFERROR(VLOOKUP($A25,'Parts List and Volumes'!$C$2:$W216,12,FALSE),"")</f>
        <v/>
      </c>
      <c r="U25" s="46" t="str">
        <f t="shared" si="3"/>
        <v/>
      </c>
      <c r="V25" s="47" t="str">
        <f t="shared" si="3"/>
        <v/>
      </c>
      <c r="W25" s="40" t="str">
        <f>IFERROR(VLOOKUP($A25,'Parts List and Volumes'!$C$2:$W216,13,FALSE),"")</f>
        <v/>
      </c>
      <c r="X25" s="41" t="str">
        <f>IFERROR(VLOOKUP($A25,'Parts List and Volumes'!$C$2:$W216,14,FALSE),"")</f>
        <v/>
      </c>
      <c r="Y25" s="48" t="str">
        <f t="shared" si="4"/>
        <v/>
      </c>
      <c r="Z25" s="43" t="str">
        <f t="shared" si="4"/>
        <v/>
      </c>
      <c r="AA25" s="49" t="str">
        <f>IFERROR(VLOOKUP($A25,'Parts List and Volumes'!$C$2:$W216,15,FALSE),"")</f>
        <v/>
      </c>
      <c r="AB25" s="50" t="str">
        <f>IFERROR(VLOOKUP($A25,'Parts List and Volumes'!$C$2:$W216,16,FALSE),"")</f>
        <v/>
      </c>
      <c r="AC25" s="51" t="str">
        <f t="shared" si="5"/>
        <v/>
      </c>
      <c r="AD25" s="52" t="str">
        <f t="shared" si="5"/>
        <v/>
      </c>
      <c r="AE25" s="40" t="str">
        <f>IFERROR(VLOOKUP($A25,'Parts List and Volumes'!$C$2:$W216,17,FALSE),"")</f>
        <v/>
      </c>
      <c r="AF25" s="41" t="str">
        <f>IFERROR(VLOOKUP($A25,'Parts List and Volumes'!$C$2:$W216,18,FALSE),"")</f>
        <v/>
      </c>
      <c r="AG25" s="48" t="str">
        <f t="shared" si="6"/>
        <v/>
      </c>
      <c r="AH25" s="43" t="str">
        <f t="shared" si="6"/>
        <v/>
      </c>
      <c r="AI25" s="49" t="str">
        <f>IFERROR(VLOOKUP($A25,'Parts List and Volumes'!$C$2:$W216,19,FALSE),"")</f>
        <v/>
      </c>
      <c r="AJ25" s="50" t="str">
        <f>IFERROR(VLOOKUP($A25,'Parts List and Volumes'!$C$2:$W216,20,FALSE),"")</f>
        <v/>
      </c>
      <c r="AK25" s="51" t="str">
        <f t="shared" si="7"/>
        <v/>
      </c>
      <c r="AL25" s="52" t="str">
        <f t="shared" si="7"/>
        <v/>
      </c>
      <c r="AM25" s="40" t="str">
        <f>IFERROR(VLOOKUP($A25,'Parts List and Volumes'!$C$2:$W216,21,FALSE),"")</f>
        <v/>
      </c>
      <c r="AN25" s="41" t="str">
        <f>IFERROR(VLOOKUP($A25,'Parts List and Volumes'!$C$2:$W216,22,FALSE),"")</f>
        <v/>
      </c>
      <c r="AO25" s="48" t="str">
        <f t="shared" si="8"/>
        <v/>
      </c>
      <c r="AP25" s="43" t="str">
        <f t="shared" si="8"/>
        <v/>
      </c>
      <c r="AQ25" s="49" t="str">
        <f>IFERROR(VLOOKUP($A25,'Parts List and Volumes'!$C$2:$W216,23,FALSE),"")</f>
        <v/>
      </c>
      <c r="AR25" s="50" t="str">
        <f>IFERROR(VLOOKUP($A25,'Parts List and Volumes'!$C$2:$W216,24,FALSE),"")</f>
        <v/>
      </c>
      <c r="AS25" s="51" t="str">
        <f t="shared" si="9"/>
        <v/>
      </c>
      <c r="AT25" s="52" t="str">
        <f t="shared" si="9"/>
        <v/>
      </c>
      <c r="AU25" s="40" t="str">
        <f>IFERROR(VLOOKUP($A25,'Parts List and Volumes'!$C$2:$W216,25,FALSE),"")</f>
        <v/>
      </c>
      <c r="AV25" s="41" t="str">
        <f>IFERROR(VLOOKUP($A25,'Parts List and Volumes'!$C$2:$W216,26,FALSE),"")</f>
        <v/>
      </c>
      <c r="AW25" s="48" t="str">
        <f t="shared" si="10"/>
        <v/>
      </c>
      <c r="AX25" s="43" t="str">
        <f t="shared" si="10"/>
        <v/>
      </c>
    </row>
    <row r="26" spans="1:50" x14ac:dyDescent="0.25">
      <c r="A26" s="23"/>
      <c r="B26" s="24"/>
      <c r="C26" s="20" t="str">
        <f>IFERROR(VLOOKUP(A26,'Parts List and Volumes'!C25:D217,2,FALSE),"")</f>
        <v/>
      </c>
      <c r="D26" s="39" t="str">
        <f>IFERROR(IF(VLOOKUP($A26,'Parts List and Volumes'!$C25:$F280,3,FALSE)=0,"",VLOOKUP(A26,'Parts List and Volumes'!C25:F280,3,FALSE)),"")</f>
        <v/>
      </c>
      <c r="E26" s="39" t="str">
        <f>IFERROR(IF(VLOOKUP($A26,'Parts List and Volumes'!$C25:$F280,4,FALSE)=0,"",VLOOKUP(B26,'Parts List and Volumes'!D25:G280,3,FALSE)),"")</f>
        <v/>
      </c>
      <c r="F26" s="26"/>
      <c r="G26" s="40" t="str">
        <f>IFERROR(VLOOKUP($A26,'Parts List and Volumes'!$C$2:$W217,5,FALSE),"")</f>
        <v/>
      </c>
      <c r="H26" s="41" t="str">
        <f>IFERROR(VLOOKUP($A26,'Parts List and Volumes'!$C$2:$W217,6,FALSE),"")</f>
        <v/>
      </c>
      <c r="I26" s="42" t="str">
        <f t="shared" si="0"/>
        <v/>
      </c>
      <c r="J26" s="43" t="str">
        <f t="shared" si="0"/>
        <v/>
      </c>
      <c r="K26" s="58" t="str">
        <f>IFERROR(VLOOKUP($A26,'Parts List and Volumes'!$C$2:$W217,7,FALSE),"")</f>
        <v/>
      </c>
      <c r="L26" s="45" t="str">
        <f>IFERROR(VLOOKUP($A26,'Parts List and Volumes'!$C$2:$W217,8,FALSE),"")</f>
        <v/>
      </c>
      <c r="M26" s="46" t="str">
        <f t="shared" si="1"/>
        <v/>
      </c>
      <c r="N26" s="47" t="str">
        <f t="shared" si="1"/>
        <v/>
      </c>
      <c r="O26" s="41" t="str">
        <f>IFERROR(VLOOKUP($A26,'Parts List and Volumes'!$C$2:$W217,9,FALSE),"")</f>
        <v/>
      </c>
      <c r="P26" s="41" t="str">
        <f>IFERROR(VLOOKUP($A26,'Parts List and Volumes'!$C$2:$W217,10,FALSE),"")</f>
        <v/>
      </c>
      <c r="Q26" s="48" t="str">
        <f t="shared" si="2"/>
        <v/>
      </c>
      <c r="R26" s="43" t="str">
        <f t="shared" si="2"/>
        <v/>
      </c>
      <c r="S26" s="44" t="str">
        <f>IFERROR(VLOOKUP($A26,'Parts List and Volumes'!$C$2:$W217,11,FALSE),"")</f>
        <v/>
      </c>
      <c r="T26" s="45" t="str">
        <f>IFERROR(VLOOKUP($A26,'Parts List and Volumes'!$C$2:$W217,12,FALSE),"")</f>
        <v/>
      </c>
      <c r="U26" s="46" t="str">
        <f t="shared" si="3"/>
        <v/>
      </c>
      <c r="V26" s="47" t="str">
        <f t="shared" si="3"/>
        <v/>
      </c>
      <c r="W26" s="40" t="str">
        <f>IFERROR(VLOOKUP($A26,'Parts List and Volumes'!$C$2:$W217,13,FALSE),"")</f>
        <v/>
      </c>
      <c r="X26" s="41" t="str">
        <f>IFERROR(VLOOKUP($A26,'Parts List and Volumes'!$C$2:$W217,14,FALSE),"")</f>
        <v/>
      </c>
      <c r="Y26" s="48" t="str">
        <f t="shared" si="4"/>
        <v/>
      </c>
      <c r="Z26" s="43" t="str">
        <f t="shared" si="4"/>
        <v/>
      </c>
      <c r="AA26" s="49" t="str">
        <f>IFERROR(VLOOKUP($A26,'Parts List and Volumes'!$C$2:$W217,15,FALSE),"")</f>
        <v/>
      </c>
      <c r="AB26" s="50" t="str">
        <f>IFERROR(VLOOKUP($A26,'Parts List and Volumes'!$C$2:$W217,16,FALSE),"")</f>
        <v/>
      </c>
      <c r="AC26" s="51" t="str">
        <f t="shared" si="5"/>
        <v/>
      </c>
      <c r="AD26" s="52" t="str">
        <f t="shared" si="5"/>
        <v/>
      </c>
      <c r="AE26" s="40" t="str">
        <f>IFERROR(VLOOKUP($A26,'Parts List and Volumes'!$C$2:$W217,17,FALSE),"")</f>
        <v/>
      </c>
      <c r="AF26" s="41" t="str">
        <f>IFERROR(VLOOKUP($A26,'Parts List and Volumes'!$C$2:$W217,18,FALSE),"")</f>
        <v/>
      </c>
      <c r="AG26" s="48" t="str">
        <f t="shared" si="6"/>
        <v/>
      </c>
      <c r="AH26" s="43" t="str">
        <f t="shared" si="6"/>
        <v/>
      </c>
      <c r="AI26" s="49" t="str">
        <f>IFERROR(VLOOKUP($A26,'Parts List and Volumes'!$C$2:$W217,19,FALSE),"")</f>
        <v/>
      </c>
      <c r="AJ26" s="50" t="str">
        <f>IFERROR(VLOOKUP($A26,'Parts List and Volumes'!$C$2:$W217,20,FALSE),"")</f>
        <v/>
      </c>
      <c r="AK26" s="51" t="str">
        <f t="shared" si="7"/>
        <v/>
      </c>
      <c r="AL26" s="52" t="str">
        <f t="shared" si="7"/>
        <v/>
      </c>
      <c r="AM26" s="40" t="str">
        <f>IFERROR(VLOOKUP($A26,'Parts List and Volumes'!$C$2:$W217,21,FALSE),"")</f>
        <v/>
      </c>
      <c r="AN26" s="41" t="str">
        <f>IFERROR(VLOOKUP($A26,'Parts List and Volumes'!$C$2:$W217,22,FALSE),"")</f>
        <v/>
      </c>
      <c r="AO26" s="48" t="str">
        <f t="shared" si="8"/>
        <v/>
      </c>
      <c r="AP26" s="43" t="str">
        <f t="shared" si="8"/>
        <v/>
      </c>
      <c r="AQ26" s="49" t="str">
        <f>IFERROR(VLOOKUP($A26,'Parts List and Volumes'!$C$2:$W217,23,FALSE),"")</f>
        <v/>
      </c>
      <c r="AR26" s="50" t="str">
        <f>IFERROR(VLOOKUP($A26,'Parts List and Volumes'!$C$2:$W217,24,FALSE),"")</f>
        <v/>
      </c>
      <c r="AS26" s="51" t="str">
        <f t="shared" si="9"/>
        <v/>
      </c>
      <c r="AT26" s="52" t="str">
        <f t="shared" si="9"/>
        <v/>
      </c>
      <c r="AU26" s="40" t="str">
        <f>IFERROR(VLOOKUP($A26,'Parts List and Volumes'!$C$2:$W217,25,FALSE),"")</f>
        <v/>
      </c>
      <c r="AV26" s="41" t="str">
        <f>IFERROR(VLOOKUP($A26,'Parts List and Volumes'!$C$2:$W217,26,FALSE),"")</f>
        <v/>
      </c>
      <c r="AW26" s="48" t="str">
        <f t="shared" si="10"/>
        <v/>
      </c>
      <c r="AX26" s="43" t="str">
        <f t="shared" si="10"/>
        <v/>
      </c>
    </row>
    <row r="27" spans="1:50" x14ac:dyDescent="0.25">
      <c r="A27" s="23"/>
      <c r="B27" s="24"/>
      <c r="C27" s="20" t="str">
        <f>IFERROR(VLOOKUP(A27,'Parts List and Volumes'!C26:D218,2,FALSE),"")</f>
        <v/>
      </c>
      <c r="D27" s="39" t="str">
        <f>IFERROR(IF(VLOOKUP($A27,'Parts List and Volumes'!$C26:$F281,3,FALSE)=0,"",VLOOKUP(A27,'Parts List and Volumes'!C26:F281,3,FALSE)),"")</f>
        <v/>
      </c>
      <c r="E27" s="39" t="str">
        <f>IFERROR(IF(VLOOKUP($A27,'Parts List and Volumes'!$C26:$F281,4,FALSE)=0,"",VLOOKUP(B27,'Parts List and Volumes'!D26:G281,3,FALSE)),"")</f>
        <v/>
      </c>
      <c r="F27" s="26"/>
      <c r="G27" s="40" t="str">
        <f>IFERROR(VLOOKUP($A27,'Parts List and Volumes'!$C$2:$W218,5,FALSE),"")</f>
        <v/>
      </c>
      <c r="H27" s="41" t="str">
        <f>IFERROR(VLOOKUP($A27,'Parts List and Volumes'!$C$2:$W218,6,FALSE),"")</f>
        <v/>
      </c>
      <c r="I27" s="42" t="str">
        <f t="shared" si="0"/>
        <v/>
      </c>
      <c r="J27" s="43" t="str">
        <f t="shared" si="0"/>
        <v/>
      </c>
      <c r="K27" s="58" t="str">
        <f>IFERROR(VLOOKUP($A27,'Parts List and Volumes'!$C$2:$W218,7,FALSE),"")</f>
        <v/>
      </c>
      <c r="L27" s="45" t="str">
        <f>IFERROR(VLOOKUP($A27,'Parts List and Volumes'!$C$2:$W218,8,FALSE),"")</f>
        <v/>
      </c>
      <c r="M27" s="46" t="str">
        <f t="shared" si="1"/>
        <v/>
      </c>
      <c r="N27" s="47" t="str">
        <f t="shared" si="1"/>
        <v/>
      </c>
      <c r="O27" s="41" t="str">
        <f>IFERROR(VLOOKUP($A27,'Parts List and Volumes'!$C$2:$W218,9,FALSE),"")</f>
        <v/>
      </c>
      <c r="P27" s="41" t="str">
        <f>IFERROR(VLOOKUP($A27,'Parts List and Volumes'!$C$2:$W218,10,FALSE),"")</f>
        <v/>
      </c>
      <c r="Q27" s="48" t="str">
        <f t="shared" si="2"/>
        <v/>
      </c>
      <c r="R27" s="43" t="str">
        <f t="shared" si="2"/>
        <v/>
      </c>
      <c r="S27" s="44" t="str">
        <f>IFERROR(VLOOKUP($A27,'Parts List and Volumes'!$C$2:$W218,11,FALSE),"")</f>
        <v/>
      </c>
      <c r="T27" s="45" t="str">
        <f>IFERROR(VLOOKUP($A27,'Parts List and Volumes'!$C$2:$W218,12,FALSE),"")</f>
        <v/>
      </c>
      <c r="U27" s="46" t="str">
        <f t="shared" si="3"/>
        <v/>
      </c>
      <c r="V27" s="47" t="str">
        <f t="shared" si="3"/>
        <v/>
      </c>
      <c r="W27" s="40" t="str">
        <f>IFERROR(VLOOKUP($A27,'Parts List and Volumes'!$C$2:$W218,13,FALSE),"")</f>
        <v/>
      </c>
      <c r="X27" s="41" t="str">
        <f>IFERROR(VLOOKUP($A27,'Parts List and Volumes'!$C$2:$W218,14,FALSE),"")</f>
        <v/>
      </c>
      <c r="Y27" s="48" t="str">
        <f t="shared" si="4"/>
        <v/>
      </c>
      <c r="Z27" s="43" t="str">
        <f t="shared" si="4"/>
        <v/>
      </c>
      <c r="AA27" s="49" t="str">
        <f>IFERROR(VLOOKUP($A27,'Parts List and Volumes'!$C$2:$W218,15,FALSE),"")</f>
        <v/>
      </c>
      <c r="AB27" s="50" t="str">
        <f>IFERROR(VLOOKUP($A27,'Parts List and Volumes'!$C$2:$W218,16,FALSE),"")</f>
        <v/>
      </c>
      <c r="AC27" s="51" t="str">
        <f t="shared" si="5"/>
        <v/>
      </c>
      <c r="AD27" s="52" t="str">
        <f t="shared" si="5"/>
        <v/>
      </c>
      <c r="AE27" s="40" t="str">
        <f>IFERROR(VLOOKUP($A27,'Parts List and Volumes'!$C$2:$W218,17,FALSE),"")</f>
        <v/>
      </c>
      <c r="AF27" s="41" t="str">
        <f>IFERROR(VLOOKUP($A27,'Parts List and Volumes'!$C$2:$W218,18,FALSE),"")</f>
        <v/>
      </c>
      <c r="AG27" s="48" t="str">
        <f t="shared" si="6"/>
        <v/>
      </c>
      <c r="AH27" s="43" t="str">
        <f t="shared" si="6"/>
        <v/>
      </c>
      <c r="AI27" s="49" t="str">
        <f>IFERROR(VLOOKUP($A27,'Parts List and Volumes'!$C$2:$W218,19,FALSE),"")</f>
        <v/>
      </c>
      <c r="AJ27" s="50" t="str">
        <f>IFERROR(VLOOKUP($A27,'Parts List and Volumes'!$C$2:$W218,20,FALSE),"")</f>
        <v/>
      </c>
      <c r="AK27" s="51" t="str">
        <f t="shared" si="7"/>
        <v/>
      </c>
      <c r="AL27" s="52" t="str">
        <f t="shared" si="7"/>
        <v/>
      </c>
      <c r="AM27" s="40" t="str">
        <f>IFERROR(VLOOKUP($A27,'Parts List and Volumes'!$C$2:$W218,21,FALSE),"")</f>
        <v/>
      </c>
      <c r="AN27" s="41" t="str">
        <f>IFERROR(VLOOKUP($A27,'Parts List and Volumes'!$C$2:$W218,22,FALSE),"")</f>
        <v/>
      </c>
      <c r="AO27" s="48" t="str">
        <f t="shared" si="8"/>
        <v/>
      </c>
      <c r="AP27" s="43" t="str">
        <f t="shared" si="8"/>
        <v/>
      </c>
      <c r="AQ27" s="49" t="str">
        <f>IFERROR(VLOOKUP($A27,'Parts List and Volumes'!$C$2:$W218,23,FALSE),"")</f>
        <v/>
      </c>
      <c r="AR27" s="50" t="str">
        <f>IFERROR(VLOOKUP($A27,'Parts List and Volumes'!$C$2:$W218,24,FALSE),"")</f>
        <v/>
      </c>
      <c r="AS27" s="51" t="str">
        <f t="shared" si="9"/>
        <v/>
      </c>
      <c r="AT27" s="52" t="str">
        <f t="shared" si="9"/>
        <v/>
      </c>
      <c r="AU27" s="40" t="str">
        <f>IFERROR(VLOOKUP($A27,'Parts List and Volumes'!$C$2:$W218,25,FALSE),"")</f>
        <v/>
      </c>
      <c r="AV27" s="41" t="str">
        <f>IFERROR(VLOOKUP($A27,'Parts List and Volumes'!$C$2:$W218,26,FALSE),"")</f>
        <v/>
      </c>
      <c r="AW27" s="48" t="str">
        <f t="shared" si="10"/>
        <v/>
      </c>
      <c r="AX27" s="43" t="str">
        <f t="shared" si="10"/>
        <v/>
      </c>
    </row>
    <row r="28" spans="1:50" x14ac:dyDescent="0.25">
      <c r="A28" s="23"/>
      <c r="B28" s="24"/>
      <c r="C28" s="20" t="str">
        <f>IFERROR(VLOOKUP(A28,'Parts List and Volumes'!C27:D219,2,FALSE),"")</f>
        <v/>
      </c>
      <c r="D28" s="39" t="str">
        <f>IFERROR(IF(VLOOKUP($A28,'Parts List and Volumes'!$C27:$F282,3,FALSE)=0,"",VLOOKUP(A28,'Parts List and Volumes'!C27:F282,3,FALSE)),"")</f>
        <v/>
      </c>
      <c r="E28" s="39" t="str">
        <f>IFERROR(IF(VLOOKUP($A28,'Parts List and Volumes'!$C27:$F282,4,FALSE)=0,"",VLOOKUP(B28,'Parts List and Volumes'!D27:G282,3,FALSE)),"")</f>
        <v/>
      </c>
      <c r="F28" s="26"/>
      <c r="G28" s="40" t="str">
        <f>IFERROR(VLOOKUP($A28,'Parts List and Volumes'!$C$2:$W219,5,FALSE),"")</f>
        <v/>
      </c>
      <c r="H28" s="41" t="str">
        <f>IFERROR(VLOOKUP($A28,'Parts List and Volumes'!$C$2:$W219,6,FALSE),"")</f>
        <v/>
      </c>
      <c r="I28" s="42" t="str">
        <f t="shared" si="0"/>
        <v/>
      </c>
      <c r="J28" s="43" t="str">
        <f t="shared" si="0"/>
        <v/>
      </c>
      <c r="K28" s="58" t="str">
        <f>IFERROR(VLOOKUP($A28,'Parts List and Volumes'!$C$2:$W219,7,FALSE),"")</f>
        <v/>
      </c>
      <c r="L28" s="45" t="str">
        <f>IFERROR(VLOOKUP($A28,'Parts List and Volumes'!$C$2:$W219,8,FALSE),"")</f>
        <v/>
      </c>
      <c r="M28" s="46" t="str">
        <f t="shared" si="1"/>
        <v/>
      </c>
      <c r="N28" s="47" t="str">
        <f t="shared" si="1"/>
        <v/>
      </c>
      <c r="O28" s="41" t="str">
        <f>IFERROR(VLOOKUP($A28,'Parts List and Volumes'!$C$2:$W219,9,FALSE),"")</f>
        <v/>
      </c>
      <c r="P28" s="41" t="str">
        <f>IFERROR(VLOOKUP($A28,'Parts List and Volumes'!$C$2:$W219,10,FALSE),"")</f>
        <v/>
      </c>
      <c r="Q28" s="48" t="str">
        <f t="shared" si="2"/>
        <v/>
      </c>
      <c r="R28" s="43" t="str">
        <f t="shared" si="2"/>
        <v/>
      </c>
      <c r="S28" s="44" t="str">
        <f>IFERROR(VLOOKUP($A28,'Parts List and Volumes'!$C$2:$W219,11,FALSE),"")</f>
        <v/>
      </c>
      <c r="T28" s="45" t="str">
        <f>IFERROR(VLOOKUP($A28,'Parts List and Volumes'!$C$2:$W219,12,FALSE),"")</f>
        <v/>
      </c>
      <c r="U28" s="46" t="str">
        <f t="shared" si="3"/>
        <v/>
      </c>
      <c r="V28" s="47" t="str">
        <f t="shared" si="3"/>
        <v/>
      </c>
      <c r="W28" s="40" t="str">
        <f>IFERROR(VLOOKUP($A28,'Parts List and Volumes'!$C$2:$W219,13,FALSE),"")</f>
        <v/>
      </c>
      <c r="X28" s="41" t="str">
        <f>IFERROR(VLOOKUP($A28,'Parts List and Volumes'!$C$2:$W219,14,FALSE),"")</f>
        <v/>
      </c>
      <c r="Y28" s="48" t="str">
        <f t="shared" si="4"/>
        <v/>
      </c>
      <c r="Z28" s="43" t="str">
        <f t="shared" si="4"/>
        <v/>
      </c>
      <c r="AA28" s="49" t="str">
        <f>IFERROR(VLOOKUP($A28,'Parts List and Volumes'!$C$2:$W219,15,FALSE),"")</f>
        <v/>
      </c>
      <c r="AB28" s="50" t="str">
        <f>IFERROR(VLOOKUP($A28,'Parts List and Volumes'!$C$2:$W219,16,FALSE),"")</f>
        <v/>
      </c>
      <c r="AC28" s="51" t="str">
        <f t="shared" si="5"/>
        <v/>
      </c>
      <c r="AD28" s="52" t="str">
        <f t="shared" si="5"/>
        <v/>
      </c>
      <c r="AE28" s="40" t="str">
        <f>IFERROR(VLOOKUP($A28,'Parts List and Volumes'!$C$2:$W219,17,FALSE),"")</f>
        <v/>
      </c>
      <c r="AF28" s="41" t="str">
        <f>IFERROR(VLOOKUP($A28,'Parts List and Volumes'!$C$2:$W219,18,FALSE),"")</f>
        <v/>
      </c>
      <c r="AG28" s="48" t="str">
        <f t="shared" si="6"/>
        <v/>
      </c>
      <c r="AH28" s="43" t="str">
        <f t="shared" si="6"/>
        <v/>
      </c>
      <c r="AI28" s="49" t="str">
        <f>IFERROR(VLOOKUP($A28,'Parts List and Volumes'!$C$2:$W219,19,FALSE),"")</f>
        <v/>
      </c>
      <c r="AJ28" s="50" t="str">
        <f>IFERROR(VLOOKUP($A28,'Parts List and Volumes'!$C$2:$W219,20,FALSE),"")</f>
        <v/>
      </c>
      <c r="AK28" s="51" t="str">
        <f t="shared" si="7"/>
        <v/>
      </c>
      <c r="AL28" s="52" t="str">
        <f t="shared" si="7"/>
        <v/>
      </c>
      <c r="AM28" s="40" t="str">
        <f>IFERROR(VLOOKUP($A28,'Parts List and Volumes'!$C$2:$W219,21,FALSE),"")</f>
        <v/>
      </c>
      <c r="AN28" s="41" t="str">
        <f>IFERROR(VLOOKUP($A28,'Parts List and Volumes'!$C$2:$W219,22,FALSE),"")</f>
        <v/>
      </c>
      <c r="AO28" s="48" t="str">
        <f t="shared" si="8"/>
        <v/>
      </c>
      <c r="AP28" s="43" t="str">
        <f t="shared" si="8"/>
        <v/>
      </c>
      <c r="AQ28" s="49" t="str">
        <f>IFERROR(VLOOKUP($A28,'Parts List and Volumes'!$C$2:$W219,23,FALSE),"")</f>
        <v/>
      </c>
      <c r="AR28" s="50" t="str">
        <f>IFERROR(VLOOKUP($A28,'Parts List and Volumes'!$C$2:$W219,24,FALSE),"")</f>
        <v/>
      </c>
      <c r="AS28" s="51" t="str">
        <f t="shared" si="9"/>
        <v/>
      </c>
      <c r="AT28" s="52" t="str">
        <f t="shared" si="9"/>
        <v/>
      </c>
      <c r="AU28" s="40" t="str">
        <f>IFERROR(VLOOKUP($A28,'Parts List and Volumes'!$C$2:$W219,25,FALSE),"")</f>
        <v/>
      </c>
      <c r="AV28" s="41" t="str">
        <f>IFERROR(VLOOKUP($A28,'Parts List and Volumes'!$C$2:$W219,26,FALSE),"")</f>
        <v/>
      </c>
      <c r="AW28" s="48" t="str">
        <f t="shared" si="10"/>
        <v/>
      </c>
      <c r="AX28" s="43" t="str">
        <f t="shared" si="10"/>
        <v/>
      </c>
    </row>
    <row r="29" spans="1:50" x14ac:dyDescent="0.25">
      <c r="A29" s="23"/>
      <c r="B29" s="24"/>
      <c r="C29" s="20" t="str">
        <f>IFERROR(VLOOKUP(A29,'Parts List and Volumes'!C28:D220,2,FALSE),"")</f>
        <v/>
      </c>
      <c r="D29" s="39" t="str">
        <f>IFERROR(IF(VLOOKUP($A29,'Parts List and Volumes'!$C28:$F283,3,FALSE)=0,"",VLOOKUP(A29,'Parts List and Volumes'!C28:F283,3,FALSE)),"")</f>
        <v/>
      </c>
      <c r="E29" s="39" t="str">
        <f>IFERROR(IF(VLOOKUP($A29,'Parts List and Volumes'!$C28:$F283,4,FALSE)=0,"",VLOOKUP(B29,'Parts List and Volumes'!D28:G283,3,FALSE)),"")</f>
        <v/>
      </c>
      <c r="F29" s="26"/>
      <c r="G29" s="40" t="str">
        <f>IFERROR(VLOOKUP($A29,'Parts List and Volumes'!$C$2:$W220,5,FALSE),"")</f>
        <v/>
      </c>
      <c r="H29" s="41" t="str">
        <f>IFERROR(VLOOKUP($A29,'Parts List and Volumes'!$C$2:$W220,6,FALSE),"")</f>
        <v/>
      </c>
      <c r="I29" s="42" t="str">
        <f t="shared" si="0"/>
        <v/>
      </c>
      <c r="J29" s="43" t="str">
        <f t="shared" si="0"/>
        <v/>
      </c>
      <c r="K29" s="58" t="str">
        <f>IFERROR(VLOOKUP($A29,'Parts List and Volumes'!$C$2:$W220,7,FALSE),"")</f>
        <v/>
      </c>
      <c r="L29" s="45" t="str">
        <f>IFERROR(VLOOKUP($A29,'Parts List and Volumes'!$C$2:$W220,8,FALSE),"")</f>
        <v/>
      </c>
      <c r="M29" s="46" t="str">
        <f t="shared" si="1"/>
        <v/>
      </c>
      <c r="N29" s="47" t="str">
        <f t="shared" si="1"/>
        <v/>
      </c>
      <c r="O29" s="41" t="str">
        <f>IFERROR(VLOOKUP($A29,'Parts List and Volumes'!$C$2:$W220,9,FALSE),"")</f>
        <v/>
      </c>
      <c r="P29" s="41" t="str">
        <f>IFERROR(VLOOKUP($A29,'Parts List and Volumes'!$C$2:$W220,10,FALSE),"")</f>
        <v/>
      </c>
      <c r="Q29" s="48" t="str">
        <f t="shared" si="2"/>
        <v/>
      </c>
      <c r="R29" s="43" t="str">
        <f t="shared" si="2"/>
        <v/>
      </c>
      <c r="S29" s="44" t="str">
        <f>IFERROR(VLOOKUP($A29,'Parts List and Volumes'!$C$2:$W220,11,FALSE),"")</f>
        <v/>
      </c>
      <c r="T29" s="45" t="str">
        <f>IFERROR(VLOOKUP($A29,'Parts List and Volumes'!$C$2:$W220,12,FALSE),"")</f>
        <v/>
      </c>
      <c r="U29" s="46" t="str">
        <f t="shared" si="3"/>
        <v/>
      </c>
      <c r="V29" s="47" t="str">
        <f t="shared" si="3"/>
        <v/>
      </c>
      <c r="W29" s="40" t="str">
        <f>IFERROR(VLOOKUP($A29,'Parts List and Volumes'!$C$2:$W220,13,FALSE),"")</f>
        <v/>
      </c>
      <c r="X29" s="41" t="str">
        <f>IFERROR(VLOOKUP($A29,'Parts List and Volumes'!$C$2:$W220,14,FALSE),"")</f>
        <v/>
      </c>
      <c r="Y29" s="48" t="str">
        <f t="shared" si="4"/>
        <v/>
      </c>
      <c r="Z29" s="43" t="str">
        <f t="shared" si="4"/>
        <v/>
      </c>
      <c r="AA29" s="49" t="str">
        <f>IFERROR(VLOOKUP($A29,'Parts List and Volumes'!$C$2:$W220,15,FALSE),"")</f>
        <v/>
      </c>
      <c r="AB29" s="50" t="str">
        <f>IFERROR(VLOOKUP($A29,'Parts List and Volumes'!$C$2:$W220,16,FALSE),"")</f>
        <v/>
      </c>
      <c r="AC29" s="51" t="str">
        <f t="shared" si="5"/>
        <v/>
      </c>
      <c r="AD29" s="52" t="str">
        <f t="shared" si="5"/>
        <v/>
      </c>
      <c r="AE29" s="40" t="str">
        <f>IFERROR(VLOOKUP($A29,'Parts List and Volumes'!$C$2:$W220,17,FALSE),"")</f>
        <v/>
      </c>
      <c r="AF29" s="41" t="str">
        <f>IFERROR(VLOOKUP($A29,'Parts List and Volumes'!$C$2:$W220,18,FALSE),"")</f>
        <v/>
      </c>
      <c r="AG29" s="48" t="str">
        <f t="shared" si="6"/>
        <v/>
      </c>
      <c r="AH29" s="43" t="str">
        <f t="shared" si="6"/>
        <v/>
      </c>
      <c r="AI29" s="49" t="str">
        <f>IFERROR(VLOOKUP($A29,'Parts List and Volumes'!$C$2:$W220,19,FALSE),"")</f>
        <v/>
      </c>
      <c r="AJ29" s="50" t="str">
        <f>IFERROR(VLOOKUP($A29,'Parts List and Volumes'!$C$2:$W220,20,FALSE),"")</f>
        <v/>
      </c>
      <c r="AK29" s="51" t="str">
        <f t="shared" si="7"/>
        <v/>
      </c>
      <c r="AL29" s="52" t="str">
        <f t="shared" si="7"/>
        <v/>
      </c>
      <c r="AM29" s="40" t="str">
        <f>IFERROR(VLOOKUP($A29,'Parts List and Volumes'!$C$2:$W220,21,FALSE),"")</f>
        <v/>
      </c>
      <c r="AN29" s="41" t="str">
        <f>IFERROR(VLOOKUP($A29,'Parts List and Volumes'!$C$2:$W220,22,FALSE),"")</f>
        <v/>
      </c>
      <c r="AO29" s="48" t="str">
        <f t="shared" si="8"/>
        <v/>
      </c>
      <c r="AP29" s="43" t="str">
        <f t="shared" si="8"/>
        <v/>
      </c>
      <c r="AQ29" s="49" t="str">
        <f>IFERROR(VLOOKUP($A29,'Parts List and Volumes'!$C$2:$W220,23,FALSE),"")</f>
        <v/>
      </c>
      <c r="AR29" s="50" t="str">
        <f>IFERROR(VLOOKUP($A29,'Parts List and Volumes'!$C$2:$W220,24,FALSE),"")</f>
        <v/>
      </c>
      <c r="AS29" s="51" t="str">
        <f t="shared" si="9"/>
        <v/>
      </c>
      <c r="AT29" s="52" t="str">
        <f t="shared" si="9"/>
        <v/>
      </c>
      <c r="AU29" s="40" t="str">
        <f>IFERROR(VLOOKUP($A29,'Parts List and Volumes'!$C$2:$W220,25,FALSE),"")</f>
        <v/>
      </c>
      <c r="AV29" s="41" t="str">
        <f>IFERROR(VLOOKUP($A29,'Parts List and Volumes'!$C$2:$W220,26,FALSE),"")</f>
        <v/>
      </c>
      <c r="AW29" s="48" t="str">
        <f t="shared" si="10"/>
        <v/>
      </c>
      <c r="AX29" s="43" t="str">
        <f t="shared" si="10"/>
        <v/>
      </c>
    </row>
    <row r="30" spans="1:50" x14ac:dyDescent="0.25">
      <c r="A30" s="23"/>
      <c r="B30" s="24"/>
      <c r="C30" s="20" t="str">
        <f>IFERROR(VLOOKUP(A30,'Parts List and Volumes'!C29:D221,2,FALSE),"")</f>
        <v/>
      </c>
      <c r="D30" s="39" t="str">
        <f>IFERROR(IF(VLOOKUP($A30,'Parts List and Volumes'!$C29:$F284,3,FALSE)=0,"",VLOOKUP(A30,'Parts List and Volumes'!C29:F284,3,FALSE)),"")</f>
        <v/>
      </c>
      <c r="E30" s="39" t="str">
        <f>IFERROR(IF(VLOOKUP($A30,'Parts List and Volumes'!$C29:$F284,4,FALSE)=0,"",VLOOKUP(B30,'Parts List and Volumes'!D29:G284,3,FALSE)),"")</f>
        <v/>
      </c>
      <c r="F30" s="26"/>
      <c r="G30" s="40" t="str">
        <f>IFERROR(VLOOKUP($A30,'Parts List and Volumes'!$C$2:$W221,5,FALSE),"")</f>
        <v/>
      </c>
      <c r="H30" s="41" t="str">
        <f>IFERROR(VLOOKUP($A30,'Parts List and Volumes'!$C$2:$W221,6,FALSE),"")</f>
        <v/>
      </c>
      <c r="I30" s="42" t="str">
        <f t="shared" si="0"/>
        <v/>
      </c>
      <c r="J30" s="43" t="str">
        <f t="shared" si="0"/>
        <v/>
      </c>
      <c r="K30" s="58" t="str">
        <f>IFERROR(VLOOKUP($A30,'Parts List and Volumes'!$C$2:$W221,7,FALSE),"")</f>
        <v/>
      </c>
      <c r="L30" s="45" t="str">
        <f>IFERROR(VLOOKUP($A30,'Parts List and Volumes'!$C$2:$W221,8,FALSE),"")</f>
        <v/>
      </c>
      <c r="M30" s="46" t="str">
        <f t="shared" si="1"/>
        <v/>
      </c>
      <c r="N30" s="47" t="str">
        <f t="shared" si="1"/>
        <v/>
      </c>
      <c r="O30" s="41" t="str">
        <f>IFERROR(VLOOKUP($A30,'Parts List and Volumes'!$C$2:$W221,9,FALSE),"")</f>
        <v/>
      </c>
      <c r="P30" s="41" t="str">
        <f>IFERROR(VLOOKUP($A30,'Parts List and Volumes'!$C$2:$W221,10,FALSE),"")</f>
        <v/>
      </c>
      <c r="Q30" s="48" t="str">
        <f t="shared" si="2"/>
        <v/>
      </c>
      <c r="R30" s="43" t="str">
        <f t="shared" si="2"/>
        <v/>
      </c>
      <c r="S30" s="44" t="str">
        <f>IFERROR(VLOOKUP($A30,'Parts List and Volumes'!$C$2:$W221,11,FALSE),"")</f>
        <v/>
      </c>
      <c r="T30" s="45" t="str">
        <f>IFERROR(VLOOKUP($A30,'Parts List and Volumes'!$C$2:$W221,12,FALSE),"")</f>
        <v/>
      </c>
      <c r="U30" s="46" t="str">
        <f t="shared" si="3"/>
        <v/>
      </c>
      <c r="V30" s="47" t="str">
        <f t="shared" si="3"/>
        <v/>
      </c>
      <c r="W30" s="40" t="str">
        <f>IFERROR(VLOOKUP($A30,'Parts List and Volumes'!$C$2:$W221,13,FALSE),"")</f>
        <v/>
      </c>
      <c r="X30" s="41" t="str">
        <f>IFERROR(VLOOKUP($A30,'Parts List and Volumes'!$C$2:$W221,14,FALSE),"")</f>
        <v/>
      </c>
      <c r="Y30" s="48" t="str">
        <f t="shared" si="4"/>
        <v/>
      </c>
      <c r="Z30" s="43" t="str">
        <f t="shared" si="4"/>
        <v/>
      </c>
      <c r="AA30" s="49" t="str">
        <f>IFERROR(VLOOKUP($A30,'Parts List and Volumes'!$C$2:$W221,15,FALSE),"")</f>
        <v/>
      </c>
      <c r="AB30" s="50" t="str">
        <f>IFERROR(VLOOKUP($A30,'Parts List and Volumes'!$C$2:$W221,16,FALSE),"")</f>
        <v/>
      </c>
      <c r="AC30" s="51" t="str">
        <f t="shared" si="5"/>
        <v/>
      </c>
      <c r="AD30" s="52" t="str">
        <f t="shared" si="5"/>
        <v/>
      </c>
      <c r="AE30" s="40" t="str">
        <f>IFERROR(VLOOKUP($A30,'Parts List and Volumes'!$C$2:$W221,17,FALSE),"")</f>
        <v/>
      </c>
      <c r="AF30" s="41" t="str">
        <f>IFERROR(VLOOKUP($A30,'Parts List and Volumes'!$C$2:$W221,18,FALSE),"")</f>
        <v/>
      </c>
      <c r="AG30" s="48" t="str">
        <f t="shared" si="6"/>
        <v/>
      </c>
      <c r="AH30" s="43" t="str">
        <f t="shared" si="6"/>
        <v/>
      </c>
      <c r="AI30" s="49" t="str">
        <f>IFERROR(VLOOKUP($A30,'Parts List and Volumes'!$C$2:$W221,19,FALSE),"")</f>
        <v/>
      </c>
      <c r="AJ30" s="50" t="str">
        <f>IFERROR(VLOOKUP($A30,'Parts List and Volumes'!$C$2:$W221,20,FALSE),"")</f>
        <v/>
      </c>
      <c r="AK30" s="51" t="str">
        <f t="shared" si="7"/>
        <v/>
      </c>
      <c r="AL30" s="52" t="str">
        <f t="shared" si="7"/>
        <v/>
      </c>
      <c r="AM30" s="40" t="str">
        <f>IFERROR(VLOOKUP($A30,'Parts List and Volumes'!$C$2:$W221,21,FALSE),"")</f>
        <v/>
      </c>
      <c r="AN30" s="41" t="str">
        <f>IFERROR(VLOOKUP($A30,'Parts List and Volumes'!$C$2:$W221,22,FALSE),"")</f>
        <v/>
      </c>
      <c r="AO30" s="48" t="str">
        <f t="shared" si="8"/>
        <v/>
      </c>
      <c r="AP30" s="43" t="str">
        <f t="shared" si="8"/>
        <v/>
      </c>
      <c r="AQ30" s="49" t="str">
        <f>IFERROR(VLOOKUP($A30,'Parts List and Volumes'!$C$2:$W221,23,FALSE),"")</f>
        <v/>
      </c>
      <c r="AR30" s="50" t="str">
        <f>IFERROR(VLOOKUP($A30,'Parts List and Volumes'!$C$2:$W221,24,FALSE),"")</f>
        <v/>
      </c>
      <c r="AS30" s="51" t="str">
        <f t="shared" si="9"/>
        <v/>
      </c>
      <c r="AT30" s="52" t="str">
        <f t="shared" si="9"/>
        <v/>
      </c>
      <c r="AU30" s="40" t="str">
        <f>IFERROR(VLOOKUP($A30,'Parts List and Volumes'!$C$2:$W221,25,FALSE),"")</f>
        <v/>
      </c>
      <c r="AV30" s="41" t="str">
        <f>IFERROR(VLOOKUP($A30,'Parts List and Volumes'!$C$2:$W221,26,FALSE),"")</f>
        <v/>
      </c>
      <c r="AW30" s="48" t="str">
        <f t="shared" si="10"/>
        <v/>
      </c>
      <c r="AX30" s="43" t="str">
        <f t="shared" si="10"/>
        <v/>
      </c>
    </row>
    <row r="31" spans="1:50" x14ac:dyDescent="0.25">
      <c r="A31" s="23"/>
      <c r="B31" s="24"/>
      <c r="C31" s="20" t="str">
        <f>IFERROR(VLOOKUP(A31,'Parts List and Volumes'!C30:D222,2,FALSE),"")</f>
        <v/>
      </c>
      <c r="D31" s="39" t="str">
        <f>IFERROR(IF(VLOOKUP($A31,'Parts List and Volumes'!$C30:$F285,3,FALSE)=0,"",VLOOKUP(A31,'Parts List and Volumes'!C30:F285,3,FALSE)),"")</f>
        <v/>
      </c>
      <c r="E31" s="39" t="str">
        <f>IFERROR(IF(VLOOKUP($A31,'Parts List and Volumes'!$C30:$F285,4,FALSE)=0,"",VLOOKUP(B31,'Parts List and Volumes'!D30:G285,3,FALSE)),"")</f>
        <v/>
      </c>
      <c r="F31" s="26"/>
      <c r="G31" s="40" t="str">
        <f>IFERROR(VLOOKUP($A31,'Parts List and Volumes'!$C$2:$W222,5,FALSE),"")</f>
        <v/>
      </c>
      <c r="H31" s="41" t="str">
        <f>IFERROR(VLOOKUP($A31,'Parts List and Volumes'!$C$2:$W222,6,FALSE),"")</f>
        <v/>
      </c>
      <c r="I31" s="42" t="str">
        <f t="shared" si="0"/>
        <v/>
      </c>
      <c r="J31" s="43" t="str">
        <f t="shared" si="0"/>
        <v/>
      </c>
      <c r="K31" s="58" t="str">
        <f>IFERROR(VLOOKUP($A31,'Parts List and Volumes'!$C$2:$W222,7,FALSE),"")</f>
        <v/>
      </c>
      <c r="L31" s="45" t="str">
        <f>IFERROR(VLOOKUP($A31,'Parts List and Volumes'!$C$2:$W222,8,FALSE),"")</f>
        <v/>
      </c>
      <c r="M31" s="46" t="str">
        <f t="shared" si="1"/>
        <v/>
      </c>
      <c r="N31" s="47" t="str">
        <f t="shared" si="1"/>
        <v/>
      </c>
      <c r="O31" s="41" t="str">
        <f>IFERROR(VLOOKUP($A31,'Parts List and Volumes'!$C$2:$W222,9,FALSE),"")</f>
        <v/>
      </c>
      <c r="P31" s="41" t="str">
        <f>IFERROR(VLOOKUP($A31,'Parts List and Volumes'!$C$2:$W222,10,FALSE),"")</f>
        <v/>
      </c>
      <c r="Q31" s="48" t="str">
        <f t="shared" si="2"/>
        <v/>
      </c>
      <c r="R31" s="43" t="str">
        <f t="shared" si="2"/>
        <v/>
      </c>
      <c r="S31" s="44" t="str">
        <f>IFERROR(VLOOKUP($A31,'Parts List and Volumes'!$C$2:$W222,11,FALSE),"")</f>
        <v/>
      </c>
      <c r="T31" s="45" t="str">
        <f>IFERROR(VLOOKUP($A31,'Parts List and Volumes'!$C$2:$W222,12,FALSE),"")</f>
        <v/>
      </c>
      <c r="U31" s="46" t="str">
        <f t="shared" si="3"/>
        <v/>
      </c>
      <c r="V31" s="47" t="str">
        <f t="shared" si="3"/>
        <v/>
      </c>
      <c r="W31" s="40" t="str">
        <f>IFERROR(VLOOKUP($A31,'Parts List and Volumes'!$C$2:$W222,13,FALSE),"")</f>
        <v/>
      </c>
      <c r="X31" s="41" t="str">
        <f>IFERROR(VLOOKUP($A31,'Parts List and Volumes'!$C$2:$W222,14,FALSE),"")</f>
        <v/>
      </c>
      <c r="Y31" s="48" t="str">
        <f t="shared" si="4"/>
        <v/>
      </c>
      <c r="Z31" s="43" t="str">
        <f t="shared" si="4"/>
        <v/>
      </c>
      <c r="AA31" s="49" t="str">
        <f>IFERROR(VLOOKUP($A31,'Parts List and Volumes'!$C$2:$W222,15,FALSE),"")</f>
        <v/>
      </c>
      <c r="AB31" s="50" t="str">
        <f>IFERROR(VLOOKUP($A31,'Parts List and Volumes'!$C$2:$W222,16,FALSE),"")</f>
        <v/>
      </c>
      <c r="AC31" s="51" t="str">
        <f t="shared" si="5"/>
        <v/>
      </c>
      <c r="AD31" s="52" t="str">
        <f t="shared" si="5"/>
        <v/>
      </c>
      <c r="AE31" s="40" t="str">
        <f>IFERROR(VLOOKUP($A31,'Parts List and Volumes'!$C$2:$W222,17,FALSE),"")</f>
        <v/>
      </c>
      <c r="AF31" s="41" t="str">
        <f>IFERROR(VLOOKUP($A31,'Parts List and Volumes'!$C$2:$W222,18,FALSE),"")</f>
        <v/>
      </c>
      <c r="AG31" s="48" t="str">
        <f t="shared" si="6"/>
        <v/>
      </c>
      <c r="AH31" s="43" t="str">
        <f t="shared" si="6"/>
        <v/>
      </c>
      <c r="AI31" s="49" t="str">
        <f>IFERROR(VLOOKUP($A31,'Parts List and Volumes'!$C$2:$W222,19,FALSE),"")</f>
        <v/>
      </c>
      <c r="AJ31" s="50" t="str">
        <f>IFERROR(VLOOKUP($A31,'Parts List and Volumes'!$C$2:$W222,20,FALSE),"")</f>
        <v/>
      </c>
      <c r="AK31" s="51" t="str">
        <f t="shared" si="7"/>
        <v/>
      </c>
      <c r="AL31" s="52" t="str">
        <f t="shared" si="7"/>
        <v/>
      </c>
      <c r="AM31" s="40" t="str">
        <f>IFERROR(VLOOKUP($A31,'Parts List and Volumes'!$C$2:$W222,21,FALSE),"")</f>
        <v/>
      </c>
      <c r="AN31" s="41" t="str">
        <f>IFERROR(VLOOKUP($A31,'Parts List and Volumes'!$C$2:$W222,22,FALSE),"")</f>
        <v/>
      </c>
      <c r="AO31" s="48" t="str">
        <f t="shared" si="8"/>
        <v/>
      </c>
      <c r="AP31" s="43" t="str">
        <f t="shared" si="8"/>
        <v/>
      </c>
      <c r="AQ31" s="49" t="str">
        <f>IFERROR(VLOOKUP($A31,'Parts List and Volumes'!$C$2:$W222,23,FALSE),"")</f>
        <v/>
      </c>
      <c r="AR31" s="50" t="str">
        <f>IFERROR(VLOOKUP($A31,'Parts List and Volumes'!$C$2:$W222,24,FALSE),"")</f>
        <v/>
      </c>
      <c r="AS31" s="51" t="str">
        <f t="shared" si="9"/>
        <v/>
      </c>
      <c r="AT31" s="52" t="str">
        <f t="shared" si="9"/>
        <v/>
      </c>
      <c r="AU31" s="40" t="str">
        <f>IFERROR(VLOOKUP($A31,'Parts List and Volumes'!$C$2:$W222,25,FALSE),"")</f>
        <v/>
      </c>
      <c r="AV31" s="41" t="str">
        <f>IFERROR(VLOOKUP($A31,'Parts List and Volumes'!$C$2:$W222,26,FALSE),"")</f>
        <v/>
      </c>
      <c r="AW31" s="48" t="str">
        <f t="shared" si="10"/>
        <v/>
      </c>
      <c r="AX31" s="43" t="str">
        <f t="shared" si="10"/>
        <v/>
      </c>
    </row>
    <row r="32" spans="1:50" x14ac:dyDescent="0.25">
      <c r="A32" s="23"/>
      <c r="B32" s="24"/>
      <c r="C32" s="20" t="str">
        <f>IFERROR(VLOOKUP(A32,'Parts List and Volumes'!C31:D223,2,FALSE),"")</f>
        <v/>
      </c>
      <c r="D32" s="39" t="str">
        <f>IFERROR(IF(VLOOKUP($A32,'Parts List and Volumes'!$C31:$F286,3,FALSE)=0,"",VLOOKUP(A32,'Parts List and Volumes'!C31:F286,3,FALSE)),"")</f>
        <v/>
      </c>
      <c r="E32" s="39" t="str">
        <f>IFERROR(IF(VLOOKUP($A32,'Parts List and Volumes'!$C31:$F286,4,FALSE)=0,"",VLOOKUP(B32,'Parts List and Volumes'!D31:G286,3,FALSE)),"")</f>
        <v/>
      </c>
      <c r="F32" s="26"/>
      <c r="G32" s="40" t="str">
        <f>IFERROR(VLOOKUP($A32,'Parts List and Volumes'!$C$2:$W223,5,FALSE),"")</f>
        <v/>
      </c>
      <c r="H32" s="41" t="str">
        <f>IFERROR(VLOOKUP($A32,'Parts List and Volumes'!$C$2:$W223,6,FALSE),"")</f>
        <v/>
      </c>
      <c r="I32" s="42" t="str">
        <f t="shared" si="0"/>
        <v/>
      </c>
      <c r="J32" s="43" t="str">
        <f t="shared" si="0"/>
        <v/>
      </c>
      <c r="K32" s="58" t="str">
        <f>IFERROR(VLOOKUP($A32,'Parts List and Volumes'!$C$2:$W223,7,FALSE),"")</f>
        <v/>
      </c>
      <c r="L32" s="45" t="str">
        <f>IFERROR(VLOOKUP($A32,'Parts List and Volumes'!$C$2:$W223,8,FALSE),"")</f>
        <v/>
      </c>
      <c r="M32" s="46" t="str">
        <f t="shared" si="1"/>
        <v/>
      </c>
      <c r="N32" s="47" t="str">
        <f t="shared" si="1"/>
        <v/>
      </c>
      <c r="O32" s="41" t="str">
        <f>IFERROR(VLOOKUP($A32,'Parts List and Volumes'!$C$2:$W223,9,FALSE),"")</f>
        <v/>
      </c>
      <c r="P32" s="41" t="str">
        <f>IFERROR(VLOOKUP($A32,'Parts List and Volumes'!$C$2:$W223,10,FALSE),"")</f>
        <v/>
      </c>
      <c r="Q32" s="48" t="str">
        <f t="shared" si="2"/>
        <v/>
      </c>
      <c r="R32" s="43" t="str">
        <f t="shared" si="2"/>
        <v/>
      </c>
      <c r="S32" s="44" t="str">
        <f>IFERROR(VLOOKUP($A32,'Parts List and Volumes'!$C$2:$W223,11,FALSE),"")</f>
        <v/>
      </c>
      <c r="T32" s="45" t="str">
        <f>IFERROR(VLOOKUP($A32,'Parts List and Volumes'!$C$2:$W223,12,FALSE),"")</f>
        <v/>
      </c>
      <c r="U32" s="46" t="str">
        <f t="shared" si="3"/>
        <v/>
      </c>
      <c r="V32" s="47" t="str">
        <f t="shared" si="3"/>
        <v/>
      </c>
      <c r="W32" s="40" t="str">
        <f>IFERROR(VLOOKUP($A32,'Parts List and Volumes'!$C$2:$W223,13,FALSE),"")</f>
        <v/>
      </c>
      <c r="X32" s="41" t="str">
        <f>IFERROR(VLOOKUP($A32,'Parts List and Volumes'!$C$2:$W223,14,FALSE),"")</f>
        <v/>
      </c>
      <c r="Y32" s="48" t="str">
        <f t="shared" si="4"/>
        <v/>
      </c>
      <c r="Z32" s="43" t="str">
        <f t="shared" si="4"/>
        <v/>
      </c>
      <c r="AA32" s="49" t="str">
        <f>IFERROR(VLOOKUP($A32,'Parts List and Volumes'!$C$2:$W223,15,FALSE),"")</f>
        <v/>
      </c>
      <c r="AB32" s="50" t="str">
        <f>IFERROR(VLOOKUP($A32,'Parts List and Volumes'!$C$2:$W223,16,FALSE),"")</f>
        <v/>
      </c>
      <c r="AC32" s="51" t="str">
        <f t="shared" si="5"/>
        <v/>
      </c>
      <c r="AD32" s="52" t="str">
        <f t="shared" si="5"/>
        <v/>
      </c>
      <c r="AE32" s="40" t="str">
        <f>IFERROR(VLOOKUP($A32,'Parts List and Volumes'!$C$2:$W223,17,FALSE),"")</f>
        <v/>
      </c>
      <c r="AF32" s="41" t="str">
        <f>IFERROR(VLOOKUP($A32,'Parts List and Volumes'!$C$2:$W223,18,FALSE),"")</f>
        <v/>
      </c>
      <c r="AG32" s="48" t="str">
        <f t="shared" si="6"/>
        <v/>
      </c>
      <c r="AH32" s="43" t="str">
        <f t="shared" si="6"/>
        <v/>
      </c>
      <c r="AI32" s="49" t="str">
        <f>IFERROR(VLOOKUP($A32,'Parts List and Volumes'!$C$2:$W223,19,FALSE),"")</f>
        <v/>
      </c>
      <c r="AJ32" s="50" t="str">
        <f>IFERROR(VLOOKUP($A32,'Parts List and Volumes'!$C$2:$W223,20,FALSE),"")</f>
        <v/>
      </c>
      <c r="AK32" s="51" t="str">
        <f t="shared" si="7"/>
        <v/>
      </c>
      <c r="AL32" s="52" t="str">
        <f t="shared" si="7"/>
        <v/>
      </c>
      <c r="AM32" s="40" t="str">
        <f>IFERROR(VLOOKUP($A32,'Parts List and Volumes'!$C$2:$W223,21,FALSE),"")</f>
        <v/>
      </c>
      <c r="AN32" s="41" t="str">
        <f>IFERROR(VLOOKUP($A32,'Parts List and Volumes'!$C$2:$W223,22,FALSE),"")</f>
        <v/>
      </c>
      <c r="AO32" s="48" t="str">
        <f t="shared" si="8"/>
        <v/>
      </c>
      <c r="AP32" s="43" t="str">
        <f t="shared" si="8"/>
        <v/>
      </c>
      <c r="AQ32" s="49" t="str">
        <f>IFERROR(VLOOKUP($A32,'Parts List and Volumes'!$C$2:$W223,23,FALSE),"")</f>
        <v/>
      </c>
      <c r="AR32" s="50" t="str">
        <f>IFERROR(VLOOKUP($A32,'Parts List and Volumes'!$C$2:$W223,24,FALSE),"")</f>
        <v/>
      </c>
      <c r="AS32" s="51" t="str">
        <f t="shared" si="9"/>
        <v/>
      </c>
      <c r="AT32" s="52" t="str">
        <f t="shared" si="9"/>
        <v/>
      </c>
      <c r="AU32" s="40" t="str">
        <f>IFERROR(VLOOKUP($A32,'Parts List and Volumes'!$C$2:$W223,25,FALSE),"")</f>
        <v/>
      </c>
      <c r="AV32" s="41" t="str">
        <f>IFERROR(VLOOKUP($A32,'Parts List and Volumes'!$C$2:$W223,26,FALSE),"")</f>
        <v/>
      </c>
      <c r="AW32" s="48" t="str">
        <f t="shared" si="10"/>
        <v/>
      </c>
      <c r="AX32" s="43" t="str">
        <f t="shared" si="10"/>
        <v/>
      </c>
    </row>
    <row r="33" spans="1:50" x14ac:dyDescent="0.25">
      <c r="A33" s="23"/>
      <c r="B33" s="24"/>
      <c r="C33" s="20" t="str">
        <f>IFERROR(VLOOKUP(A33,'Parts List and Volumes'!C32:D224,2,FALSE),"")</f>
        <v/>
      </c>
      <c r="D33" s="39" t="str">
        <f>IFERROR(IF(VLOOKUP($A33,'Parts List and Volumes'!$C32:$F287,3,FALSE)=0,"",VLOOKUP(A33,'Parts List and Volumes'!C32:F287,3,FALSE)),"")</f>
        <v/>
      </c>
      <c r="E33" s="39" t="str">
        <f>IFERROR(IF(VLOOKUP($A33,'Parts List and Volumes'!$C32:$F287,4,FALSE)=0,"",VLOOKUP(B33,'Parts List and Volumes'!D32:G287,3,FALSE)),"")</f>
        <v/>
      </c>
      <c r="F33" s="26"/>
      <c r="G33" s="40" t="str">
        <f>IFERROR(VLOOKUP($A33,'Parts List and Volumes'!$C$2:$W224,5,FALSE),"")</f>
        <v/>
      </c>
      <c r="H33" s="41" t="str">
        <f>IFERROR(VLOOKUP($A33,'Parts List and Volumes'!$C$2:$W224,6,FALSE),"")</f>
        <v/>
      </c>
      <c r="I33" s="42" t="str">
        <f t="shared" si="0"/>
        <v/>
      </c>
      <c r="J33" s="43" t="str">
        <f t="shared" si="0"/>
        <v/>
      </c>
      <c r="K33" s="58" t="str">
        <f>IFERROR(VLOOKUP($A33,'Parts List and Volumes'!$C$2:$W224,7,FALSE),"")</f>
        <v/>
      </c>
      <c r="L33" s="45" t="str">
        <f>IFERROR(VLOOKUP($A33,'Parts List and Volumes'!$C$2:$W224,8,FALSE),"")</f>
        <v/>
      </c>
      <c r="M33" s="46" t="str">
        <f t="shared" si="1"/>
        <v/>
      </c>
      <c r="N33" s="47" t="str">
        <f t="shared" si="1"/>
        <v/>
      </c>
      <c r="O33" s="41" t="str">
        <f>IFERROR(VLOOKUP($A33,'Parts List and Volumes'!$C$2:$W224,9,FALSE),"")</f>
        <v/>
      </c>
      <c r="P33" s="41" t="str">
        <f>IFERROR(VLOOKUP($A33,'Parts List and Volumes'!$C$2:$W224,10,FALSE),"")</f>
        <v/>
      </c>
      <c r="Q33" s="48" t="str">
        <f t="shared" si="2"/>
        <v/>
      </c>
      <c r="R33" s="43" t="str">
        <f t="shared" si="2"/>
        <v/>
      </c>
      <c r="S33" s="44" t="str">
        <f>IFERROR(VLOOKUP($A33,'Parts List and Volumes'!$C$2:$W224,11,FALSE),"")</f>
        <v/>
      </c>
      <c r="T33" s="45" t="str">
        <f>IFERROR(VLOOKUP($A33,'Parts List and Volumes'!$C$2:$W224,12,FALSE),"")</f>
        <v/>
      </c>
      <c r="U33" s="46" t="str">
        <f t="shared" si="3"/>
        <v/>
      </c>
      <c r="V33" s="47" t="str">
        <f t="shared" si="3"/>
        <v/>
      </c>
      <c r="W33" s="40" t="str">
        <f>IFERROR(VLOOKUP($A33,'Parts List and Volumes'!$C$2:$W224,13,FALSE),"")</f>
        <v/>
      </c>
      <c r="X33" s="41" t="str">
        <f>IFERROR(VLOOKUP($A33,'Parts List and Volumes'!$C$2:$W224,14,FALSE),"")</f>
        <v/>
      </c>
      <c r="Y33" s="48" t="str">
        <f t="shared" si="4"/>
        <v/>
      </c>
      <c r="Z33" s="43" t="str">
        <f t="shared" si="4"/>
        <v/>
      </c>
      <c r="AA33" s="49" t="str">
        <f>IFERROR(VLOOKUP($A33,'Parts List and Volumes'!$C$2:$W224,15,FALSE),"")</f>
        <v/>
      </c>
      <c r="AB33" s="50" t="str">
        <f>IFERROR(VLOOKUP($A33,'Parts List and Volumes'!$C$2:$W224,16,FALSE),"")</f>
        <v/>
      </c>
      <c r="AC33" s="51" t="str">
        <f t="shared" si="5"/>
        <v/>
      </c>
      <c r="AD33" s="52" t="str">
        <f t="shared" si="5"/>
        <v/>
      </c>
      <c r="AE33" s="40" t="str">
        <f>IFERROR(VLOOKUP($A33,'Parts List and Volumes'!$C$2:$W224,17,FALSE),"")</f>
        <v/>
      </c>
      <c r="AF33" s="41" t="str">
        <f>IFERROR(VLOOKUP($A33,'Parts List and Volumes'!$C$2:$W224,18,FALSE),"")</f>
        <v/>
      </c>
      <c r="AG33" s="48" t="str">
        <f t="shared" si="6"/>
        <v/>
      </c>
      <c r="AH33" s="43" t="str">
        <f t="shared" si="6"/>
        <v/>
      </c>
      <c r="AI33" s="49" t="str">
        <f>IFERROR(VLOOKUP($A33,'Parts List and Volumes'!$C$2:$W224,19,FALSE),"")</f>
        <v/>
      </c>
      <c r="AJ33" s="50" t="str">
        <f>IFERROR(VLOOKUP($A33,'Parts List and Volumes'!$C$2:$W224,20,FALSE),"")</f>
        <v/>
      </c>
      <c r="AK33" s="51" t="str">
        <f t="shared" si="7"/>
        <v/>
      </c>
      <c r="AL33" s="52" t="str">
        <f t="shared" si="7"/>
        <v/>
      </c>
      <c r="AM33" s="40" t="str">
        <f>IFERROR(VLOOKUP($A33,'Parts List and Volumes'!$C$2:$W224,21,FALSE),"")</f>
        <v/>
      </c>
      <c r="AN33" s="41" t="str">
        <f>IFERROR(VLOOKUP($A33,'Parts List and Volumes'!$C$2:$W224,22,FALSE),"")</f>
        <v/>
      </c>
      <c r="AO33" s="48" t="str">
        <f t="shared" si="8"/>
        <v/>
      </c>
      <c r="AP33" s="43" t="str">
        <f t="shared" si="8"/>
        <v/>
      </c>
      <c r="AQ33" s="49" t="str">
        <f>IFERROR(VLOOKUP($A33,'Parts List and Volumes'!$C$2:$W224,23,FALSE),"")</f>
        <v/>
      </c>
      <c r="AR33" s="50" t="str">
        <f>IFERROR(VLOOKUP($A33,'Parts List and Volumes'!$C$2:$W224,24,FALSE),"")</f>
        <v/>
      </c>
      <c r="AS33" s="51" t="str">
        <f t="shared" si="9"/>
        <v/>
      </c>
      <c r="AT33" s="52" t="str">
        <f t="shared" si="9"/>
        <v/>
      </c>
      <c r="AU33" s="40" t="str">
        <f>IFERROR(VLOOKUP($A33,'Parts List and Volumes'!$C$2:$W224,25,FALSE),"")</f>
        <v/>
      </c>
      <c r="AV33" s="41" t="str">
        <f>IFERROR(VLOOKUP($A33,'Parts List and Volumes'!$C$2:$W224,26,FALSE),"")</f>
        <v/>
      </c>
      <c r="AW33" s="48" t="str">
        <f t="shared" si="10"/>
        <v/>
      </c>
      <c r="AX33" s="43" t="str">
        <f t="shared" si="10"/>
        <v/>
      </c>
    </row>
    <row r="34" spans="1:50" x14ac:dyDescent="0.25">
      <c r="A34" s="23"/>
      <c r="B34" s="24"/>
      <c r="C34" s="20" t="str">
        <f>IFERROR(VLOOKUP(A34,'Parts List and Volumes'!C33:D225,2,FALSE),"")</f>
        <v/>
      </c>
      <c r="D34" s="39" t="str">
        <f>IFERROR(IF(VLOOKUP($A34,'Parts List and Volumes'!$C33:$F288,3,FALSE)=0,"",VLOOKUP(A34,'Parts List and Volumes'!C33:F288,3,FALSE)),"")</f>
        <v/>
      </c>
      <c r="E34" s="39" t="str">
        <f>IFERROR(IF(VLOOKUP($A34,'Parts List and Volumes'!$C33:$F288,4,FALSE)=0,"",VLOOKUP(B34,'Parts List and Volumes'!D33:G288,3,FALSE)),"")</f>
        <v/>
      </c>
      <c r="F34" s="26"/>
      <c r="G34" s="40" t="str">
        <f>IFERROR(VLOOKUP($A34,'Parts List and Volumes'!$C$2:$W225,5,FALSE),"")</f>
        <v/>
      </c>
      <c r="H34" s="41" t="str">
        <f>IFERROR(VLOOKUP($A34,'Parts List and Volumes'!$C$2:$W225,6,FALSE),"")</f>
        <v/>
      </c>
      <c r="I34" s="42" t="str">
        <f t="shared" si="0"/>
        <v/>
      </c>
      <c r="J34" s="43" t="str">
        <f t="shared" si="0"/>
        <v/>
      </c>
      <c r="K34" s="58" t="str">
        <f>IFERROR(VLOOKUP($A34,'Parts List and Volumes'!$C$2:$W225,7,FALSE),"")</f>
        <v/>
      </c>
      <c r="L34" s="45" t="str">
        <f>IFERROR(VLOOKUP($A34,'Parts List and Volumes'!$C$2:$W225,8,FALSE),"")</f>
        <v/>
      </c>
      <c r="M34" s="46" t="str">
        <f t="shared" si="1"/>
        <v/>
      </c>
      <c r="N34" s="47" t="str">
        <f t="shared" si="1"/>
        <v/>
      </c>
      <c r="O34" s="41" t="str">
        <f>IFERROR(VLOOKUP($A34,'Parts List and Volumes'!$C$2:$W225,9,FALSE),"")</f>
        <v/>
      </c>
      <c r="P34" s="41" t="str">
        <f>IFERROR(VLOOKUP($A34,'Parts List and Volumes'!$C$2:$W225,10,FALSE),"")</f>
        <v/>
      </c>
      <c r="Q34" s="48" t="str">
        <f t="shared" si="2"/>
        <v/>
      </c>
      <c r="R34" s="43" t="str">
        <f t="shared" si="2"/>
        <v/>
      </c>
      <c r="S34" s="44" t="str">
        <f>IFERROR(VLOOKUP($A34,'Parts List and Volumes'!$C$2:$W225,11,FALSE),"")</f>
        <v/>
      </c>
      <c r="T34" s="45" t="str">
        <f>IFERROR(VLOOKUP($A34,'Parts List and Volumes'!$C$2:$W225,12,FALSE),"")</f>
        <v/>
      </c>
      <c r="U34" s="46" t="str">
        <f t="shared" si="3"/>
        <v/>
      </c>
      <c r="V34" s="47" t="str">
        <f t="shared" si="3"/>
        <v/>
      </c>
      <c r="W34" s="40" t="str">
        <f>IFERROR(VLOOKUP($A34,'Parts List and Volumes'!$C$2:$W225,13,FALSE),"")</f>
        <v/>
      </c>
      <c r="X34" s="41" t="str">
        <f>IFERROR(VLOOKUP($A34,'Parts List and Volumes'!$C$2:$W225,14,FALSE),"")</f>
        <v/>
      </c>
      <c r="Y34" s="48" t="str">
        <f t="shared" si="4"/>
        <v/>
      </c>
      <c r="Z34" s="43" t="str">
        <f t="shared" si="4"/>
        <v/>
      </c>
      <c r="AA34" s="49" t="str">
        <f>IFERROR(VLOOKUP($A34,'Parts List and Volumes'!$C$2:$W225,15,FALSE),"")</f>
        <v/>
      </c>
      <c r="AB34" s="50" t="str">
        <f>IFERROR(VLOOKUP($A34,'Parts List and Volumes'!$C$2:$W225,16,FALSE),"")</f>
        <v/>
      </c>
      <c r="AC34" s="51" t="str">
        <f t="shared" si="5"/>
        <v/>
      </c>
      <c r="AD34" s="52" t="str">
        <f t="shared" si="5"/>
        <v/>
      </c>
      <c r="AE34" s="40" t="str">
        <f>IFERROR(VLOOKUP($A34,'Parts List and Volumes'!$C$2:$W225,17,FALSE),"")</f>
        <v/>
      </c>
      <c r="AF34" s="41" t="str">
        <f>IFERROR(VLOOKUP($A34,'Parts List and Volumes'!$C$2:$W225,18,FALSE),"")</f>
        <v/>
      </c>
      <c r="AG34" s="48" t="str">
        <f t="shared" si="6"/>
        <v/>
      </c>
      <c r="AH34" s="43" t="str">
        <f t="shared" si="6"/>
        <v/>
      </c>
      <c r="AI34" s="49" t="str">
        <f>IFERROR(VLOOKUP($A34,'Parts List and Volumes'!$C$2:$W225,19,FALSE),"")</f>
        <v/>
      </c>
      <c r="AJ34" s="50" t="str">
        <f>IFERROR(VLOOKUP($A34,'Parts List and Volumes'!$C$2:$W225,20,FALSE),"")</f>
        <v/>
      </c>
      <c r="AK34" s="51" t="str">
        <f t="shared" si="7"/>
        <v/>
      </c>
      <c r="AL34" s="52" t="str">
        <f t="shared" si="7"/>
        <v/>
      </c>
      <c r="AM34" s="40" t="str">
        <f>IFERROR(VLOOKUP($A34,'Parts List and Volumes'!$C$2:$W225,21,FALSE),"")</f>
        <v/>
      </c>
      <c r="AN34" s="41" t="str">
        <f>IFERROR(VLOOKUP($A34,'Parts List and Volumes'!$C$2:$W225,22,FALSE),"")</f>
        <v/>
      </c>
      <c r="AO34" s="48" t="str">
        <f t="shared" si="8"/>
        <v/>
      </c>
      <c r="AP34" s="43" t="str">
        <f t="shared" si="8"/>
        <v/>
      </c>
      <c r="AQ34" s="49" t="str">
        <f>IFERROR(VLOOKUP($A34,'Parts List and Volumes'!$C$2:$W225,23,FALSE),"")</f>
        <v/>
      </c>
      <c r="AR34" s="50" t="str">
        <f>IFERROR(VLOOKUP($A34,'Parts List and Volumes'!$C$2:$W225,24,FALSE),"")</f>
        <v/>
      </c>
      <c r="AS34" s="51" t="str">
        <f t="shared" si="9"/>
        <v/>
      </c>
      <c r="AT34" s="52" t="str">
        <f t="shared" si="9"/>
        <v/>
      </c>
      <c r="AU34" s="40" t="str">
        <f>IFERROR(VLOOKUP($A34,'Parts List and Volumes'!$C$2:$W225,25,FALSE),"")</f>
        <v/>
      </c>
      <c r="AV34" s="41" t="str">
        <f>IFERROR(VLOOKUP($A34,'Parts List and Volumes'!$C$2:$W225,26,FALSE),"")</f>
        <v/>
      </c>
      <c r="AW34" s="48" t="str">
        <f t="shared" si="10"/>
        <v/>
      </c>
      <c r="AX34" s="43" t="str">
        <f t="shared" si="10"/>
        <v/>
      </c>
    </row>
    <row r="35" spans="1:50" x14ac:dyDescent="0.25">
      <c r="A35" s="23"/>
      <c r="B35" s="24"/>
      <c r="C35" s="20" t="str">
        <f>IFERROR(VLOOKUP(A35,'Parts List and Volumes'!C34:D226,2,FALSE),"")</f>
        <v/>
      </c>
      <c r="D35" s="39" t="str">
        <f>IFERROR(IF(VLOOKUP($A35,'Parts List and Volumes'!$C34:$F289,3,FALSE)=0,"",VLOOKUP(A35,'Parts List and Volumes'!C34:F289,3,FALSE)),"")</f>
        <v/>
      </c>
      <c r="E35" s="39" t="str">
        <f>IFERROR(IF(VLOOKUP($A35,'Parts List and Volumes'!$C34:$F289,4,FALSE)=0,"",VLOOKUP(B35,'Parts List and Volumes'!D34:G289,3,FALSE)),"")</f>
        <v/>
      </c>
      <c r="F35" s="26"/>
      <c r="G35" s="40" t="str">
        <f>IFERROR(VLOOKUP($A35,'Parts List and Volumes'!$C$2:$W226,5,FALSE),"")</f>
        <v/>
      </c>
      <c r="H35" s="41" t="str">
        <f>IFERROR(VLOOKUP($A35,'Parts List and Volumes'!$C$2:$W226,6,FALSE),"")</f>
        <v/>
      </c>
      <c r="I35" s="42" t="str">
        <f t="shared" si="0"/>
        <v/>
      </c>
      <c r="J35" s="43" t="str">
        <f t="shared" si="0"/>
        <v/>
      </c>
      <c r="K35" s="58" t="str">
        <f>IFERROR(VLOOKUP($A35,'Parts List and Volumes'!$C$2:$W226,7,FALSE),"")</f>
        <v/>
      </c>
      <c r="L35" s="45" t="str">
        <f>IFERROR(VLOOKUP($A35,'Parts List and Volumes'!$C$2:$W226,8,FALSE),"")</f>
        <v/>
      </c>
      <c r="M35" s="46" t="str">
        <f t="shared" si="1"/>
        <v/>
      </c>
      <c r="N35" s="47" t="str">
        <f t="shared" si="1"/>
        <v/>
      </c>
      <c r="O35" s="41" t="str">
        <f>IFERROR(VLOOKUP($A35,'Parts List and Volumes'!$C$2:$W226,9,FALSE),"")</f>
        <v/>
      </c>
      <c r="P35" s="41" t="str">
        <f>IFERROR(VLOOKUP($A35,'Parts List and Volumes'!$C$2:$W226,10,FALSE),"")</f>
        <v/>
      </c>
      <c r="Q35" s="48" t="str">
        <f t="shared" si="2"/>
        <v/>
      </c>
      <c r="R35" s="43" t="str">
        <f t="shared" si="2"/>
        <v/>
      </c>
      <c r="S35" s="44" t="str">
        <f>IFERROR(VLOOKUP($A35,'Parts List and Volumes'!$C$2:$W226,11,FALSE),"")</f>
        <v/>
      </c>
      <c r="T35" s="45" t="str">
        <f>IFERROR(VLOOKUP($A35,'Parts List and Volumes'!$C$2:$W226,12,FALSE),"")</f>
        <v/>
      </c>
      <c r="U35" s="46" t="str">
        <f t="shared" si="3"/>
        <v/>
      </c>
      <c r="V35" s="47" t="str">
        <f t="shared" si="3"/>
        <v/>
      </c>
      <c r="W35" s="40" t="str">
        <f>IFERROR(VLOOKUP($A35,'Parts List and Volumes'!$C$2:$W226,13,FALSE),"")</f>
        <v/>
      </c>
      <c r="X35" s="41" t="str">
        <f>IFERROR(VLOOKUP($A35,'Parts List and Volumes'!$C$2:$W226,14,FALSE),"")</f>
        <v/>
      </c>
      <c r="Y35" s="48" t="str">
        <f t="shared" si="4"/>
        <v/>
      </c>
      <c r="Z35" s="43" t="str">
        <f t="shared" si="4"/>
        <v/>
      </c>
      <c r="AA35" s="49" t="str">
        <f>IFERROR(VLOOKUP($A35,'Parts List and Volumes'!$C$2:$W226,15,FALSE),"")</f>
        <v/>
      </c>
      <c r="AB35" s="50" t="str">
        <f>IFERROR(VLOOKUP($A35,'Parts List and Volumes'!$C$2:$W226,16,FALSE),"")</f>
        <v/>
      </c>
      <c r="AC35" s="51" t="str">
        <f t="shared" si="5"/>
        <v/>
      </c>
      <c r="AD35" s="52" t="str">
        <f t="shared" si="5"/>
        <v/>
      </c>
      <c r="AE35" s="40" t="str">
        <f>IFERROR(VLOOKUP($A35,'Parts List and Volumes'!$C$2:$W226,17,FALSE),"")</f>
        <v/>
      </c>
      <c r="AF35" s="41" t="str">
        <f>IFERROR(VLOOKUP($A35,'Parts List and Volumes'!$C$2:$W226,18,FALSE),"")</f>
        <v/>
      </c>
      <c r="AG35" s="48" t="str">
        <f t="shared" si="6"/>
        <v/>
      </c>
      <c r="AH35" s="43" t="str">
        <f t="shared" si="6"/>
        <v/>
      </c>
      <c r="AI35" s="49" t="str">
        <f>IFERROR(VLOOKUP($A35,'Parts List and Volumes'!$C$2:$W226,19,FALSE),"")</f>
        <v/>
      </c>
      <c r="AJ35" s="50" t="str">
        <f>IFERROR(VLOOKUP($A35,'Parts List and Volumes'!$C$2:$W226,20,FALSE),"")</f>
        <v/>
      </c>
      <c r="AK35" s="51" t="str">
        <f t="shared" si="7"/>
        <v/>
      </c>
      <c r="AL35" s="52" t="str">
        <f t="shared" si="7"/>
        <v/>
      </c>
      <c r="AM35" s="40" t="str">
        <f>IFERROR(VLOOKUP($A35,'Parts List and Volumes'!$C$2:$W226,21,FALSE),"")</f>
        <v/>
      </c>
      <c r="AN35" s="41" t="str">
        <f>IFERROR(VLOOKUP($A35,'Parts List and Volumes'!$C$2:$W226,22,FALSE),"")</f>
        <v/>
      </c>
      <c r="AO35" s="48" t="str">
        <f t="shared" si="8"/>
        <v/>
      </c>
      <c r="AP35" s="43" t="str">
        <f t="shared" si="8"/>
        <v/>
      </c>
      <c r="AQ35" s="49" t="str">
        <f>IFERROR(VLOOKUP($A35,'Parts List and Volumes'!$C$2:$W226,23,FALSE),"")</f>
        <v/>
      </c>
      <c r="AR35" s="50" t="str">
        <f>IFERROR(VLOOKUP($A35,'Parts List and Volumes'!$C$2:$W226,24,FALSE),"")</f>
        <v/>
      </c>
      <c r="AS35" s="51" t="str">
        <f t="shared" si="9"/>
        <v/>
      </c>
      <c r="AT35" s="52" t="str">
        <f t="shared" si="9"/>
        <v/>
      </c>
      <c r="AU35" s="40" t="str">
        <f>IFERROR(VLOOKUP($A35,'Parts List and Volumes'!$C$2:$W226,25,FALSE),"")</f>
        <v/>
      </c>
      <c r="AV35" s="41" t="str">
        <f>IFERROR(VLOOKUP($A35,'Parts List and Volumes'!$C$2:$W226,26,FALSE),"")</f>
        <v/>
      </c>
      <c r="AW35" s="48" t="str">
        <f t="shared" si="10"/>
        <v/>
      </c>
      <c r="AX35" s="43" t="str">
        <f t="shared" si="10"/>
        <v/>
      </c>
    </row>
    <row r="36" spans="1:50" x14ac:dyDescent="0.25">
      <c r="A36" s="23"/>
      <c r="B36" s="24"/>
      <c r="C36" s="20" t="str">
        <f>IFERROR(VLOOKUP(A36,'Parts List and Volumes'!C35:D227,2,FALSE),"")</f>
        <v/>
      </c>
      <c r="D36" s="39" t="str">
        <f>IFERROR(IF(VLOOKUP($A36,'Parts List and Volumes'!$C35:$F290,3,FALSE)=0,"",VLOOKUP(A36,'Parts List and Volumes'!C35:F290,3,FALSE)),"")</f>
        <v/>
      </c>
      <c r="E36" s="39" t="str">
        <f>IFERROR(IF(VLOOKUP($A36,'Parts List and Volumes'!$C35:$F290,4,FALSE)=0,"",VLOOKUP(B36,'Parts List and Volumes'!D35:G290,3,FALSE)),"")</f>
        <v/>
      </c>
      <c r="F36" s="26"/>
      <c r="G36" s="40" t="str">
        <f>IFERROR(VLOOKUP($A36,'Parts List and Volumes'!$C$2:$W227,5,FALSE),"")</f>
        <v/>
      </c>
      <c r="H36" s="41" t="str">
        <f>IFERROR(VLOOKUP($A36,'Parts List and Volumes'!$C$2:$W227,6,FALSE),"")</f>
        <v/>
      </c>
      <c r="I36" s="42" t="str">
        <f t="shared" si="0"/>
        <v/>
      </c>
      <c r="J36" s="43" t="str">
        <f t="shared" si="0"/>
        <v/>
      </c>
      <c r="K36" s="58" t="str">
        <f>IFERROR(VLOOKUP($A36,'Parts List and Volumes'!$C$2:$W227,7,FALSE),"")</f>
        <v/>
      </c>
      <c r="L36" s="45" t="str">
        <f>IFERROR(VLOOKUP($A36,'Parts List and Volumes'!$C$2:$W227,8,FALSE),"")</f>
        <v/>
      </c>
      <c r="M36" s="46" t="str">
        <f t="shared" si="1"/>
        <v/>
      </c>
      <c r="N36" s="47" t="str">
        <f t="shared" si="1"/>
        <v/>
      </c>
      <c r="O36" s="41" t="str">
        <f>IFERROR(VLOOKUP($A36,'Parts List and Volumes'!$C$2:$W227,9,FALSE),"")</f>
        <v/>
      </c>
      <c r="P36" s="41" t="str">
        <f>IFERROR(VLOOKUP($A36,'Parts List and Volumes'!$C$2:$W227,10,FALSE),"")</f>
        <v/>
      </c>
      <c r="Q36" s="48" t="str">
        <f t="shared" si="2"/>
        <v/>
      </c>
      <c r="R36" s="43" t="str">
        <f t="shared" si="2"/>
        <v/>
      </c>
      <c r="S36" s="44" t="str">
        <f>IFERROR(VLOOKUP($A36,'Parts List and Volumes'!$C$2:$W227,11,FALSE),"")</f>
        <v/>
      </c>
      <c r="T36" s="45" t="str">
        <f>IFERROR(VLOOKUP($A36,'Parts List and Volumes'!$C$2:$W227,12,FALSE),"")</f>
        <v/>
      </c>
      <c r="U36" s="46" t="str">
        <f t="shared" si="3"/>
        <v/>
      </c>
      <c r="V36" s="47" t="str">
        <f t="shared" si="3"/>
        <v/>
      </c>
      <c r="W36" s="40" t="str">
        <f>IFERROR(VLOOKUP($A36,'Parts List and Volumes'!$C$2:$W227,13,FALSE),"")</f>
        <v/>
      </c>
      <c r="X36" s="41" t="str">
        <f>IFERROR(VLOOKUP($A36,'Parts List and Volumes'!$C$2:$W227,14,FALSE),"")</f>
        <v/>
      </c>
      <c r="Y36" s="48" t="str">
        <f t="shared" si="4"/>
        <v/>
      </c>
      <c r="Z36" s="43" t="str">
        <f t="shared" si="4"/>
        <v/>
      </c>
      <c r="AA36" s="49" t="str">
        <f>IFERROR(VLOOKUP($A36,'Parts List and Volumes'!$C$2:$W227,15,FALSE),"")</f>
        <v/>
      </c>
      <c r="AB36" s="50" t="str">
        <f>IFERROR(VLOOKUP($A36,'Parts List and Volumes'!$C$2:$W227,16,FALSE),"")</f>
        <v/>
      </c>
      <c r="AC36" s="51" t="str">
        <f t="shared" si="5"/>
        <v/>
      </c>
      <c r="AD36" s="52" t="str">
        <f t="shared" si="5"/>
        <v/>
      </c>
      <c r="AE36" s="40" t="str">
        <f>IFERROR(VLOOKUP($A36,'Parts List and Volumes'!$C$2:$W227,17,FALSE),"")</f>
        <v/>
      </c>
      <c r="AF36" s="41" t="str">
        <f>IFERROR(VLOOKUP($A36,'Parts List and Volumes'!$C$2:$W227,18,FALSE),"")</f>
        <v/>
      </c>
      <c r="AG36" s="48" t="str">
        <f t="shared" si="6"/>
        <v/>
      </c>
      <c r="AH36" s="43" t="str">
        <f t="shared" si="6"/>
        <v/>
      </c>
      <c r="AI36" s="49" t="str">
        <f>IFERROR(VLOOKUP($A36,'Parts List and Volumes'!$C$2:$W227,19,FALSE),"")</f>
        <v/>
      </c>
      <c r="AJ36" s="50" t="str">
        <f>IFERROR(VLOOKUP($A36,'Parts List and Volumes'!$C$2:$W227,20,FALSE),"")</f>
        <v/>
      </c>
      <c r="AK36" s="51" t="str">
        <f t="shared" si="7"/>
        <v/>
      </c>
      <c r="AL36" s="52" t="str">
        <f t="shared" si="7"/>
        <v/>
      </c>
      <c r="AM36" s="40" t="str">
        <f>IFERROR(VLOOKUP($A36,'Parts List and Volumes'!$C$2:$W227,21,FALSE),"")</f>
        <v/>
      </c>
      <c r="AN36" s="41" t="str">
        <f>IFERROR(VLOOKUP($A36,'Parts List and Volumes'!$C$2:$W227,22,FALSE),"")</f>
        <v/>
      </c>
      <c r="AO36" s="48" t="str">
        <f t="shared" si="8"/>
        <v/>
      </c>
      <c r="AP36" s="43" t="str">
        <f t="shared" si="8"/>
        <v/>
      </c>
      <c r="AQ36" s="49" t="str">
        <f>IFERROR(VLOOKUP($A36,'Parts List and Volumes'!$C$2:$W227,23,FALSE),"")</f>
        <v/>
      </c>
      <c r="AR36" s="50" t="str">
        <f>IFERROR(VLOOKUP($A36,'Parts List and Volumes'!$C$2:$W227,24,FALSE),"")</f>
        <v/>
      </c>
      <c r="AS36" s="51" t="str">
        <f t="shared" si="9"/>
        <v/>
      </c>
      <c r="AT36" s="52" t="str">
        <f t="shared" si="9"/>
        <v/>
      </c>
      <c r="AU36" s="40" t="str">
        <f>IFERROR(VLOOKUP($A36,'Parts List and Volumes'!$C$2:$W227,25,FALSE),"")</f>
        <v/>
      </c>
      <c r="AV36" s="41" t="str">
        <f>IFERROR(VLOOKUP($A36,'Parts List and Volumes'!$C$2:$W227,26,FALSE),"")</f>
        <v/>
      </c>
      <c r="AW36" s="48" t="str">
        <f t="shared" si="10"/>
        <v/>
      </c>
      <c r="AX36" s="43" t="str">
        <f t="shared" si="10"/>
        <v/>
      </c>
    </row>
    <row r="37" spans="1:50" x14ac:dyDescent="0.25">
      <c r="A37" s="23"/>
      <c r="B37" s="24"/>
      <c r="C37" s="20" t="str">
        <f>IFERROR(VLOOKUP(A37,'Parts List and Volumes'!C36:D228,2,FALSE),"")</f>
        <v/>
      </c>
      <c r="D37" s="39" t="str">
        <f>IFERROR(IF(VLOOKUP($A37,'Parts List and Volumes'!$C36:$F291,3,FALSE)=0,"",VLOOKUP(A37,'Parts List and Volumes'!C36:F291,3,FALSE)),"")</f>
        <v/>
      </c>
      <c r="E37" s="39" t="str">
        <f>IFERROR(IF(VLOOKUP($A37,'Parts List and Volumes'!$C36:$F291,4,FALSE)=0,"",VLOOKUP(B37,'Parts List and Volumes'!D36:G291,3,FALSE)),"")</f>
        <v/>
      </c>
      <c r="F37" s="26"/>
      <c r="G37" s="40" t="str">
        <f>IFERROR(VLOOKUP($A37,'Parts List and Volumes'!$C$2:$W228,5,FALSE),"")</f>
        <v/>
      </c>
      <c r="H37" s="41" t="str">
        <f>IFERROR(VLOOKUP($A37,'Parts List and Volumes'!$C$2:$W228,6,FALSE),"")</f>
        <v/>
      </c>
      <c r="I37" s="42" t="str">
        <f t="shared" si="0"/>
        <v/>
      </c>
      <c r="J37" s="43" t="str">
        <f t="shared" si="0"/>
        <v/>
      </c>
      <c r="K37" s="58" t="str">
        <f>IFERROR(VLOOKUP($A37,'Parts List and Volumes'!$C$2:$W228,7,FALSE),"")</f>
        <v/>
      </c>
      <c r="L37" s="45" t="str">
        <f>IFERROR(VLOOKUP($A37,'Parts List and Volumes'!$C$2:$W228,8,FALSE),"")</f>
        <v/>
      </c>
      <c r="M37" s="46" t="str">
        <f t="shared" si="1"/>
        <v/>
      </c>
      <c r="N37" s="47" t="str">
        <f t="shared" si="1"/>
        <v/>
      </c>
      <c r="O37" s="41" t="str">
        <f>IFERROR(VLOOKUP($A37,'Parts List and Volumes'!$C$2:$W228,9,FALSE),"")</f>
        <v/>
      </c>
      <c r="P37" s="41" t="str">
        <f>IFERROR(VLOOKUP($A37,'Parts List and Volumes'!$C$2:$W228,10,FALSE),"")</f>
        <v/>
      </c>
      <c r="Q37" s="48" t="str">
        <f t="shared" si="2"/>
        <v/>
      </c>
      <c r="R37" s="43" t="str">
        <f t="shared" si="2"/>
        <v/>
      </c>
      <c r="S37" s="44" t="str">
        <f>IFERROR(VLOOKUP($A37,'Parts List and Volumes'!$C$2:$W228,11,FALSE),"")</f>
        <v/>
      </c>
      <c r="T37" s="45" t="str">
        <f>IFERROR(VLOOKUP($A37,'Parts List and Volumes'!$C$2:$W228,12,FALSE),"")</f>
        <v/>
      </c>
      <c r="U37" s="46" t="str">
        <f t="shared" si="3"/>
        <v/>
      </c>
      <c r="V37" s="47" t="str">
        <f t="shared" si="3"/>
        <v/>
      </c>
      <c r="W37" s="40" t="str">
        <f>IFERROR(VLOOKUP($A37,'Parts List and Volumes'!$C$2:$W228,13,FALSE),"")</f>
        <v/>
      </c>
      <c r="X37" s="41" t="str">
        <f>IFERROR(VLOOKUP($A37,'Parts List and Volumes'!$C$2:$W228,14,FALSE),"")</f>
        <v/>
      </c>
      <c r="Y37" s="48" t="str">
        <f t="shared" si="4"/>
        <v/>
      </c>
      <c r="Z37" s="43" t="str">
        <f t="shared" si="4"/>
        <v/>
      </c>
      <c r="AA37" s="49" t="str">
        <f>IFERROR(VLOOKUP($A37,'Parts List and Volumes'!$C$2:$W228,15,FALSE),"")</f>
        <v/>
      </c>
      <c r="AB37" s="50" t="str">
        <f>IFERROR(VLOOKUP($A37,'Parts List and Volumes'!$C$2:$W228,16,FALSE),"")</f>
        <v/>
      </c>
      <c r="AC37" s="51" t="str">
        <f t="shared" si="5"/>
        <v/>
      </c>
      <c r="AD37" s="52" t="str">
        <f t="shared" si="5"/>
        <v/>
      </c>
      <c r="AE37" s="40" t="str">
        <f>IFERROR(VLOOKUP($A37,'Parts List and Volumes'!$C$2:$W228,17,FALSE),"")</f>
        <v/>
      </c>
      <c r="AF37" s="41" t="str">
        <f>IFERROR(VLOOKUP($A37,'Parts List and Volumes'!$C$2:$W228,18,FALSE),"")</f>
        <v/>
      </c>
      <c r="AG37" s="48" t="str">
        <f t="shared" si="6"/>
        <v/>
      </c>
      <c r="AH37" s="43" t="str">
        <f t="shared" si="6"/>
        <v/>
      </c>
      <c r="AI37" s="49" t="str">
        <f>IFERROR(VLOOKUP($A37,'Parts List and Volumes'!$C$2:$W228,19,FALSE),"")</f>
        <v/>
      </c>
      <c r="AJ37" s="50" t="str">
        <f>IFERROR(VLOOKUP($A37,'Parts List and Volumes'!$C$2:$W228,20,FALSE),"")</f>
        <v/>
      </c>
      <c r="AK37" s="51" t="str">
        <f t="shared" si="7"/>
        <v/>
      </c>
      <c r="AL37" s="52" t="str">
        <f t="shared" si="7"/>
        <v/>
      </c>
      <c r="AM37" s="40" t="str">
        <f>IFERROR(VLOOKUP($A37,'Parts List and Volumes'!$C$2:$W228,21,FALSE),"")</f>
        <v/>
      </c>
      <c r="AN37" s="41" t="str">
        <f>IFERROR(VLOOKUP($A37,'Parts List and Volumes'!$C$2:$W228,22,FALSE),"")</f>
        <v/>
      </c>
      <c r="AO37" s="48" t="str">
        <f t="shared" si="8"/>
        <v/>
      </c>
      <c r="AP37" s="43" t="str">
        <f t="shared" si="8"/>
        <v/>
      </c>
      <c r="AQ37" s="49" t="str">
        <f>IFERROR(VLOOKUP($A37,'Parts List and Volumes'!$C$2:$W228,23,FALSE),"")</f>
        <v/>
      </c>
      <c r="AR37" s="50" t="str">
        <f>IFERROR(VLOOKUP($A37,'Parts List and Volumes'!$C$2:$W228,24,FALSE),"")</f>
        <v/>
      </c>
      <c r="AS37" s="51" t="str">
        <f t="shared" si="9"/>
        <v/>
      </c>
      <c r="AT37" s="52" t="str">
        <f t="shared" si="9"/>
        <v/>
      </c>
      <c r="AU37" s="40" t="str">
        <f>IFERROR(VLOOKUP($A37,'Parts List and Volumes'!$C$2:$W228,25,FALSE),"")</f>
        <v/>
      </c>
      <c r="AV37" s="41" t="str">
        <f>IFERROR(VLOOKUP($A37,'Parts List and Volumes'!$C$2:$W228,26,FALSE),"")</f>
        <v/>
      </c>
      <c r="AW37" s="48" t="str">
        <f t="shared" si="10"/>
        <v/>
      </c>
      <c r="AX37" s="43" t="str">
        <f t="shared" si="10"/>
        <v/>
      </c>
    </row>
    <row r="38" spans="1:50" x14ac:dyDescent="0.25">
      <c r="A38" s="23"/>
      <c r="B38" s="24"/>
      <c r="C38" s="20" t="str">
        <f>IFERROR(VLOOKUP(A38,'Parts List and Volumes'!C37:D229,2,FALSE),"")</f>
        <v/>
      </c>
      <c r="D38" s="39" t="str">
        <f>IFERROR(IF(VLOOKUP($A38,'Parts List and Volumes'!$C37:$F292,3,FALSE)=0,"",VLOOKUP(A38,'Parts List and Volumes'!C37:F292,3,FALSE)),"")</f>
        <v/>
      </c>
      <c r="E38" s="39" t="str">
        <f>IFERROR(IF(VLOOKUP($A38,'Parts List and Volumes'!$C37:$F292,4,FALSE)=0,"",VLOOKUP(B38,'Parts List and Volumes'!D37:G292,3,FALSE)),"")</f>
        <v/>
      </c>
      <c r="F38" s="26"/>
      <c r="G38" s="40" t="str">
        <f>IFERROR(VLOOKUP($A38,'Parts List and Volumes'!$C$2:$W229,5,FALSE),"")</f>
        <v/>
      </c>
      <c r="H38" s="41" t="str">
        <f>IFERROR(VLOOKUP($A38,'Parts List and Volumes'!$C$2:$W229,6,FALSE),"")</f>
        <v/>
      </c>
      <c r="I38" s="42" t="str">
        <f t="shared" si="0"/>
        <v/>
      </c>
      <c r="J38" s="43" t="str">
        <f t="shared" si="0"/>
        <v/>
      </c>
      <c r="K38" s="58" t="str">
        <f>IFERROR(VLOOKUP($A38,'Parts List and Volumes'!$C$2:$W229,7,FALSE),"")</f>
        <v/>
      </c>
      <c r="L38" s="45" t="str">
        <f>IFERROR(VLOOKUP($A38,'Parts List and Volumes'!$C$2:$W229,8,FALSE),"")</f>
        <v/>
      </c>
      <c r="M38" s="46" t="str">
        <f t="shared" si="1"/>
        <v/>
      </c>
      <c r="N38" s="47" t="str">
        <f t="shared" si="1"/>
        <v/>
      </c>
      <c r="O38" s="41" t="str">
        <f>IFERROR(VLOOKUP($A38,'Parts List and Volumes'!$C$2:$W229,9,FALSE),"")</f>
        <v/>
      </c>
      <c r="P38" s="41" t="str">
        <f>IFERROR(VLOOKUP($A38,'Parts List and Volumes'!$C$2:$W229,10,FALSE),"")</f>
        <v/>
      </c>
      <c r="Q38" s="48" t="str">
        <f t="shared" si="2"/>
        <v/>
      </c>
      <c r="R38" s="43" t="str">
        <f t="shared" si="2"/>
        <v/>
      </c>
      <c r="S38" s="44" t="str">
        <f>IFERROR(VLOOKUP($A38,'Parts List and Volumes'!$C$2:$W229,11,FALSE),"")</f>
        <v/>
      </c>
      <c r="T38" s="45" t="str">
        <f>IFERROR(VLOOKUP($A38,'Parts List and Volumes'!$C$2:$W229,12,FALSE),"")</f>
        <v/>
      </c>
      <c r="U38" s="46" t="str">
        <f t="shared" si="3"/>
        <v/>
      </c>
      <c r="V38" s="47" t="str">
        <f t="shared" si="3"/>
        <v/>
      </c>
      <c r="W38" s="40" t="str">
        <f>IFERROR(VLOOKUP($A38,'Parts List and Volumes'!$C$2:$W229,13,FALSE),"")</f>
        <v/>
      </c>
      <c r="X38" s="41" t="str">
        <f>IFERROR(VLOOKUP($A38,'Parts List and Volumes'!$C$2:$W229,14,FALSE),"")</f>
        <v/>
      </c>
      <c r="Y38" s="48" t="str">
        <f t="shared" si="4"/>
        <v/>
      </c>
      <c r="Z38" s="43" t="str">
        <f t="shared" si="4"/>
        <v/>
      </c>
      <c r="AA38" s="49" t="str">
        <f>IFERROR(VLOOKUP($A38,'Parts List and Volumes'!$C$2:$W229,15,FALSE),"")</f>
        <v/>
      </c>
      <c r="AB38" s="50" t="str">
        <f>IFERROR(VLOOKUP($A38,'Parts List and Volumes'!$C$2:$W229,16,FALSE),"")</f>
        <v/>
      </c>
      <c r="AC38" s="51" t="str">
        <f t="shared" si="5"/>
        <v/>
      </c>
      <c r="AD38" s="52" t="str">
        <f t="shared" si="5"/>
        <v/>
      </c>
      <c r="AE38" s="40" t="str">
        <f>IFERROR(VLOOKUP($A38,'Parts List and Volumes'!$C$2:$W229,17,FALSE),"")</f>
        <v/>
      </c>
      <c r="AF38" s="41" t="str">
        <f>IFERROR(VLOOKUP($A38,'Parts List and Volumes'!$C$2:$W229,18,FALSE),"")</f>
        <v/>
      </c>
      <c r="AG38" s="48" t="str">
        <f t="shared" si="6"/>
        <v/>
      </c>
      <c r="AH38" s="43" t="str">
        <f t="shared" si="6"/>
        <v/>
      </c>
      <c r="AI38" s="49" t="str">
        <f>IFERROR(VLOOKUP($A38,'Parts List and Volumes'!$C$2:$W229,19,FALSE),"")</f>
        <v/>
      </c>
      <c r="AJ38" s="50" t="str">
        <f>IFERROR(VLOOKUP($A38,'Parts List and Volumes'!$C$2:$W229,20,FALSE),"")</f>
        <v/>
      </c>
      <c r="AK38" s="51" t="str">
        <f t="shared" si="7"/>
        <v/>
      </c>
      <c r="AL38" s="52" t="str">
        <f t="shared" si="7"/>
        <v/>
      </c>
      <c r="AM38" s="40" t="str">
        <f>IFERROR(VLOOKUP($A38,'Parts List and Volumes'!$C$2:$W229,21,FALSE),"")</f>
        <v/>
      </c>
      <c r="AN38" s="41" t="str">
        <f>IFERROR(VLOOKUP($A38,'Parts List and Volumes'!$C$2:$W229,22,FALSE),"")</f>
        <v/>
      </c>
      <c r="AO38" s="48" t="str">
        <f t="shared" si="8"/>
        <v/>
      </c>
      <c r="AP38" s="43" t="str">
        <f t="shared" si="8"/>
        <v/>
      </c>
      <c r="AQ38" s="49" t="str">
        <f>IFERROR(VLOOKUP($A38,'Parts List and Volumes'!$C$2:$W229,23,FALSE),"")</f>
        <v/>
      </c>
      <c r="AR38" s="50" t="str">
        <f>IFERROR(VLOOKUP($A38,'Parts List and Volumes'!$C$2:$W229,24,FALSE),"")</f>
        <v/>
      </c>
      <c r="AS38" s="51" t="str">
        <f t="shared" si="9"/>
        <v/>
      </c>
      <c r="AT38" s="52" t="str">
        <f t="shared" si="9"/>
        <v/>
      </c>
      <c r="AU38" s="40" t="str">
        <f>IFERROR(VLOOKUP($A38,'Parts List and Volumes'!$C$2:$W229,25,FALSE),"")</f>
        <v/>
      </c>
      <c r="AV38" s="41" t="str">
        <f>IFERROR(VLOOKUP($A38,'Parts List and Volumes'!$C$2:$W229,26,FALSE),"")</f>
        <v/>
      </c>
      <c r="AW38" s="48" t="str">
        <f t="shared" si="10"/>
        <v/>
      </c>
      <c r="AX38" s="43" t="str">
        <f t="shared" si="10"/>
        <v/>
      </c>
    </row>
    <row r="39" spans="1:50" x14ac:dyDescent="0.25">
      <c r="A39" s="23"/>
      <c r="B39" s="24"/>
      <c r="C39" s="20" t="str">
        <f>IFERROR(VLOOKUP(A39,'Parts List and Volumes'!C38:D230,2,FALSE),"")</f>
        <v/>
      </c>
      <c r="D39" s="39" t="str">
        <f>IFERROR(IF(VLOOKUP($A39,'Parts List and Volumes'!$C38:$F293,3,FALSE)=0,"",VLOOKUP(A39,'Parts List and Volumes'!C38:F293,3,FALSE)),"")</f>
        <v/>
      </c>
      <c r="E39" s="39" t="str">
        <f>IFERROR(IF(VLOOKUP($A39,'Parts List and Volumes'!$C38:$F293,4,FALSE)=0,"",VLOOKUP(B39,'Parts List and Volumes'!D38:G293,3,FALSE)),"")</f>
        <v/>
      </c>
      <c r="F39" s="26"/>
      <c r="G39" s="40" t="str">
        <f>IFERROR(VLOOKUP($A39,'Parts List and Volumes'!$C$2:$W230,5,FALSE),"")</f>
        <v/>
      </c>
      <c r="H39" s="41" t="str">
        <f>IFERROR(VLOOKUP($A39,'Parts List and Volumes'!$C$2:$W230,6,FALSE),"")</f>
        <v/>
      </c>
      <c r="I39" s="42" t="str">
        <f t="shared" si="0"/>
        <v/>
      </c>
      <c r="J39" s="43" t="str">
        <f t="shared" si="0"/>
        <v/>
      </c>
      <c r="K39" s="58" t="str">
        <f>IFERROR(VLOOKUP($A39,'Parts List and Volumes'!$C$2:$W230,7,FALSE),"")</f>
        <v/>
      </c>
      <c r="L39" s="45" t="str">
        <f>IFERROR(VLOOKUP($A39,'Parts List and Volumes'!$C$2:$W230,8,FALSE),"")</f>
        <v/>
      </c>
      <c r="M39" s="46" t="str">
        <f t="shared" si="1"/>
        <v/>
      </c>
      <c r="N39" s="47" t="str">
        <f t="shared" si="1"/>
        <v/>
      </c>
      <c r="O39" s="41" t="str">
        <f>IFERROR(VLOOKUP($A39,'Parts List and Volumes'!$C$2:$W230,9,FALSE),"")</f>
        <v/>
      </c>
      <c r="P39" s="41" t="str">
        <f>IFERROR(VLOOKUP($A39,'Parts List and Volumes'!$C$2:$W230,10,FALSE),"")</f>
        <v/>
      </c>
      <c r="Q39" s="48" t="str">
        <f t="shared" si="2"/>
        <v/>
      </c>
      <c r="R39" s="43" t="str">
        <f t="shared" si="2"/>
        <v/>
      </c>
      <c r="S39" s="44" t="str">
        <f>IFERROR(VLOOKUP($A39,'Parts List and Volumes'!$C$2:$W230,11,FALSE),"")</f>
        <v/>
      </c>
      <c r="T39" s="45" t="str">
        <f>IFERROR(VLOOKUP($A39,'Parts List and Volumes'!$C$2:$W230,12,FALSE),"")</f>
        <v/>
      </c>
      <c r="U39" s="46" t="str">
        <f t="shared" si="3"/>
        <v/>
      </c>
      <c r="V39" s="47" t="str">
        <f t="shared" si="3"/>
        <v/>
      </c>
      <c r="W39" s="40" t="str">
        <f>IFERROR(VLOOKUP($A39,'Parts List and Volumes'!$C$2:$W230,13,FALSE),"")</f>
        <v/>
      </c>
      <c r="X39" s="41" t="str">
        <f>IFERROR(VLOOKUP($A39,'Parts List and Volumes'!$C$2:$W230,14,FALSE),"")</f>
        <v/>
      </c>
      <c r="Y39" s="48" t="str">
        <f t="shared" si="4"/>
        <v/>
      </c>
      <c r="Z39" s="43" t="str">
        <f t="shared" si="4"/>
        <v/>
      </c>
      <c r="AA39" s="49" t="str">
        <f>IFERROR(VLOOKUP($A39,'Parts List and Volumes'!$C$2:$W230,15,FALSE),"")</f>
        <v/>
      </c>
      <c r="AB39" s="50" t="str">
        <f>IFERROR(VLOOKUP($A39,'Parts List and Volumes'!$C$2:$W230,16,FALSE),"")</f>
        <v/>
      </c>
      <c r="AC39" s="51" t="str">
        <f t="shared" si="5"/>
        <v/>
      </c>
      <c r="AD39" s="52" t="str">
        <f t="shared" si="5"/>
        <v/>
      </c>
      <c r="AE39" s="40" t="str">
        <f>IFERROR(VLOOKUP($A39,'Parts List and Volumes'!$C$2:$W230,17,FALSE),"")</f>
        <v/>
      </c>
      <c r="AF39" s="41" t="str">
        <f>IFERROR(VLOOKUP($A39,'Parts List and Volumes'!$C$2:$W230,18,FALSE),"")</f>
        <v/>
      </c>
      <c r="AG39" s="48" t="str">
        <f t="shared" si="6"/>
        <v/>
      </c>
      <c r="AH39" s="43" t="str">
        <f t="shared" si="6"/>
        <v/>
      </c>
      <c r="AI39" s="49" t="str">
        <f>IFERROR(VLOOKUP($A39,'Parts List and Volumes'!$C$2:$W230,19,FALSE),"")</f>
        <v/>
      </c>
      <c r="AJ39" s="50" t="str">
        <f>IFERROR(VLOOKUP($A39,'Parts List and Volumes'!$C$2:$W230,20,FALSE),"")</f>
        <v/>
      </c>
      <c r="AK39" s="51" t="str">
        <f t="shared" si="7"/>
        <v/>
      </c>
      <c r="AL39" s="52" t="str">
        <f t="shared" si="7"/>
        <v/>
      </c>
      <c r="AM39" s="40" t="str">
        <f>IFERROR(VLOOKUP($A39,'Parts List and Volumes'!$C$2:$W230,21,FALSE),"")</f>
        <v/>
      </c>
      <c r="AN39" s="41" t="str">
        <f>IFERROR(VLOOKUP($A39,'Parts List and Volumes'!$C$2:$W230,22,FALSE),"")</f>
        <v/>
      </c>
      <c r="AO39" s="48" t="str">
        <f t="shared" si="8"/>
        <v/>
      </c>
      <c r="AP39" s="43" t="str">
        <f t="shared" si="8"/>
        <v/>
      </c>
      <c r="AQ39" s="49" t="str">
        <f>IFERROR(VLOOKUP($A39,'Parts List and Volumes'!$C$2:$W230,23,FALSE),"")</f>
        <v/>
      </c>
      <c r="AR39" s="50" t="str">
        <f>IFERROR(VLOOKUP($A39,'Parts List and Volumes'!$C$2:$W230,24,FALSE),"")</f>
        <v/>
      </c>
      <c r="AS39" s="51" t="str">
        <f t="shared" si="9"/>
        <v/>
      </c>
      <c r="AT39" s="52" t="str">
        <f t="shared" si="9"/>
        <v/>
      </c>
      <c r="AU39" s="40" t="str">
        <f>IFERROR(VLOOKUP($A39,'Parts List and Volumes'!$C$2:$W230,25,FALSE),"")</f>
        <v/>
      </c>
      <c r="AV39" s="41" t="str">
        <f>IFERROR(VLOOKUP($A39,'Parts List and Volumes'!$C$2:$W230,26,FALSE),"")</f>
        <v/>
      </c>
      <c r="AW39" s="48" t="str">
        <f t="shared" si="10"/>
        <v/>
      </c>
      <c r="AX39" s="43" t="str">
        <f t="shared" si="10"/>
        <v/>
      </c>
    </row>
    <row r="40" spans="1:50" x14ac:dyDescent="0.25">
      <c r="A40" s="23"/>
      <c r="B40" s="24"/>
      <c r="C40" s="20" t="str">
        <f>IFERROR(VLOOKUP(A40,'Parts List and Volumes'!C39:D231,2,FALSE),"")</f>
        <v/>
      </c>
      <c r="D40" s="39" t="str">
        <f>IFERROR(IF(VLOOKUP($A40,'Parts List and Volumes'!$C39:$F294,3,FALSE)=0,"",VLOOKUP(A40,'Parts List and Volumes'!C39:F294,3,FALSE)),"")</f>
        <v/>
      </c>
      <c r="E40" s="39" t="str">
        <f>IFERROR(IF(VLOOKUP($A40,'Parts List and Volumes'!$C39:$F294,4,FALSE)=0,"",VLOOKUP(B40,'Parts List and Volumes'!D39:G294,3,FALSE)),"")</f>
        <v/>
      </c>
      <c r="F40" s="26"/>
      <c r="G40" s="40" t="str">
        <f>IFERROR(VLOOKUP($A40,'Parts List and Volumes'!$C$2:$W231,5,FALSE),"")</f>
        <v/>
      </c>
      <c r="H40" s="41" t="str">
        <f>IFERROR(VLOOKUP($A40,'Parts List and Volumes'!$C$2:$W231,6,FALSE),"")</f>
        <v/>
      </c>
      <c r="I40" s="42" t="str">
        <f t="shared" si="0"/>
        <v/>
      </c>
      <c r="J40" s="43" t="str">
        <f t="shared" si="0"/>
        <v/>
      </c>
      <c r="K40" s="58" t="str">
        <f>IFERROR(VLOOKUP($A40,'Parts List and Volumes'!$C$2:$W231,7,FALSE),"")</f>
        <v/>
      </c>
      <c r="L40" s="45" t="str">
        <f>IFERROR(VLOOKUP($A40,'Parts List and Volumes'!$C$2:$W231,8,FALSE),"")</f>
        <v/>
      </c>
      <c r="M40" s="46" t="str">
        <f t="shared" si="1"/>
        <v/>
      </c>
      <c r="N40" s="47" t="str">
        <f t="shared" si="1"/>
        <v/>
      </c>
      <c r="O40" s="41" t="str">
        <f>IFERROR(VLOOKUP($A40,'Parts List and Volumes'!$C$2:$W231,9,FALSE),"")</f>
        <v/>
      </c>
      <c r="P40" s="41" t="str">
        <f>IFERROR(VLOOKUP($A40,'Parts List and Volumes'!$C$2:$W231,10,FALSE),"")</f>
        <v/>
      </c>
      <c r="Q40" s="48" t="str">
        <f t="shared" si="2"/>
        <v/>
      </c>
      <c r="R40" s="43" t="str">
        <f t="shared" si="2"/>
        <v/>
      </c>
      <c r="S40" s="44" t="str">
        <f>IFERROR(VLOOKUP($A40,'Parts List and Volumes'!$C$2:$W231,11,FALSE),"")</f>
        <v/>
      </c>
      <c r="T40" s="45" t="str">
        <f>IFERROR(VLOOKUP($A40,'Parts List and Volumes'!$C$2:$W231,12,FALSE),"")</f>
        <v/>
      </c>
      <c r="U40" s="46" t="str">
        <f t="shared" si="3"/>
        <v/>
      </c>
      <c r="V40" s="47" t="str">
        <f t="shared" si="3"/>
        <v/>
      </c>
      <c r="W40" s="40" t="str">
        <f>IFERROR(VLOOKUP($A40,'Parts List and Volumes'!$C$2:$W231,13,FALSE),"")</f>
        <v/>
      </c>
      <c r="X40" s="41" t="str">
        <f>IFERROR(VLOOKUP($A40,'Parts List and Volumes'!$C$2:$W231,14,FALSE),"")</f>
        <v/>
      </c>
      <c r="Y40" s="48" t="str">
        <f t="shared" si="4"/>
        <v/>
      </c>
      <c r="Z40" s="43" t="str">
        <f t="shared" si="4"/>
        <v/>
      </c>
      <c r="AA40" s="49" t="str">
        <f>IFERROR(VLOOKUP($A40,'Parts List and Volumes'!$C$2:$W231,15,FALSE),"")</f>
        <v/>
      </c>
      <c r="AB40" s="50" t="str">
        <f>IFERROR(VLOOKUP($A40,'Parts List and Volumes'!$C$2:$W231,16,FALSE),"")</f>
        <v/>
      </c>
      <c r="AC40" s="51" t="str">
        <f t="shared" si="5"/>
        <v/>
      </c>
      <c r="AD40" s="52" t="str">
        <f t="shared" si="5"/>
        <v/>
      </c>
      <c r="AE40" s="40" t="str">
        <f>IFERROR(VLOOKUP($A40,'Parts List and Volumes'!$C$2:$W231,17,FALSE),"")</f>
        <v/>
      </c>
      <c r="AF40" s="41" t="str">
        <f>IFERROR(VLOOKUP($A40,'Parts List and Volumes'!$C$2:$W231,18,FALSE),"")</f>
        <v/>
      </c>
      <c r="AG40" s="48" t="str">
        <f t="shared" si="6"/>
        <v/>
      </c>
      <c r="AH40" s="43" t="str">
        <f t="shared" si="6"/>
        <v/>
      </c>
      <c r="AI40" s="49" t="str">
        <f>IFERROR(VLOOKUP($A40,'Parts List and Volumes'!$C$2:$W231,19,FALSE),"")</f>
        <v/>
      </c>
      <c r="AJ40" s="50" t="str">
        <f>IFERROR(VLOOKUP($A40,'Parts List and Volumes'!$C$2:$W231,20,FALSE),"")</f>
        <v/>
      </c>
      <c r="AK40" s="51" t="str">
        <f t="shared" si="7"/>
        <v/>
      </c>
      <c r="AL40" s="52" t="str">
        <f t="shared" si="7"/>
        <v/>
      </c>
      <c r="AM40" s="40" t="str">
        <f>IFERROR(VLOOKUP($A40,'Parts List and Volumes'!$C$2:$W231,21,FALSE),"")</f>
        <v/>
      </c>
      <c r="AN40" s="41" t="str">
        <f>IFERROR(VLOOKUP($A40,'Parts List and Volumes'!$C$2:$W231,22,FALSE),"")</f>
        <v/>
      </c>
      <c r="AO40" s="48" t="str">
        <f t="shared" si="8"/>
        <v/>
      </c>
      <c r="AP40" s="43" t="str">
        <f t="shared" si="8"/>
        <v/>
      </c>
      <c r="AQ40" s="49" t="str">
        <f>IFERROR(VLOOKUP($A40,'Parts List and Volumes'!$C$2:$W231,23,FALSE),"")</f>
        <v/>
      </c>
      <c r="AR40" s="50" t="str">
        <f>IFERROR(VLOOKUP($A40,'Parts List and Volumes'!$C$2:$W231,24,FALSE),"")</f>
        <v/>
      </c>
      <c r="AS40" s="51" t="str">
        <f t="shared" si="9"/>
        <v/>
      </c>
      <c r="AT40" s="52" t="str">
        <f t="shared" si="9"/>
        <v/>
      </c>
      <c r="AU40" s="40" t="str">
        <f>IFERROR(VLOOKUP($A40,'Parts List and Volumes'!$C$2:$W231,25,FALSE),"")</f>
        <v/>
      </c>
      <c r="AV40" s="41" t="str">
        <f>IFERROR(VLOOKUP($A40,'Parts List and Volumes'!$C$2:$W231,26,FALSE),"")</f>
        <v/>
      </c>
      <c r="AW40" s="48" t="str">
        <f t="shared" si="10"/>
        <v/>
      </c>
      <c r="AX40" s="43" t="str">
        <f t="shared" si="10"/>
        <v/>
      </c>
    </row>
    <row r="41" spans="1:50" x14ac:dyDescent="0.25">
      <c r="A41" s="23"/>
      <c r="B41" s="24"/>
      <c r="C41" s="20" t="str">
        <f>IFERROR(VLOOKUP(A41,'Parts List and Volumes'!C40:D232,2,FALSE),"")</f>
        <v/>
      </c>
      <c r="D41" s="39" t="str">
        <f>IFERROR(IF(VLOOKUP($A41,'Parts List and Volumes'!$C40:$F295,3,FALSE)=0,"",VLOOKUP(A41,'Parts List and Volumes'!C40:F295,3,FALSE)),"")</f>
        <v/>
      </c>
      <c r="E41" s="39" t="str">
        <f>IFERROR(IF(VLOOKUP($A41,'Parts List and Volumes'!$C40:$F295,4,FALSE)=0,"",VLOOKUP(B41,'Parts List and Volumes'!D40:G295,3,FALSE)),"")</f>
        <v/>
      </c>
      <c r="F41" s="26"/>
      <c r="G41" s="40" t="str">
        <f>IFERROR(VLOOKUP($A41,'Parts List and Volumes'!$C$2:$W232,5,FALSE),"")</f>
        <v/>
      </c>
      <c r="H41" s="41" t="str">
        <f>IFERROR(VLOOKUP($A41,'Parts List and Volumes'!$C$2:$W232,6,FALSE),"")</f>
        <v/>
      </c>
      <c r="I41" s="42" t="str">
        <f t="shared" si="0"/>
        <v/>
      </c>
      <c r="J41" s="43" t="str">
        <f t="shared" si="0"/>
        <v/>
      </c>
      <c r="K41" s="58" t="str">
        <f>IFERROR(VLOOKUP($A41,'Parts List and Volumes'!$C$2:$W232,7,FALSE),"")</f>
        <v/>
      </c>
      <c r="L41" s="45" t="str">
        <f>IFERROR(VLOOKUP($A41,'Parts List and Volumes'!$C$2:$W232,8,FALSE),"")</f>
        <v/>
      </c>
      <c r="M41" s="46" t="str">
        <f t="shared" si="1"/>
        <v/>
      </c>
      <c r="N41" s="47" t="str">
        <f t="shared" si="1"/>
        <v/>
      </c>
      <c r="O41" s="41" t="str">
        <f>IFERROR(VLOOKUP($A41,'Parts List and Volumes'!$C$2:$W232,9,FALSE),"")</f>
        <v/>
      </c>
      <c r="P41" s="41" t="str">
        <f>IFERROR(VLOOKUP($A41,'Parts List and Volumes'!$C$2:$W232,10,FALSE),"")</f>
        <v/>
      </c>
      <c r="Q41" s="48" t="str">
        <f t="shared" si="2"/>
        <v/>
      </c>
      <c r="R41" s="43" t="str">
        <f t="shared" si="2"/>
        <v/>
      </c>
      <c r="S41" s="44" t="str">
        <f>IFERROR(VLOOKUP($A41,'Parts List and Volumes'!$C$2:$W232,11,FALSE),"")</f>
        <v/>
      </c>
      <c r="T41" s="45" t="str">
        <f>IFERROR(VLOOKUP($A41,'Parts List and Volumes'!$C$2:$W232,12,FALSE),"")</f>
        <v/>
      </c>
      <c r="U41" s="46" t="str">
        <f t="shared" si="3"/>
        <v/>
      </c>
      <c r="V41" s="47" t="str">
        <f t="shared" si="3"/>
        <v/>
      </c>
      <c r="W41" s="40" t="str">
        <f>IFERROR(VLOOKUP($A41,'Parts List and Volumes'!$C$2:$W232,13,FALSE),"")</f>
        <v/>
      </c>
      <c r="X41" s="41" t="str">
        <f>IFERROR(VLOOKUP($A41,'Parts List and Volumes'!$C$2:$W232,14,FALSE),"")</f>
        <v/>
      </c>
      <c r="Y41" s="48" t="str">
        <f t="shared" si="4"/>
        <v/>
      </c>
      <c r="Z41" s="43" t="str">
        <f t="shared" si="4"/>
        <v/>
      </c>
      <c r="AA41" s="49" t="str">
        <f>IFERROR(VLOOKUP($A41,'Parts List and Volumes'!$C$2:$W232,15,FALSE),"")</f>
        <v/>
      </c>
      <c r="AB41" s="50" t="str">
        <f>IFERROR(VLOOKUP($A41,'Parts List and Volumes'!$C$2:$W232,16,FALSE),"")</f>
        <v/>
      </c>
      <c r="AC41" s="51" t="str">
        <f t="shared" si="5"/>
        <v/>
      </c>
      <c r="AD41" s="52" t="str">
        <f t="shared" si="5"/>
        <v/>
      </c>
      <c r="AE41" s="40" t="str">
        <f>IFERROR(VLOOKUP($A41,'Parts List and Volumes'!$C$2:$W232,17,FALSE),"")</f>
        <v/>
      </c>
      <c r="AF41" s="41" t="str">
        <f>IFERROR(VLOOKUP($A41,'Parts List and Volumes'!$C$2:$W232,18,FALSE),"")</f>
        <v/>
      </c>
      <c r="AG41" s="48" t="str">
        <f t="shared" si="6"/>
        <v/>
      </c>
      <c r="AH41" s="43" t="str">
        <f t="shared" si="6"/>
        <v/>
      </c>
      <c r="AI41" s="49" t="str">
        <f>IFERROR(VLOOKUP($A41,'Parts List and Volumes'!$C$2:$W232,19,FALSE),"")</f>
        <v/>
      </c>
      <c r="AJ41" s="50" t="str">
        <f>IFERROR(VLOOKUP($A41,'Parts List and Volumes'!$C$2:$W232,20,FALSE),"")</f>
        <v/>
      </c>
      <c r="AK41" s="51" t="str">
        <f t="shared" si="7"/>
        <v/>
      </c>
      <c r="AL41" s="52" t="str">
        <f t="shared" si="7"/>
        <v/>
      </c>
      <c r="AM41" s="40" t="str">
        <f>IFERROR(VLOOKUP($A41,'Parts List and Volumes'!$C$2:$W232,21,FALSE),"")</f>
        <v/>
      </c>
      <c r="AN41" s="41" t="str">
        <f>IFERROR(VLOOKUP($A41,'Parts List and Volumes'!$C$2:$W232,22,FALSE),"")</f>
        <v/>
      </c>
      <c r="AO41" s="48" t="str">
        <f t="shared" si="8"/>
        <v/>
      </c>
      <c r="AP41" s="43" t="str">
        <f t="shared" si="8"/>
        <v/>
      </c>
      <c r="AQ41" s="49" t="str">
        <f>IFERROR(VLOOKUP($A41,'Parts List and Volumes'!$C$2:$W232,23,FALSE),"")</f>
        <v/>
      </c>
      <c r="AR41" s="50" t="str">
        <f>IFERROR(VLOOKUP($A41,'Parts List and Volumes'!$C$2:$W232,24,FALSE),"")</f>
        <v/>
      </c>
      <c r="AS41" s="51" t="str">
        <f t="shared" si="9"/>
        <v/>
      </c>
      <c r="AT41" s="52" t="str">
        <f t="shared" si="9"/>
        <v/>
      </c>
      <c r="AU41" s="40" t="str">
        <f>IFERROR(VLOOKUP($A41,'Parts List and Volumes'!$C$2:$W232,25,FALSE),"")</f>
        <v/>
      </c>
      <c r="AV41" s="41" t="str">
        <f>IFERROR(VLOOKUP($A41,'Parts List and Volumes'!$C$2:$W232,26,FALSE),"")</f>
        <v/>
      </c>
      <c r="AW41" s="48" t="str">
        <f t="shared" si="10"/>
        <v/>
      </c>
      <c r="AX41" s="43" t="str">
        <f t="shared" si="10"/>
        <v/>
      </c>
    </row>
    <row r="42" spans="1:50" x14ac:dyDescent="0.25">
      <c r="A42" s="23"/>
      <c r="B42" s="24"/>
      <c r="C42" s="20" t="str">
        <f>IFERROR(VLOOKUP(A42,'Parts List and Volumes'!C41:D233,2,FALSE),"")</f>
        <v/>
      </c>
      <c r="D42" s="39" t="str">
        <f>IFERROR(IF(VLOOKUP($A42,'Parts List and Volumes'!$C41:$F296,3,FALSE)=0,"",VLOOKUP(A42,'Parts List and Volumes'!C41:F296,3,FALSE)),"")</f>
        <v/>
      </c>
      <c r="E42" s="39" t="str">
        <f>IFERROR(IF(VLOOKUP($A42,'Parts List and Volumes'!$C41:$F296,4,FALSE)=0,"",VLOOKUP(B42,'Parts List and Volumes'!D41:G296,3,FALSE)),"")</f>
        <v/>
      </c>
      <c r="F42" s="26"/>
      <c r="G42" s="40" t="str">
        <f>IFERROR(VLOOKUP($A42,'Parts List and Volumes'!$C$2:$W233,5,FALSE),"")</f>
        <v/>
      </c>
      <c r="H42" s="41" t="str">
        <f>IFERROR(VLOOKUP($A42,'Parts List and Volumes'!$C$2:$W233,6,FALSE),"")</f>
        <v/>
      </c>
      <c r="I42" s="42" t="str">
        <f t="shared" si="0"/>
        <v/>
      </c>
      <c r="J42" s="43" t="str">
        <f t="shared" si="0"/>
        <v/>
      </c>
      <c r="K42" s="58" t="str">
        <f>IFERROR(VLOOKUP($A42,'Parts List and Volumes'!$C$2:$W233,7,FALSE),"")</f>
        <v/>
      </c>
      <c r="L42" s="45" t="str">
        <f>IFERROR(VLOOKUP($A42,'Parts List and Volumes'!$C$2:$W233,8,FALSE),"")</f>
        <v/>
      </c>
      <c r="M42" s="46" t="str">
        <f t="shared" si="1"/>
        <v/>
      </c>
      <c r="N42" s="47" t="str">
        <f t="shared" si="1"/>
        <v/>
      </c>
      <c r="O42" s="41" t="str">
        <f>IFERROR(VLOOKUP($A42,'Parts List and Volumes'!$C$2:$W233,9,FALSE),"")</f>
        <v/>
      </c>
      <c r="P42" s="41" t="str">
        <f>IFERROR(VLOOKUP($A42,'Parts List and Volumes'!$C$2:$W233,10,FALSE),"")</f>
        <v/>
      </c>
      <c r="Q42" s="48" t="str">
        <f t="shared" si="2"/>
        <v/>
      </c>
      <c r="R42" s="43" t="str">
        <f t="shared" si="2"/>
        <v/>
      </c>
      <c r="S42" s="44" t="str">
        <f>IFERROR(VLOOKUP($A42,'Parts List and Volumes'!$C$2:$W233,11,FALSE),"")</f>
        <v/>
      </c>
      <c r="T42" s="45" t="str">
        <f>IFERROR(VLOOKUP($A42,'Parts List and Volumes'!$C$2:$W233,12,FALSE),"")</f>
        <v/>
      </c>
      <c r="U42" s="46" t="str">
        <f t="shared" si="3"/>
        <v/>
      </c>
      <c r="V42" s="47" t="str">
        <f t="shared" si="3"/>
        <v/>
      </c>
      <c r="W42" s="40" t="str">
        <f>IFERROR(VLOOKUP($A42,'Parts List and Volumes'!$C$2:$W233,13,FALSE),"")</f>
        <v/>
      </c>
      <c r="X42" s="41" t="str">
        <f>IFERROR(VLOOKUP($A42,'Parts List and Volumes'!$C$2:$W233,14,FALSE),"")</f>
        <v/>
      </c>
      <c r="Y42" s="48" t="str">
        <f t="shared" si="4"/>
        <v/>
      </c>
      <c r="Z42" s="43" t="str">
        <f t="shared" si="4"/>
        <v/>
      </c>
      <c r="AA42" s="49" t="str">
        <f>IFERROR(VLOOKUP($A42,'Parts List and Volumes'!$C$2:$W233,15,FALSE),"")</f>
        <v/>
      </c>
      <c r="AB42" s="50" t="str">
        <f>IFERROR(VLOOKUP($A42,'Parts List and Volumes'!$C$2:$W233,16,FALSE),"")</f>
        <v/>
      </c>
      <c r="AC42" s="51" t="str">
        <f t="shared" si="5"/>
        <v/>
      </c>
      <c r="AD42" s="52" t="str">
        <f t="shared" si="5"/>
        <v/>
      </c>
      <c r="AE42" s="40" t="str">
        <f>IFERROR(VLOOKUP($A42,'Parts List and Volumes'!$C$2:$W233,17,FALSE),"")</f>
        <v/>
      </c>
      <c r="AF42" s="41" t="str">
        <f>IFERROR(VLOOKUP($A42,'Parts List and Volumes'!$C$2:$W233,18,FALSE),"")</f>
        <v/>
      </c>
      <c r="AG42" s="48" t="str">
        <f t="shared" si="6"/>
        <v/>
      </c>
      <c r="AH42" s="43" t="str">
        <f t="shared" si="6"/>
        <v/>
      </c>
      <c r="AI42" s="49" t="str">
        <f>IFERROR(VLOOKUP($A42,'Parts List and Volumes'!$C$2:$W233,19,FALSE),"")</f>
        <v/>
      </c>
      <c r="AJ42" s="50" t="str">
        <f>IFERROR(VLOOKUP($A42,'Parts List and Volumes'!$C$2:$W233,20,FALSE),"")</f>
        <v/>
      </c>
      <c r="AK42" s="51" t="str">
        <f t="shared" si="7"/>
        <v/>
      </c>
      <c r="AL42" s="52" t="str">
        <f t="shared" si="7"/>
        <v/>
      </c>
      <c r="AM42" s="40" t="str">
        <f>IFERROR(VLOOKUP($A42,'Parts List and Volumes'!$C$2:$W233,21,FALSE),"")</f>
        <v/>
      </c>
      <c r="AN42" s="41" t="str">
        <f>IFERROR(VLOOKUP($A42,'Parts List and Volumes'!$C$2:$W233,22,FALSE),"")</f>
        <v/>
      </c>
      <c r="AO42" s="48" t="str">
        <f t="shared" si="8"/>
        <v/>
      </c>
      <c r="AP42" s="43" t="str">
        <f t="shared" si="8"/>
        <v/>
      </c>
      <c r="AQ42" s="49" t="str">
        <f>IFERROR(VLOOKUP($A42,'Parts List and Volumes'!$C$2:$W233,23,FALSE),"")</f>
        <v/>
      </c>
      <c r="AR42" s="50" t="str">
        <f>IFERROR(VLOOKUP($A42,'Parts List and Volumes'!$C$2:$W233,24,FALSE),"")</f>
        <v/>
      </c>
      <c r="AS42" s="51" t="str">
        <f t="shared" si="9"/>
        <v/>
      </c>
      <c r="AT42" s="52" t="str">
        <f t="shared" si="9"/>
        <v/>
      </c>
      <c r="AU42" s="40" t="str">
        <f>IFERROR(VLOOKUP($A42,'Parts List and Volumes'!$C$2:$W233,25,FALSE),"")</f>
        <v/>
      </c>
      <c r="AV42" s="41" t="str">
        <f>IFERROR(VLOOKUP($A42,'Parts List and Volumes'!$C$2:$W233,26,FALSE),"")</f>
        <v/>
      </c>
      <c r="AW42" s="48" t="str">
        <f t="shared" si="10"/>
        <v/>
      </c>
      <c r="AX42" s="43" t="str">
        <f t="shared" si="10"/>
        <v/>
      </c>
    </row>
    <row r="43" spans="1:50" x14ac:dyDescent="0.25">
      <c r="A43" s="23"/>
      <c r="B43" s="24"/>
      <c r="C43" s="20" t="str">
        <f>IFERROR(VLOOKUP(A43,'Parts List and Volumes'!C42:D234,2,FALSE),"")</f>
        <v/>
      </c>
      <c r="D43" s="39" t="str">
        <f>IFERROR(IF(VLOOKUP($A43,'Parts List and Volumes'!$C42:$F297,3,FALSE)=0,"",VLOOKUP(A43,'Parts List and Volumes'!C42:F297,3,FALSE)),"")</f>
        <v/>
      </c>
      <c r="E43" s="39" t="str">
        <f>IFERROR(IF(VLOOKUP($A43,'Parts List and Volumes'!$C42:$F297,4,FALSE)=0,"",VLOOKUP(B43,'Parts List and Volumes'!D42:G297,3,FALSE)),"")</f>
        <v/>
      </c>
      <c r="F43" s="26"/>
      <c r="G43" s="40" t="str">
        <f>IFERROR(VLOOKUP($A43,'Parts List and Volumes'!$C$2:$W234,5,FALSE),"")</f>
        <v/>
      </c>
      <c r="H43" s="41" t="str">
        <f>IFERROR(VLOOKUP($A43,'Parts List and Volumes'!$C$2:$W234,6,FALSE),"")</f>
        <v/>
      </c>
      <c r="I43" s="42" t="str">
        <f t="shared" si="0"/>
        <v/>
      </c>
      <c r="J43" s="43" t="str">
        <f t="shared" si="0"/>
        <v/>
      </c>
      <c r="K43" s="58" t="str">
        <f>IFERROR(VLOOKUP($A43,'Parts List and Volumes'!$C$2:$W234,7,FALSE),"")</f>
        <v/>
      </c>
      <c r="L43" s="45" t="str">
        <f>IFERROR(VLOOKUP($A43,'Parts List and Volumes'!$C$2:$W234,8,FALSE),"")</f>
        <v/>
      </c>
      <c r="M43" s="46" t="str">
        <f t="shared" si="1"/>
        <v/>
      </c>
      <c r="N43" s="47" t="str">
        <f t="shared" si="1"/>
        <v/>
      </c>
      <c r="O43" s="41" t="str">
        <f>IFERROR(VLOOKUP($A43,'Parts List and Volumes'!$C$2:$W234,9,FALSE),"")</f>
        <v/>
      </c>
      <c r="P43" s="41" t="str">
        <f>IFERROR(VLOOKUP($A43,'Parts List and Volumes'!$C$2:$W234,10,FALSE),"")</f>
        <v/>
      </c>
      <c r="Q43" s="48" t="str">
        <f t="shared" si="2"/>
        <v/>
      </c>
      <c r="R43" s="43" t="str">
        <f t="shared" si="2"/>
        <v/>
      </c>
      <c r="S43" s="44" t="str">
        <f>IFERROR(VLOOKUP($A43,'Parts List and Volumes'!$C$2:$W234,11,FALSE),"")</f>
        <v/>
      </c>
      <c r="T43" s="45" t="str">
        <f>IFERROR(VLOOKUP($A43,'Parts List and Volumes'!$C$2:$W234,12,FALSE),"")</f>
        <v/>
      </c>
      <c r="U43" s="46" t="str">
        <f t="shared" si="3"/>
        <v/>
      </c>
      <c r="V43" s="47" t="str">
        <f t="shared" si="3"/>
        <v/>
      </c>
      <c r="W43" s="40" t="str">
        <f>IFERROR(VLOOKUP($A43,'Parts List and Volumes'!$C$2:$W234,13,FALSE),"")</f>
        <v/>
      </c>
      <c r="X43" s="41" t="str">
        <f>IFERROR(VLOOKUP($A43,'Parts List and Volumes'!$C$2:$W234,14,FALSE),"")</f>
        <v/>
      </c>
      <c r="Y43" s="48" t="str">
        <f t="shared" si="4"/>
        <v/>
      </c>
      <c r="Z43" s="43" t="str">
        <f t="shared" si="4"/>
        <v/>
      </c>
      <c r="AA43" s="49" t="str">
        <f>IFERROR(VLOOKUP($A43,'Parts List and Volumes'!$C$2:$W234,15,FALSE),"")</f>
        <v/>
      </c>
      <c r="AB43" s="50" t="str">
        <f>IFERROR(VLOOKUP($A43,'Parts List and Volumes'!$C$2:$W234,16,FALSE),"")</f>
        <v/>
      </c>
      <c r="AC43" s="51" t="str">
        <f t="shared" si="5"/>
        <v/>
      </c>
      <c r="AD43" s="52" t="str">
        <f t="shared" si="5"/>
        <v/>
      </c>
      <c r="AE43" s="40" t="str">
        <f>IFERROR(VLOOKUP($A43,'Parts List and Volumes'!$C$2:$W234,17,FALSE),"")</f>
        <v/>
      </c>
      <c r="AF43" s="41" t="str">
        <f>IFERROR(VLOOKUP($A43,'Parts List and Volumes'!$C$2:$W234,18,FALSE),"")</f>
        <v/>
      </c>
      <c r="AG43" s="48" t="str">
        <f t="shared" si="6"/>
        <v/>
      </c>
      <c r="AH43" s="43" t="str">
        <f t="shared" si="6"/>
        <v/>
      </c>
      <c r="AI43" s="49" t="str">
        <f>IFERROR(VLOOKUP($A43,'Parts List and Volumes'!$C$2:$W234,19,FALSE),"")</f>
        <v/>
      </c>
      <c r="AJ43" s="50" t="str">
        <f>IFERROR(VLOOKUP($A43,'Parts List and Volumes'!$C$2:$W234,20,FALSE),"")</f>
        <v/>
      </c>
      <c r="AK43" s="51" t="str">
        <f t="shared" si="7"/>
        <v/>
      </c>
      <c r="AL43" s="52" t="str">
        <f t="shared" si="7"/>
        <v/>
      </c>
      <c r="AM43" s="40" t="str">
        <f>IFERROR(VLOOKUP($A43,'Parts List and Volumes'!$C$2:$W234,21,FALSE),"")</f>
        <v/>
      </c>
      <c r="AN43" s="41" t="str">
        <f>IFERROR(VLOOKUP($A43,'Parts List and Volumes'!$C$2:$W234,22,FALSE),"")</f>
        <v/>
      </c>
      <c r="AO43" s="48" t="str">
        <f t="shared" si="8"/>
        <v/>
      </c>
      <c r="AP43" s="43" t="str">
        <f t="shared" si="8"/>
        <v/>
      </c>
      <c r="AQ43" s="49" t="str">
        <f>IFERROR(VLOOKUP($A43,'Parts List and Volumes'!$C$2:$W234,23,FALSE),"")</f>
        <v/>
      </c>
      <c r="AR43" s="50" t="str">
        <f>IFERROR(VLOOKUP($A43,'Parts List and Volumes'!$C$2:$W234,24,FALSE),"")</f>
        <v/>
      </c>
      <c r="AS43" s="51" t="str">
        <f t="shared" si="9"/>
        <v/>
      </c>
      <c r="AT43" s="52" t="str">
        <f t="shared" si="9"/>
        <v/>
      </c>
      <c r="AU43" s="40" t="str">
        <f>IFERROR(VLOOKUP($A43,'Parts List and Volumes'!$C$2:$W234,25,FALSE),"")</f>
        <v/>
      </c>
      <c r="AV43" s="41" t="str">
        <f>IFERROR(VLOOKUP($A43,'Parts List and Volumes'!$C$2:$W234,26,FALSE),"")</f>
        <v/>
      </c>
      <c r="AW43" s="48" t="str">
        <f t="shared" si="10"/>
        <v/>
      </c>
      <c r="AX43" s="43" t="str">
        <f t="shared" si="10"/>
        <v/>
      </c>
    </row>
    <row r="44" spans="1:50" x14ac:dyDescent="0.25">
      <c r="A44" s="23"/>
      <c r="B44" s="24"/>
      <c r="C44" s="20" t="str">
        <f>IFERROR(VLOOKUP(A44,'Parts List and Volumes'!C43:D235,2,FALSE),"")</f>
        <v/>
      </c>
      <c r="D44" s="39" t="str">
        <f>IFERROR(IF(VLOOKUP($A44,'Parts List and Volumes'!$C43:$F298,3,FALSE)=0,"",VLOOKUP(A44,'Parts List and Volumes'!C43:F298,3,FALSE)),"")</f>
        <v/>
      </c>
      <c r="E44" s="39" t="str">
        <f>IFERROR(IF(VLOOKUP($A44,'Parts List and Volumes'!$C43:$F298,4,FALSE)=0,"",VLOOKUP(B44,'Parts List and Volumes'!D43:G298,3,FALSE)),"")</f>
        <v/>
      </c>
      <c r="F44" s="26"/>
      <c r="G44" s="40" t="str">
        <f>IFERROR(VLOOKUP($A44,'Parts List and Volumes'!$C$2:$W235,5,FALSE),"")</f>
        <v/>
      </c>
      <c r="H44" s="41" t="str">
        <f>IFERROR(VLOOKUP($A44,'Parts List and Volumes'!$C$2:$W235,6,FALSE),"")</f>
        <v/>
      </c>
      <c r="I44" s="42" t="str">
        <f t="shared" si="0"/>
        <v/>
      </c>
      <c r="J44" s="43" t="str">
        <f t="shared" si="0"/>
        <v/>
      </c>
      <c r="K44" s="58" t="str">
        <f>IFERROR(VLOOKUP($A44,'Parts List and Volumes'!$C$2:$W235,7,FALSE),"")</f>
        <v/>
      </c>
      <c r="L44" s="45" t="str">
        <f>IFERROR(VLOOKUP($A44,'Parts List and Volumes'!$C$2:$W235,8,FALSE),"")</f>
        <v/>
      </c>
      <c r="M44" s="46" t="str">
        <f t="shared" si="1"/>
        <v/>
      </c>
      <c r="N44" s="47" t="str">
        <f t="shared" si="1"/>
        <v/>
      </c>
      <c r="O44" s="41" t="str">
        <f>IFERROR(VLOOKUP($A44,'Parts List and Volumes'!$C$2:$W235,9,FALSE),"")</f>
        <v/>
      </c>
      <c r="P44" s="41" t="str">
        <f>IFERROR(VLOOKUP($A44,'Parts List and Volumes'!$C$2:$W235,10,FALSE),"")</f>
        <v/>
      </c>
      <c r="Q44" s="48" t="str">
        <f t="shared" si="2"/>
        <v/>
      </c>
      <c r="R44" s="43" t="str">
        <f t="shared" si="2"/>
        <v/>
      </c>
      <c r="S44" s="44" t="str">
        <f>IFERROR(VLOOKUP($A44,'Parts List and Volumes'!$C$2:$W235,11,FALSE),"")</f>
        <v/>
      </c>
      <c r="T44" s="45" t="str">
        <f>IFERROR(VLOOKUP($A44,'Parts List and Volumes'!$C$2:$W235,12,FALSE),"")</f>
        <v/>
      </c>
      <c r="U44" s="46" t="str">
        <f t="shared" si="3"/>
        <v/>
      </c>
      <c r="V44" s="47" t="str">
        <f t="shared" si="3"/>
        <v/>
      </c>
      <c r="W44" s="40" t="str">
        <f>IFERROR(VLOOKUP($A44,'Parts List and Volumes'!$C$2:$W235,13,FALSE),"")</f>
        <v/>
      </c>
      <c r="X44" s="41" t="str">
        <f>IFERROR(VLOOKUP($A44,'Parts List and Volumes'!$C$2:$W235,14,FALSE),"")</f>
        <v/>
      </c>
      <c r="Y44" s="48" t="str">
        <f t="shared" si="4"/>
        <v/>
      </c>
      <c r="Z44" s="43" t="str">
        <f t="shared" si="4"/>
        <v/>
      </c>
      <c r="AA44" s="49" t="str">
        <f>IFERROR(VLOOKUP($A44,'Parts List and Volumes'!$C$2:$W235,15,FALSE),"")</f>
        <v/>
      </c>
      <c r="AB44" s="50" t="str">
        <f>IFERROR(VLOOKUP($A44,'Parts List and Volumes'!$C$2:$W235,16,FALSE),"")</f>
        <v/>
      </c>
      <c r="AC44" s="51" t="str">
        <f t="shared" si="5"/>
        <v/>
      </c>
      <c r="AD44" s="52" t="str">
        <f t="shared" si="5"/>
        <v/>
      </c>
      <c r="AE44" s="40" t="str">
        <f>IFERROR(VLOOKUP($A44,'Parts List and Volumes'!$C$2:$W235,17,FALSE),"")</f>
        <v/>
      </c>
      <c r="AF44" s="41" t="str">
        <f>IFERROR(VLOOKUP($A44,'Parts List and Volumes'!$C$2:$W235,18,FALSE),"")</f>
        <v/>
      </c>
      <c r="AG44" s="48" t="str">
        <f t="shared" si="6"/>
        <v/>
      </c>
      <c r="AH44" s="43" t="str">
        <f t="shared" si="6"/>
        <v/>
      </c>
      <c r="AI44" s="49" t="str">
        <f>IFERROR(VLOOKUP($A44,'Parts List and Volumes'!$C$2:$W235,19,FALSE),"")</f>
        <v/>
      </c>
      <c r="AJ44" s="50" t="str">
        <f>IFERROR(VLOOKUP($A44,'Parts List and Volumes'!$C$2:$W235,20,FALSE),"")</f>
        <v/>
      </c>
      <c r="AK44" s="51" t="str">
        <f t="shared" si="7"/>
        <v/>
      </c>
      <c r="AL44" s="52" t="str">
        <f t="shared" si="7"/>
        <v/>
      </c>
      <c r="AM44" s="40" t="str">
        <f>IFERROR(VLOOKUP($A44,'Parts List and Volumes'!$C$2:$W235,21,FALSE),"")</f>
        <v/>
      </c>
      <c r="AN44" s="41" t="str">
        <f>IFERROR(VLOOKUP($A44,'Parts List and Volumes'!$C$2:$W235,22,FALSE),"")</f>
        <v/>
      </c>
      <c r="AO44" s="48" t="str">
        <f t="shared" si="8"/>
        <v/>
      </c>
      <c r="AP44" s="43" t="str">
        <f t="shared" si="8"/>
        <v/>
      </c>
      <c r="AQ44" s="49" t="str">
        <f>IFERROR(VLOOKUP($A44,'Parts List and Volumes'!$C$2:$W235,23,FALSE),"")</f>
        <v/>
      </c>
      <c r="AR44" s="50" t="str">
        <f>IFERROR(VLOOKUP($A44,'Parts List and Volumes'!$C$2:$W235,24,FALSE),"")</f>
        <v/>
      </c>
      <c r="AS44" s="51" t="str">
        <f t="shared" si="9"/>
        <v/>
      </c>
      <c r="AT44" s="52" t="str">
        <f t="shared" si="9"/>
        <v/>
      </c>
      <c r="AU44" s="40" t="str">
        <f>IFERROR(VLOOKUP($A44,'Parts List and Volumes'!$C$2:$W235,25,FALSE),"")</f>
        <v/>
      </c>
      <c r="AV44" s="41" t="str">
        <f>IFERROR(VLOOKUP($A44,'Parts List and Volumes'!$C$2:$W235,26,FALSE),"")</f>
        <v/>
      </c>
      <c r="AW44" s="48" t="str">
        <f t="shared" si="10"/>
        <v/>
      </c>
      <c r="AX44" s="43" t="str">
        <f t="shared" si="10"/>
        <v/>
      </c>
    </row>
    <row r="45" spans="1:50" x14ac:dyDescent="0.25">
      <c r="A45" s="23"/>
      <c r="B45" s="24"/>
      <c r="C45" s="20" t="str">
        <f>IFERROR(VLOOKUP(A45,'Parts List and Volumes'!C44:D236,2,FALSE),"")</f>
        <v/>
      </c>
      <c r="D45" s="39" t="str">
        <f>IFERROR(IF(VLOOKUP($A45,'Parts List and Volumes'!$C44:$F299,3,FALSE)=0,"",VLOOKUP(A45,'Parts List and Volumes'!C44:F299,3,FALSE)),"")</f>
        <v/>
      </c>
      <c r="E45" s="39" t="str">
        <f>IFERROR(IF(VLOOKUP($A45,'Parts List and Volumes'!$C44:$F299,4,FALSE)=0,"",VLOOKUP(B45,'Parts List and Volumes'!D44:G299,3,FALSE)),"")</f>
        <v/>
      </c>
      <c r="F45" s="26"/>
      <c r="G45" s="40" t="str">
        <f>IFERROR(VLOOKUP($A45,'Parts List and Volumes'!$C$2:$W236,5,FALSE),"")</f>
        <v/>
      </c>
      <c r="H45" s="41" t="str">
        <f>IFERROR(VLOOKUP($A45,'Parts List and Volumes'!$C$2:$W236,6,FALSE),"")</f>
        <v/>
      </c>
      <c r="I45" s="42" t="str">
        <f t="shared" si="0"/>
        <v/>
      </c>
      <c r="J45" s="43" t="str">
        <f t="shared" si="0"/>
        <v/>
      </c>
      <c r="K45" s="58" t="str">
        <f>IFERROR(VLOOKUP($A45,'Parts List and Volumes'!$C$2:$W236,7,FALSE),"")</f>
        <v/>
      </c>
      <c r="L45" s="45" t="str">
        <f>IFERROR(VLOOKUP($A45,'Parts List and Volumes'!$C$2:$W236,8,FALSE),"")</f>
        <v/>
      </c>
      <c r="M45" s="46" t="str">
        <f t="shared" si="1"/>
        <v/>
      </c>
      <c r="N45" s="47" t="str">
        <f t="shared" si="1"/>
        <v/>
      </c>
      <c r="O45" s="41" t="str">
        <f>IFERROR(VLOOKUP($A45,'Parts List and Volumes'!$C$2:$W236,9,FALSE),"")</f>
        <v/>
      </c>
      <c r="P45" s="41" t="str">
        <f>IFERROR(VLOOKUP($A45,'Parts List and Volumes'!$C$2:$W236,10,FALSE),"")</f>
        <v/>
      </c>
      <c r="Q45" s="48" t="str">
        <f t="shared" si="2"/>
        <v/>
      </c>
      <c r="R45" s="43" t="str">
        <f t="shared" si="2"/>
        <v/>
      </c>
      <c r="S45" s="44" t="str">
        <f>IFERROR(VLOOKUP($A45,'Parts List and Volumes'!$C$2:$W236,11,FALSE),"")</f>
        <v/>
      </c>
      <c r="T45" s="45" t="str">
        <f>IFERROR(VLOOKUP($A45,'Parts List and Volumes'!$C$2:$W236,12,FALSE),"")</f>
        <v/>
      </c>
      <c r="U45" s="46" t="str">
        <f t="shared" si="3"/>
        <v/>
      </c>
      <c r="V45" s="47" t="str">
        <f t="shared" si="3"/>
        <v/>
      </c>
      <c r="W45" s="40" t="str">
        <f>IFERROR(VLOOKUP($A45,'Parts List and Volumes'!$C$2:$W236,13,FALSE),"")</f>
        <v/>
      </c>
      <c r="X45" s="41" t="str">
        <f>IFERROR(VLOOKUP($A45,'Parts List and Volumes'!$C$2:$W236,14,FALSE),"")</f>
        <v/>
      </c>
      <c r="Y45" s="48" t="str">
        <f t="shared" si="4"/>
        <v/>
      </c>
      <c r="Z45" s="43" t="str">
        <f t="shared" si="4"/>
        <v/>
      </c>
      <c r="AA45" s="49" t="str">
        <f>IFERROR(VLOOKUP($A45,'Parts List and Volumes'!$C$2:$W236,15,FALSE),"")</f>
        <v/>
      </c>
      <c r="AB45" s="50" t="str">
        <f>IFERROR(VLOOKUP($A45,'Parts List and Volumes'!$C$2:$W236,16,FALSE),"")</f>
        <v/>
      </c>
      <c r="AC45" s="51" t="str">
        <f t="shared" si="5"/>
        <v/>
      </c>
      <c r="AD45" s="52" t="str">
        <f t="shared" si="5"/>
        <v/>
      </c>
      <c r="AE45" s="40" t="str">
        <f>IFERROR(VLOOKUP($A45,'Parts List and Volumes'!$C$2:$W236,17,FALSE),"")</f>
        <v/>
      </c>
      <c r="AF45" s="41" t="str">
        <f>IFERROR(VLOOKUP($A45,'Parts List and Volumes'!$C$2:$W236,18,FALSE),"")</f>
        <v/>
      </c>
      <c r="AG45" s="48" t="str">
        <f t="shared" si="6"/>
        <v/>
      </c>
      <c r="AH45" s="43" t="str">
        <f t="shared" si="6"/>
        <v/>
      </c>
      <c r="AI45" s="49" t="str">
        <f>IFERROR(VLOOKUP($A45,'Parts List and Volumes'!$C$2:$W236,19,FALSE),"")</f>
        <v/>
      </c>
      <c r="AJ45" s="50" t="str">
        <f>IFERROR(VLOOKUP($A45,'Parts List and Volumes'!$C$2:$W236,20,FALSE),"")</f>
        <v/>
      </c>
      <c r="AK45" s="51" t="str">
        <f t="shared" si="7"/>
        <v/>
      </c>
      <c r="AL45" s="52" t="str">
        <f t="shared" si="7"/>
        <v/>
      </c>
      <c r="AM45" s="40" t="str">
        <f>IFERROR(VLOOKUP($A45,'Parts List and Volumes'!$C$2:$W236,21,FALSE),"")</f>
        <v/>
      </c>
      <c r="AN45" s="41" t="str">
        <f>IFERROR(VLOOKUP($A45,'Parts List and Volumes'!$C$2:$W236,22,FALSE),"")</f>
        <v/>
      </c>
      <c r="AO45" s="48" t="str">
        <f t="shared" si="8"/>
        <v/>
      </c>
      <c r="AP45" s="43" t="str">
        <f t="shared" si="8"/>
        <v/>
      </c>
      <c r="AQ45" s="49" t="str">
        <f>IFERROR(VLOOKUP($A45,'Parts List and Volumes'!$C$2:$W236,23,FALSE),"")</f>
        <v/>
      </c>
      <c r="AR45" s="50" t="str">
        <f>IFERROR(VLOOKUP($A45,'Parts List and Volumes'!$C$2:$W236,24,FALSE),"")</f>
        <v/>
      </c>
      <c r="AS45" s="51" t="str">
        <f t="shared" si="9"/>
        <v/>
      </c>
      <c r="AT45" s="52" t="str">
        <f t="shared" si="9"/>
        <v/>
      </c>
      <c r="AU45" s="40" t="str">
        <f>IFERROR(VLOOKUP($A45,'Parts List and Volumes'!$C$2:$W236,25,FALSE),"")</f>
        <v/>
      </c>
      <c r="AV45" s="41" t="str">
        <f>IFERROR(VLOOKUP($A45,'Parts List and Volumes'!$C$2:$W236,26,FALSE),"")</f>
        <v/>
      </c>
      <c r="AW45" s="48" t="str">
        <f t="shared" si="10"/>
        <v/>
      </c>
      <c r="AX45" s="43" t="str">
        <f t="shared" si="10"/>
        <v/>
      </c>
    </row>
    <row r="46" spans="1:50" x14ac:dyDescent="0.25">
      <c r="A46" s="23"/>
      <c r="B46" s="24"/>
      <c r="C46" s="20" t="str">
        <f>IFERROR(VLOOKUP(A46,'Parts List and Volumes'!C45:D237,2,FALSE),"")</f>
        <v/>
      </c>
      <c r="D46" s="39" t="str">
        <f>IFERROR(IF(VLOOKUP($A46,'Parts List and Volumes'!$C45:$F300,3,FALSE)=0,"",VLOOKUP(A46,'Parts List and Volumes'!C45:F300,3,FALSE)),"")</f>
        <v/>
      </c>
      <c r="E46" s="39" t="str">
        <f>IFERROR(IF(VLOOKUP($A46,'Parts List and Volumes'!$C45:$F300,4,FALSE)=0,"",VLOOKUP(B46,'Parts List and Volumes'!D45:G300,3,FALSE)),"")</f>
        <v/>
      </c>
      <c r="F46" s="26"/>
      <c r="G46" s="40" t="str">
        <f>IFERROR(VLOOKUP($A46,'Parts List and Volumes'!$C$2:$W237,5,FALSE),"")</f>
        <v/>
      </c>
      <c r="H46" s="41" t="str">
        <f>IFERROR(VLOOKUP($A46,'Parts List and Volumes'!$C$2:$W237,6,FALSE),"")</f>
        <v/>
      </c>
      <c r="I46" s="42" t="str">
        <f t="shared" si="0"/>
        <v/>
      </c>
      <c r="J46" s="43" t="str">
        <f t="shared" si="0"/>
        <v/>
      </c>
      <c r="K46" s="58" t="str">
        <f>IFERROR(VLOOKUP($A46,'Parts List and Volumes'!$C$2:$W237,7,FALSE),"")</f>
        <v/>
      </c>
      <c r="L46" s="45" t="str">
        <f>IFERROR(VLOOKUP($A46,'Parts List and Volumes'!$C$2:$W237,8,FALSE),"")</f>
        <v/>
      </c>
      <c r="M46" s="46" t="str">
        <f t="shared" si="1"/>
        <v/>
      </c>
      <c r="N46" s="47" t="str">
        <f t="shared" si="1"/>
        <v/>
      </c>
      <c r="O46" s="41" t="str">
        <f>IFERROR(VLOOKUP($A46,'Parts List and Volumes'!$C$2:$W237,9,FALSE),"")</f>
        <v/>
      </c>
      <c r="P46" s="41" t="str">
        <f>IFERROR(VLOOKUP($A46,'Parts List and Volumes'!$C$2:$W237,10,FALSE),"")</f>
        <v/>
      </c>
      <c r="Q46" s="48" t="str">
        <f t="shared" si="2"/>
        <v/>
      </c>
      <c r="R46" s="43" t="str">
        <f t="shared" si="2"/>
        <v/>
      </c>
      <c r="S46" s="44" t="str">
        <f>IFERROR(VLOOKUP($A46,'Parts List and Volumes'!$C$2:$W237,11,FALSE),"")</f>
        <v/>
      </c>
      <c r="T46" s="45" t="str">
        <f>IFERROR(VLOOKUP($A46,'Parts List and Volumes'!$C$2:$W237,12,FALSE),"")</f>
        <v/>
      </c>
      <c r="U46" s="46" t="str">
        <f t="shared" si="3"/>
        <v/>
      </c>
      <c r="V46" s="47" t="str">
        <f t="shared" si="3"/>
        <v/>
      </c>
      <c r="W46" s="40" t="str">
        <f>IFERROR(VLOOKUP($A46,'Parts List and Volumes'!$C$2:$W237,13,FALSE),"")</f>
        <v/>
      </c>
      <c r="X46" s="41" t="str">
        <f>IFERROR(VLOOKUP($A46,'Parts List and Volumes'!$C$2:$W237,14,FALSE),"")</f>
        <v/>
      </c>
      <c r="Y46" s="48" t="str">
        <f t="shared" si="4"/>
        <v/>
      </c>
      <c r="Z46" s="43" t="str">
        <f t="shared" si="4"/>
        <v/>
      </c>
      <c r="AA46" s="49" t="str">
        <f>IFERROR(VLOOKUP($A46,'Parts List and Volumes'!$C$2:$W237,15,FALSE),"")</f>
        <v/>
      </c>
      <c r="AB46" s="50" t="str">
        <f>IFERROR(VLOOKUP($A46,'Parts List and Volumes'!$C$2:$W237,16,FALSE),"")</f>
        <v/>
      </c>
      <c r="AC46" s="51" t="str">
        <f t="shared" si="5"/>
        <v/>
      </c>
      <c r="AD46" s="52" t="str">
        <f t="shared" si="5"/>
        <v/>
      </c>
      <c r="AE46" s="40" t="str">
        <f>IFERROR(VLOOKUP($A46,'Parts List and Volumes'!$C$2:$W237,17,FALSE),"")</f>
        <v/>
      </c>
      <c r="AF46" s="41" t="str">
        <f>IFERROR(VLOOKUP($A46,'Parts List and Volumes'!$C$2:$W237,18,FALSE),"")</f>
        <v/>
      </c>
      <c r="AG46" s="48" t="str">
        <f t="shared" si="6"/>
        <v/>
      </c>
      <c r="AH46" s="43" t="str">
        <f t="shared" si="6"/>
        <v/>
      </c>
      <c r="AI46" s="49" t="str">
        <f>IFERROR(VLOOKUP($A46,'Parts List and Volumes'!$C$2:$W237,19,FALSE),"")</f>
        <v/>
      </c>
      <c r="AJ46" s="50" t="str">
        <f>IFERROR(VLOOKUP($A46,'Parts List and Volumes'!$C$2:$W237,20,FALSE),"")</f>
        <v/>
      </c>
      <c r="AK46" s="51" t="str">
        <f t="shared" si="7"/>
        <v/>
      </c>
      <c r="AL46" s="52" t="str">
        <f t="shared" si="7"/>
        <v/>
      </c>
      <c r="AM46" s="40" t="str">
        <f>IFERROR(VLOOKUP($A46,'Parts List and Volumes'!$C$2:$W237,21,FALSE),"")</f>
        <v/>
      </c>
      <c r="AN46" s="41" t="str">
        <f>IFERROR(VLOOKUP($A46,'Parts List and Volumes'!$C$2:$W237,22,FALSE),"")</f>
        <v/>
      </c>
      <c r="AO46" s="48" t="str">
        <f t="shared" si="8"/>
        <v/>
      </c>
      <c r="AP46" s="43" t="str">
        <f t="shared" si="8"/>
        <v/>
      </c>
      <c r="AQ46" s="49" t="str">
        <f>IFERROR(VLOOKUP($A46,'Parts List and Volumes'!$C$2:$W237,23,FALSE),"")</f>
        <v/>
      </c>
      <c r="AR46" s="50" t="str">
        <f>IFERROR(VLOOKUP($A46,'Parts List and Volumes'!$C$2:$W237,24,FALSE),"")</f>
        <v/>
      </c>
      <c r="AS46" s="51" t="str">
        <f t="shared" si="9"/>
        <v/>
      </c>
      <c r="AT46" s="52" t="str">
        <f t="shared" si="9"/>
        <v/>
      </c>
      <c r="AU46" s="40" t="str">
        <f>IFERROR(VLOOKUP($A46,'Parts List and Volumes'!$C$2:$W237,25,FALSE),"")</f>
        <v/>
      </c>
      <c r="AV46" s="41" t="str">
        <f>IFERROR(VLOOKUP($A46,'Parts List and Volumes'!$C$2:$W237,26,FALSE),"")</f>
        <v/>
      </c>
      <c r="AW46" s="48" t="str">
        <f t="shared" si="10"/>
        <v/>
      </c>
      <c r="AX46" s="43" t="str">
        <f t="shared" si="10"/>
        <v/>
      </c>
    </row>
    <row r="47" spans="1:50" x14ac:dyDescent="0.25">
      <c r="A47" s="23"/>
      <c r="B47" s="24"/>
      <c r="C47" s="20" t="str">
        <f>IFERROR(VLOOKUP(A47,'Parts List and Volumes'!C46:D238,2,FALSE),"")</f>
        <v/>
      </c>
      <c r="D47" s="39" t="str">
        <f>IFERROR(IF(VLOOKUP($A47,'Parts List and Volumes'!$C46:$F301,3,FALSE)=0,"",VLOOKUP(A47,'Parts List and Volumes'!C46:F301,3,FALSE)),"")</f>
        <v/>
      </c>
      <c r="E47" s="39" t="str">
        <f>IFERROR(IF(VLOOKUP($A47,'Parts List and Volumes'!$C46:$F301,4,FALSE)=0,"",VLOOKUP(B47,'Parts List and Volumes'!D46:G301,3,FALSE)),"")</f>
        <v/>
      </c>
      <c r="F47" s="26"/>
      <c r="G47" s="40" t="str">
        <f>IFERROR(VLOOKUP($A47,'Parts List and Volumes'!$C$2:$W238,5,FALSE),"")</f>
        <v/>
      </c>
      <c r="H47" s="41" t="str">
        <f>IFERROR(VLOOKUP($A47,'Parts List and Volumes'!$C$2:$W238,6,FALSE),"")</f>
        <v/>
      </c>
      <c r="I47" s="42" t="str">
        <f t="shared" si="0"/>
        <v/>
      </c>
      <c r="J47" s="43" t="str">
        <f t="shared" si="0"/>
        <v/>
      </c>
      <c r="K47" s="58" t="str">
        <f>IFERROR(VLOOKUP($A47,'Parts List and Volumes'!$C$2:$W238,7,FALSE),"")</f>
        <v/>
      </c>
      <c r="L47" s="45" t="str">
        <f>IFERROR(VLOOKUP($A47,'Parts List and Volumes'!$C$2:$W238,8,FALSE),"")</f>
        <v/>
      </c>
      <c r="M47" s="46" t="str">
        <f t="shared" si="1"/>
        <v/>
      </c>
      <c r="N47" s="47" t="str">
        <f t="shared" si="1"/>
        <v/>
      </c>
      <c r="O47" s="41" t="str">
        <f>IFERROR(VLOOKUP($A47,'Parts List and Volumes'!$C$2:$W238,9,FALSE),"")</f>
        <v/>
      </c>
      <c r="P47" s="41" t="str">
        <f>IFERROR(VLOOKUP($A47,'Parts List and Volumes'!$C$2:$W238,10,FALSE),"")</f>
        <v/>
      </c>
      <c r="Q47" s="48" t="str">
        <f t="shared" si="2"/>
        <v/>
      </c>
      <c r="R47" s="43" t="str">
        <f t="shared" si="2"/>
        <v/>
      </c>
      <c r="S47" s="44" t="str">
        <f>IFERROR(VLOOKUP($A47,'Parts List and Volumes'!$C$2:$W238,11,FALSE),"")</f>
        <v/>
      </c>
      <c r="T47" s="45" t="str">
        <f>IFERROR(VLOOKUP($A47,'Parts List and Volumes'!$C$2:$W238,12,FALSE),"")</f>
        <v/>
      </c>
      <c r="U47" s="46" t="str">
        <f t="shared" si="3"/>
        <v/>
      </c>
      <c r="V47" s="47" t="str">
        <f t="shared" si="3"/>
        <v/>
      </c>
      <c r="W47" s="40" t="str">
        <f>IFERROR(VLOOKUP($A47,'Parts List and Volumes'!$C$2:$W238,13,FALSE),"")</f>
        <v/>
      </c>
      <c r="X47" s="41" t="str">
        <f>IFERROR(VLOOKUP($A47,'Parts List and Volumes'!$C$2:$W238,14,FALSE),"")</f>
        <v/>
      </c>
      <c r="Y47" s="48" t="str">
        <f t="shared" si="4"/>
        <v/>
      </c>
      <c r="Z47" s="43" t="str">
        <f t="shared" si="4"/>
        <v/>
      </c>
      <c r="AA47" s="49" t="str">
        <f>IFERROR(VLOOKUP($A47,'Parts List and Volumes'!$C$2:$W238,15,FALSE),"")</f>
        <v/>
      </c>
      <c r="AB47" s="50" t="str">
        <f>IFERROR(VLOOKUP($A47,'Parts List and Volumes'!$C$2:$W238,16,FALSE),"")</f>
        <v/>
      </c>
      <c r="AC47" s="51" t="str">
        <f t="shared" si="5"/>
        <v/>
      </c>
      <c r="AD47" s="52" t="str">
        <f t="shared" si="5"/>
        <v/>
      </c>
      <c r="AE47" s="40" t="str">
        <f>IFERROR(VLOOKUP($A47,'Parts List and Volumes'!$C$2:$W238,17,FALSE),"")</f>
        <v/>
      </c>
      <c r="AF47" s="41" t="str">
        <f>IFERROR(VLOOKUP($A47,'Parts List and Volumes'!$C$2:$W238,18,FALSE),"")</f>
        <v/>
      </c>
      <c r="AG47" s="48" t="str">
        <f t="shared" si="6"/>
        <v/>
      </c>
      <c r="AH47" s="43" t="str">
        <f t="shared" si="6"/>
        <v/>
      </c>
      <c r="AI47" s="49" t="str">
        <f>IFERROR(VLOOKUP($A47,'Parts List and Volumes'!$C$2:$W238,19,FALSE),"")</f>
        <v/>
      </c>
      <c r="AJ47" s="50" t="str">
        <f>IFERROR(VLOOKUP($A47,'Parts List and Volumes'!$C$2:$W238,20,FALSE),"")</f>
        <v/>
      </c>
      <c r="AK47" s="51" t="str">
        <f t="shared" si="7"/>
        <v/>
      </c>
      <c r="AL47" s="52" t="str">
        <f t="shared" si="7"/>
        <v/>
      </c>
      <c r="AM47" s="40" t="str">
        <f>IFERROR(VLOOKUP($A47,'Parts List and Volumes'!$C$2:$W238,21,FALSE),"")</f>
        <v/>
      </c>
      <c r="AN47" s="41" t="str">
        <f>IFERROR(VLOOKUP($A47,'Parts List and Volumes'!$C$2:$W238,22,FALSE),"")</f>
        <v/>
      </c>
      <c r="AO47" s="48" t="str">
        <f t="shared" si="8"/>
        <v/>
      </c>
      <c r="AP47" s="43" t="str">
        <f t="shared" si="8"/>
        <v/>
      </c>
      <c r="AQ47" s="49" t="str">
        <f>IFERROR(VLOOKUP($A47,'Parts List and Volumes'!$C$2:$W238,23,FALSE),"")</f>
        <v/>
      </c>
      <c r="AR47" s="50" t="str">
        <f>IFERROR(VLOOKUP($A47,'Parts List and Volumes'!$C$2:$W238,24,FALSE),"")</f>
        <v/>
      </c>
      <c r="AS47" s="51" t="str">
        <f t="shared" si="9"/>
        <v/>
      </c>
      <c r="AT47" s="52" t="str">
        <f t="shared" si="9"/>
        <v/>
      </c>
      <c r="AU47" s="40" t="str">
        <f>IFERROR(VLOOKUP($A47,'Parts List and Volumes'!$C$2:$W238,25,FALSE),"")</f>
        <v/>
      </c>
      <c r="AV47" s="41" t="str">
        <f>IFERROR(VLOOKUP($A47,'Parts List and Volumes'!$C$2:$W238,26,FALSE),"")</f>
        <v/>
      </c>
      <c r="AW47" s="48" t="str">
        <f t="shared" si="10"/>
        <v/>
      </c>
      <c r="AX47" s="43" t="str">
        <f t="shared" si="10"/>
        <v/>
      </c>
    </row>
    <row r="48" spans="1:50" x14ac:dyDescent="0.25">
      <c r="A48" s="23"/>
      <c r="B48" s="24"/>
      <c r="C48" s="20" t="str">
        <f>IFERROR(VLOOKUP(A48,'Parts List and Volumes'!C47:D239,2,FALSE),"")</f>
        <v/>
      </c>
      <c r="D48" s="39" t="str">
        <f>IFERROR(IF(VLOOKUP($A48,'Parts List and Volumes'!$C47:$F302,3,FALSE)=0,"",VLOOKUP(A48,'Parts List and Volumes'!C47:F302,3,FALSE)),"")</f>
        <v/>
      </c>
      <c r="E48" s="39" t="str">
        <f>IFERROR(IF(VLOOKUP($A48,'Parts List and Volumes'!$C47:$F302,4,FALSE)=0,"",VLOOKUP(B48,'Parts List and Volumes'!D47:G302,3,FALSE)),"")</f>
        <v/>
      </c>
      <c r="F48" s="26"/>
      <c r="G48" s="40" t="str">
        <f>IFERROR(VLOOKUP($A48,'Parts List and Volumes'!$C$2:$W239,5,FALSE),"")</f>
        <v/>
      </c>
      <c r="H48" s="41" t="str">
        <f>IFERROR(VLOOKUP($A48,'Parts List and Volumes'!$C$2:$W239,6,FALSE),"")</f>
        <v/>
      </c>
      <c r="I48" s="42" t="str">
        <f t="shared" si="0"/>
        <v/>
      </c>
      <c r="J48" s="43" t="str">
        <f t="shared" si="0"/>
        <v/>
      </c>
      <c r="K48" s="58" t="str">
        <f>IFERROR(VLOOKUP($A48,'Parts List and Volumes'!$C$2:$W239,7,FALSE),"")</f>
        <v/>
      </c>
      <c r="L48" s="45" t="str">
        <f>IFERROR(VLOOKUP($A48,'Parts List and Volumes'!$C$2:$W239,8,FALSE),"")</f>
        <v/>
      </c>
      <c r="M48" s="46" t="str">
        <f t="shared" si="1"/>
        <v/>
      </c>
      <c r="N48" s="47" t="str">
        <f t="shared" si="1"/>
        <v/>
      </c>
      <c r="O48" s="41" t="str">
        <f>IFERROR(VLOOKUP($A48,'Parts List and Volumes'!$C$2:$W239,9,FALSE),"")</f>
        <v/>
      </c>
      <c r="P48" s="41" t="str">
        <f>IFERROR(VLOOKUP($A48,'Parts List and Volumes'!$C$2:$W239,10,FALSE),"")</f>
        <v/>
      </c>
      <c r="Q48" s="48" t="str">
        <f t="shared" si="2"/>
        <v/>
      </c>
      <c r="R48" s="43" t="str">
        <f t="shared" si="2"/>
        <v/>
      </c>
      <c r="S48" s="44" t="str">
        <f>IFERROR(VLOOKUP($A48,'Parts List and Volumes'!$C$2:$W239,11,FALSE),"")</f>
        <v/>
      </c>
      <c r="T48" s="45" t="str">
        <f>IFERROR(VLOOKUP($A48,'Parts List and Volumes'!$C$2:$W239,12,FALSE),"")</f>
        <v/>
      </c>
      <c r="U48" s="46" t="str">
        <f t="shared" si="3"/>
        <v/>
      </c>
      <c r="V48" s="47" t="str">
        <f t="shared" si="3"/>
        <v/>
      </c>
      <c r="W48" s="40" t="str">
        <f>IFERROR(VLOOKUP($A48,'Parts List and Volumes'!$C$2:$W239,13,FALSE),"")</f>
        <v/>
      </c>
      <c r="X48" s="41" t="str">
        <f>IFERROR(VLOOKUP($A48,'Parts List and Volumes'!$C$2:$W239,14,FALSE),"")</f>
        <v/>
      </c>
      <c r="Y48" s="48" t="str">
        <f t="shared" si="4"/>
        <v/>
      </c>
      <c r="Z48" s="43" t="str">
        <f t="shared" si="4"/>
        <v/>
      </c>
      <c r="AA48" s="49" t="str">
        <f>IFERROR(VLOOKUP($A48,'Parts List and Volumes'!$C$2:$W239,15,FALSE),"")</f>
        <v/>
      </c>
      <c r="AB48" s="50" t="str">
        <f>IFERROR(VLOOKUP($A48,'Parts List and Volumes'!$C$2:$W239,16,FALSE),"")</f>
        <v/>
      </c>
      <c r="AC48" s="51" t="str">
        <f t="shared" si="5"/>
        <v/>
      </c>
      <c r="AD48" s="52" t="str">
        <f t="shared" si="5"/>
        <v/>
      </c>
      <c r="AE48" s="40" t="str">
        <f>IFERROR(VLOOKUP($A48,'Parts List and Volumes'!$C$2:$W239,17,FALSE),"")</f>
        <v/>
      </c>
      <c r="AF48" s="41" t="str">
        <f>IFERROR(VLOOKUP($A48,'Parts List and Volumes'!$C$2:$W239,18,FALSE),"")</f>
        <v/>
      </c>
      <c r="AG48" s="48" t="str">
        <f t="shared" si="6"/>
        <v/>
      </c>
      <c r="AH48" s="43" t="str">
        <f t="shared" si="6"/>
        <v/>
      </c>
      <c r="AI48" s="49" t="str">
        <f>IFERROR(VLOOKUP($A48,'Parts List and Volumes'!$C$2:$W239,19,FALSE),"")</f>
        <v/>
      </c>
      <c r="AJ48" s="50" t="str">
        <f>IFERROR(VLOOKUP($A48,'Parts List and Volumes'!$C$2:$W239,20,FALSE),"")</f>
        <v/>
      </c>
      <c r="AK48" s="51" t="str">
        <f t="shared" si="7"/>
        <v/>
      </c>
      <c r="AL48" s="52" t="str">
        <f t="shared" si="7"/>
        <v/>
      </c>
      <c r="AM48" s="40" t="str">
        <f>IFERROR(VLOOKUP($A48,'Parts List and Volumes'!$C$2:$W239,21,FALSE),"")</f>
        <v/>
      </c>
      <c r="AN48" s="41" t="str">
        <f>IFERROR(VLOOKUP($A48,'Parts List and Volumes'!$C$2:$W239,22,FALSE),"")</f>
        <v/>
      </c>
      <c r="AO48" s="48" t="str">
        <f t="shared" si="8"/>
        <v/>
      </c>
      <c r="AP48" s="43" t="str">
        <f t="shared" si="8"/>
        <v/>
      </c>
      <c r="AQ48" s="49" t="str">
        <f>IFERROR(VLOOKUP($A48,'Parts List and Volumes'!$C$2:$W239,23,FALSE),"")</f>
        <v/>
      </c>
      <c r="AR48" s="50" t="str">
        <f>IFERROR(VLOOKUP($A48,'Parts List and Volumes'!$C$2:$W239,24,FALSE),"")</f>
        <v/>
      </c>
      <c r="AS48" s="51" t="str">
        <f t="shared" si="9"/>
        <v/>
      </c>
      <c r="AT48" s="52" t="str">
        <f t="shared" si="9"/>
        <v/>
      </c>
      <c r="AU48" s="40" t="str">
        <f>IFERROR(VLOOKUP($A48,'Parts List and Volumes'!$C$2:$W239,25,FALSE),"")</f>
        <v/>
      </c>
      <c r="AV48" s="41" t="str">
        <f>IFERROR(VLOOKUP($A48,'Parts List and Volumes'!$C$2:$W239,26,FALSE),"")</f>
        <v/>
      </c>
      <c r="AW48" s="48" t="str">
        <f t="shared" si="10"/>
        <v/>
      </c>
      <c r="AX48" s="43" t="str">
        <f t="shared" si="10"/>
        <v/>
      </c>
    </row>
    <row r="49" spans="1:50" x14ac:dyDescent="0.25">
      <c r="A49" s="23"/>
      <c r="B49" s="24"/>
      <c r="C49" s="20" t="str">
        <f>IFERROR(VLOOKUP(A49,'Parts List and Volumes'!C48:D240,2,FALSE),"")</f>
        <v/>
      </c>
      <c r="D49" s="39" t="str">
        <f>IFERROR(IF(VLOOKUP($A49,'Parts List and Volumes'!$C48:$F303,3,FALSE)=0,"",VLOOKUP(A49,'Parts List and Volumes'!C48:F303,3,FALSE)),"")</f>
        <v/>
      </c>
      <c r="E49" s="39" t="str">
        <f>IFERROR(IF(VLOOKUP($A49,'Parts List and Volumes'!$C48:$F303,4,FALSE)=0,"",VLOOKUP(B49,'Parts List and Volumes'!D48:G303,3,FALSE)),"")</f>
        <v/>
      </c>
      <c r="F49" s="26"/>
      <c r="G49" s="40" t="str">
        <f>IFERROR(VLOOKUP($A49,'Parts List and Volumes'!$C$2:$W240,5,FALSE),"")</f>
        <v/>
      </c>
      <c r="H49" s="41" t="str">
        <f>IFERROR(VLOOKUP($A49,'Parts List and Volumes'!$C$2:$W240,6,FALSE),"")</f>
        <v/>
      </c>
      <c r="I49" s="42" t="str">
        <f t="shared" si="0"/>
        <v/>
      </c>
      <c r="J49" s="43" t="str">
        <f t="shared" si="0"/>
        <v/>
      </c>
      <c r="K49" s="58" t="str">
        <f>IFERROR(VLOOKUP($A49,'Parts List and Volumes'!$C$2:$W240,7,FALSE),"")</f>
        <v/>
      </c>
      <c r="L49" s="45" t="str">
        <f>IFERROR(VLOOKUP($A49,'Parts List and Volumes'!$C$2:$W240,8,FALSE),"")</f>
        <v/>
      </c>
      <c r="M49" s="46" t="str">
        <f t="shared" si="1"/>
        <v/>
      </c>
      <c r="N49" s="47" t="str">
        <f t="shared" si="1"/>
        <v/>
      </c>
      <c r="O49" s="41" t="str">
        <f>IFERROR(VLOOKUP($A49,'Parts List and Volumes'!$C$2:$W240,9,FALSE),"")</f>
        <v/>
      </c>
      <c r="P49" s="41" t="str">
        <f>IFERROR(VLOOKUP($A49,'Parts List and Volumes'!$C$2:$W240,10,FALSE),"")</f>
        <v/>
      </c>
      <c r="Q49" s="48" t="str">
        <f t="shared" si="2"/>
        <v/>
      </c>
      <c r="R49" s="43" t="str">
        <f t="shared" si="2"/>
        <v/>
      </c>
      <c r="S49" s="44" t="str">
        <f>IFERROR(VLOOKUP($A49,'Parts List and Volumes'!$C$2:$W240,11,FALSE),"")</f>
        <v/>
      </c>
      <c r="T49" s="45" t="str">
        <f>IFERROR(VLOOKUP($A49,'Parts List and Volumes'!$C$2:$W240,12,FALSE),"")</f>
        <v/>
      </c>
      <c r="U49" s="46" t="str">
        <f t="shared" si="3"/>
        <v/>
      </c>
      <c r="V49" s="47" t="str">
        <f t="shared" si="3"/>
        <v/>
      </c>
      <c r="W49" s="40" t="str">
        <f>IFERROR(VLOOKUP($A49,'Parts List and Volumes'!$C$2:$W240,13,FALSE),"")</f>
        <v/>
      </c>
      <c r="X49" s="41" t="str">
        <f>IFERROR(VLOOKUP($A49,'Parts List and Volumes'!$C$2:$W240,14,FALSE),"")</f>
        <v/>
      </c>
      <c r="Y49" s="48" t="str">
        <f t="shared" si="4"/>
        <v/>
      </c>
      <c r="Z49" s="43" t="str">
        <f t="shared" si="4"/>
        <v/>
      </c>
      <c r="AA49" s="49" t="str">
        <f>IFERROR(VLOOKUP($A49,'Parts List and Volumes'!$C$2:$W240,15,FALSE),"")</f>
        <v/>
      </c>
      <c r="AB49" s="50" t="str">
        <f>IFERROR(VLOOKUP($A49,'Parts List and Volumes'!$C$2:$W240,16,FALSE),"")</f>
        <v/>
      </c>
      <c r="AC49" s="51" t="str">
        <f t="shared" si="5"/>
        <v/>
      </c>
      <c r="AD49" s="52" t="str">
        <f t="shared" si="5"/>
        <v/>
      </c>
      <c r="AE49" s="40" t="str">
        <f>IFERROR(VLOOKUP($A49,'Parts List and Volumes'!$C$2:$W240,17,FALSE),"")</f>
        <v/>
      </c>
      <c r="AF49" s="41" t="str">
        <f>IFERROR(VLOOKUP($A49,'Parts List and Volumes'!$C$2:$W240,18,FALSE),"")</f>
        <v/>
      </c>
      <c r="AG49" s="48" t="str">
        <f t="shared" si="6"/>
        <v/>
      </c>
      <c r="AH49" s="43" t="str">
        <f t="shared" si="6"/>
        <v/>
      </c>
      <c r="AI49" s="49" t="str">
        <f>IFERROR(VLOOKUP($A49,'Parts List and Volumes'!$C$2:$W240,19,FALSE),"")</f>
        <v/>
      </c>
      <c r="AJ49" s="50" t="str">
        <f>IFERROR(VLOOKUP($A49,'Parts List and Volumes'!$C$2:$W240,20,FALSE),"")</f>
        <v/>
      </c>
      <c r="AK49" s="51" t="str">
        <f t="shared" si="7"/>
        <v/>
      </c>
      <c r="AL49" s="52" t="str">
        <f t="shared" si="7"/>
        <v/>
      </c>
      <c r="AM49" s="40" t="str">
        <f>IFERROR(VLOOKUP($A49,'Parts List and Volumes'!$C$2:$W240,21,FALSE),"")</f>
        <v/>
      </c>
      <c r="AN49" s="41" t="str">
        <f>IFERROR(VLOOKUP($A49,'Parts List and Volumes'!$C$2:$W240,22,FALSE),"")</f>
        <v/>
      </c>
      <c r="AO49" s="48" t="str">
        <f t="shared" si="8"/>
        <v/>
      </c>
      <c r="AP49" s="43" t="str">
        <f t="shared" si="8"/>
        <v/>
      </c>
      <c r="AQ49" s="49" t="str">
        <f>IFERROR(VLOOKUP($A49,'Parts List and Volumes'!$C$2:$W240,23,FALSE),"")</f>
        <v/>
      </c>
      <c r="AR49" s="50" t="str">
        <f>IFERROR(VLOOKUP($A49,'Parts List and Volumes'!$C$2:$W240,24,FALSE),"")</f>
        <v/>
      </c>
      <c r="AS49" s="51" t="str">
        <f t="shared" si="9"/>
        <v/>
      </c>
      <c r="AT49" s="52" t="str">
        <f t="shared" si="9"/>
        <v/>
      </c>
      <c r="AU49" s="40" t="str">
        <f>IFERROR(VLOOKUP($A49,'Parts List and Volumes'!$C$2:$W240,25,FALSE),"")</f>
        <v/>
      </c>
      <c r="AV49" s="41" t="str">
        <f>IFERROR(VLOOKUP($A49,'Parts List and Volumes'!$C$2:$W240,26,FALSE),"")</f>
        <v/>
      </c>
      <c r="AW49" s="48" t="str">
        <f t="shared" si="10"/>
        <v/>
      </c>
      <c r="AX49" s="43" t="str">
        <f t="shared" si="10"/>
        <v/>
      </c>
    </row>
    <row r="50" spans="1:50" x14ac:dyDescent="0.25">
      <c r="A50" s="23"/>
      <c r="B50" s="24"/>
      <c r="C50" s="20" t="str">
        <f>IFERROR(VLOOKUP(A50,'Parts List and Volumes'!C49:D241,2,FALSE),"")</f>
        <v/>
      </c>
      <c r="D50" s="39" t="str">
        <f>IFERROR(IF(VLOOKUP($A50,'Parts List and Volumes'!$C49:$F304,3,FALSE)=0,"",VLOOKUP(A50,'Parts List and Volumes'!C49:F304,3,FALSE)),"")</f>
        <v/>
      </c>
      <c r="E50" s="39" t="str">
        <f>IFERROR(IF(VLOOKUP($A50,'Parts List and Volumes'!$C49:$F304,4,FALSE)=0,"",VLOOKUP(B50,'Parts List and Volumes'!D49:G304,3,FALSE)),"")</f>
        <v/>
      </c>
      <c r="F50" s="26"/>
      <c r="G50" s="40" t="str">
        <f>IFERROR(VLOOKUP($A50,'Parts List and Volumes'!$C$2:$W241,5,FALSE),"")</f>
        <v/>
      </c>
      <c r="H50" s="41" t="str">
        <f>IFERROR(VLOOKUP($A50,'Parts List and Volumes'!$C$2:$W241,6,FALSE),"")</f>
        <v/>
      </c>
      <c r="I50" s="42" t="str">
        <f t="shared" si="0"/>
        <v/>
      </c>
      <c r="J50" s="43" t="str">
        <f t="shared" si="0"/>
        <v/>
      </c>
      <c r="K50" s="58" t="str">
        <f>IFERROR(VLOOKUP($A50,'Parts List and Volumes'!$C$2:$W241,7,FALSE),"")</f>
        <v/>
      </c>
      <c r="L50" s="45" t="str">
        <f>IFERROR(VLOOKUP($A50,'Parts List and Volumes'!$C$2:$W241,8,FALSE),"")</f>
        <v/>
      </c>
      <c r="M50" s="46" t="str">
        <f t="shared" si="1"/>
        <v/>
      </c>
      <c r="N50" s="47" t="str">
        <f t="shared" si="1"/>
        <v/>
      </c>
      <c r="O50" s="41" t="str">
        <f>IFERROR(VLOOKUP($A50,'Parts List and Volumes'!$C$2:$W241,9,FALSE),"")</f>
        <v/>
      </c>
      <c r="P50" s="41" t="str">
        <f>IFERROR(VLOOKUP($A50,'Parts List and Volumes'!$C$2:$W241,10,FALSE),"")</f>
        <v/>
      </c>
      <c r="Q50" s="48" t="str">
        <f t="shared" si="2"/>
        <v/>
      </c>
      <c r="R50" s="43" t="str">
        <f t="shared" si="2"/>
        <v/>
      </c>
      <c r="S50" s="44" t="str">
        <f>IFERROR(VLOOKUP($A50,'Parts List and Volumes'!$C$2:$W241,11,FALSE),"")</f>
        <v/>
      </c>
      <c r="T50" s="45" t="str">
        <f>IFERROR(VLOOKUP($A50,'Parts List and Volumes'!$C$2:$W241,12,FALSE),"")</f>
        <v/>
      </c>
      <c r="U50" s="46" t="str">
        <f t="shared" si="3"/>
        <v/>
      </c>
      <c r="V50" s="47" t="str">
        <f t="shared" si="3"/>
        <v/>
      </c>
      <c r="W50" s="40" t="str">
        <f>IFERROR(VLOOKUP($A50,'Parts List and Volumes'!$C$2:$W241,13,FALSE),"")</f>
        <v/>
      </c>
      <c r="X50" s="41" t="str">
        <f>IFERROR(VLOOKUP($A50,'Parts List and Volumes'!$C$2:$W241,14,FALSE),"")</f>
        <v/>
      </c>
      <c r="Y50" s="48" t="str">
        <f t="shared" si="4"/>
        <v/>
      </c>
      <c r="Z50" s="43" t="str">
        <f t="shared" si="4"/>
        <v/>
      </c>
      <c r="AA50" s="49" t="str">
        <f>IFERROR(VLOOKUP($A50,'Parts List and Volumes'!$C$2:$W241,15,FALSE),"")</f>
        <v/>
      </c>
      <c r="AB50" s="50" t="str">
        <f>IFERROR(VLOOKUP($A50,'Parts List and Volumes'!$C$2:$W241,16,FALSE),"")</f>
        <v/>
      </c>
      <c r="AC50" s="51" t="str">
        <f t="shared" si="5"/>
        <v/>
      </c>
      <c r="AD50" s="52" t="str">
        <f t="shared" si="5"/>
        <v/>
      </c>
      <c r="AE50" s="40" t="str">
        <f>IFERROR(VLOOKUP($A50,'Parts List and Volumes'!$C$2:$W241,17,FALSE),"")</f>
        <v/>
      </c>
      <c r="AF50" s="41" t="str">
        <f>IFERROR(VLOOKUP($A50,'Parts List and Volumes'!$C$2:$W241,18,FALSE),"")</f>
        <v/>
      </c>
      <c r="AG50" s="48" t="str">
        <f t="shared" si="6"/>
        <v/>
      </c>
      <c r="AH50" s="43" t="str">
        <f t="shared" si="6"/>
        <v/>
      </c>
      <c r="AI50" s="49" t="str">
        <f>IFERROR(VLOOKUP($A50,'Parts List and Volumes'!$C$2:$W241,19,FALSE),"")</f>
        <v/>
      </c>
      <c r="AJ50" s="50" t="str">
        <f>IFERROR(VLOOKUP($A50,'Parts List and Volumes'!$C$2:$W241,20,FALSE),"")</f>
        <v/>
      </c>
      <c r="AK50" s="51" t="str">
        <f t="shared" si="7"/>
        <v/>
      </c>
      <c r="AL50" s="52" t="str">
        <f t="shared" si="7"/>
        <v/>
      </c>
      <c r="AM50" s="40" t="str">
        <f>IFERROR(VLOOKUP($A50,'Parts List and Volumes'!$C$2:$W241,21,FALSE),"")</f>
        <v/>
      </c>
      <c r="AN50" s="41" t="str">
        <f>IFERROR(VLOOKUP($A50,'Parts List and Volumes'!$C$2:$W241,22,FALSE),"")</f>
        <v/>
      </c>
      <c r="AO50" s="48" t="str">
        <f t="shared" si="8"/>
        <v/>
      </c>
      <c r="AP50" s="43" t="str">
        <f t="shared" si="8"/>
        <v/>
      </c>
      <c r="AQ50" s="49" t="str">
        <f>IFERROR(VLOOKUP($A50,'Parts List and Volumes'!$C$2:$W241,23,FALSE),"")</f>
        <v/>
      </c>
      <c r="AR50" s="50" t="str">
        <f>IFERROR(VLOOKUP($A50,'Parts List and Volumes'!$C$2:$W241,24,FALSE),"")</f>
        <v/>
      </c>
      <c r="AS50" s="51" t="str">
        <f t="shared" si="9"/>
        <v/>
      </c>
      <c r="AT50" s="52" t="str">
        <f t="shared" si="9"/>
        <v/>
      </c>
      <c r="AU50" s="40" t="str">
        <f>IFERROR(VLOOKUP($A50,'Parts List and Volumes'!$C$2:$W241,25,FALSE),"")</f>
        <v/>
      </c>
      <c r="AV50" s="41" t="str">
        <f>IFERROR(VLOOKUP($A50,'Parts List and Volumes'!$C$2:$W241,26,FALSE),"")</f>
        <v/>
      </c>
      <c r="AW50" s="48" t="str">
        <f t="shared" si="10"/>
        <v/>
      </c>
      <c r="AX50" s="43" t="str">
        <f t="shared" si="10"/>
        <v/>
      </c>
    </row>
    <row r="51" spans="1:50" ht="15.75" thickBot="1" x14ac:dyDescent="0.3"/>
    <row r="52" spans="1:50" ht="15.75" thickBot="1" x14ac:dyDescent="0.3">
      <c r="B52" s="74"/>
      <c r="C52" s="74"/>
      <c r="I52" s="53">
        <f>SUM(I3:I50)</f>
        <v>0.38729906376965206</v>
      </c>
      <c r="J52" s="53">
        <f>SUM(J3:J50)</f>
        <v>0.56141021387032752</v>
      </c>
      <c r="M52" s="53">
        <f>SUM(M3:M50)</f>
        <v>0</v>
      </c>
      <c r="N52" s="53">
        <f>SUM(N3:N50)</f>
        <v>0.91501524790630262</v>
      </c>
      <c r="Q52" s="53">
        <f>SUM(Q3:Q50)</f>
        <v>0</v>
      </c>
      <c r="R52" s="53">
        <f>SUM(R3:R50)</f>
        <v>0.88139576637189088</v>
      </c>
      <c r="U52" s="53">
        <f>SUM(U3:U50)</f>
        <v>0</v>
      </c>
      <c r="V52" s="53">
        <f>SUM(V3:V50)</f>
        <v>0.80436117701133469</v>
      </c>
      <c r="Y52" s="53">
        <f>SUM(Y3:Y50)</f>
        <v>0</v>
      </c>
      <c r="Z52" s="53">
        <f>SUM(Z3:Z50)</f>
        <v>0.37809868692221638</v>
      </c>
      <c r="AC52" s="53">
        <f>SUM(AC3:AC50)</f>
        <v>0</v>
      </c>
      <c r="AD52" s="53">
        <f>SUM(AD3:AD50)</f>
        <v>0.37809868692221638</v>
      </c>
      <c r="AG52" s="53">
        <f>SUM(AG3:AG50)</f>
        <v>0</v>
      </c>
      <c r="AH52" s="53">
        <f>SUM(AH3:AH50)</f>
        <v>0.37809868692221638</v>
      </c>
      <c r="AK52" s="53">
        <f>SUM(AK3:AK50)</f>
        <v>0</v>
      </c>
      <c r="AL52" s="53">
        <f>SUM(AL3:AL50)</f>
        <v>0</v>
      </c>
      <c r="AO52" s="53">
        <f>SUM(AO3:AO50)</f>
        <v>0</v>
      </c>
      <c r="AP52" s="53">
        <f>SUM(AP3:AP50)</f>
        <v>0</v>
      </c>
      <c r="AS52" s="53">
        <f>SUM(AS3:AS50)</f>
        <v>0</v>
      </c>
      <c r="AT52" s="53">
        <f>SUM(AT3:AT50)</f>
        <v>0</v>
      </c>
      <c r="AW52" s="53">
        <f>SUM(AW3:AW50)</f>
        <v>0</v>
      </c>
      <c r="AX52" s="53">
        <f>SUM(AX3:AX50)</f>
        <v>0</v>
      </c>
    </row>
    <row r="60" spans="1:50" x14ac:dyDescent="0.25">
      <c r="M60" s="81" t="s">
        <v>398</v>
      </c>
      <c r="N60" s="81"/>
      <c r="O60" s="81"/>
      <c r="P60" s="81"/>
      <c r="Q60" s="81"/>
      <c r="R60" s="81"/>
      <c r="S60" s="81"/>
      <c r="T60" s="81"/>
      <c r="U60" s="81"/>
      <c r="V60" s="81"/>
      <c r="W60" s="81"/>
    </row>
    <row r="61" spans="1:50" x14ac:dyDescent="0.25">
      <c r="M61" s="54">
        <v>2022</v>
      </c>
      <c r="N61" s="54">
        <v>2023</v>
      </c>
      <c r="O61" s="54">
        <v>2024</v>
      </c>
      <c r="P61" s="54">
        <v>2025</v>
      </c>
      <c r="Q61" s="54">
        <v>2026</v>
      </c>
      <c r="R61" s="54">
        <v>2027</v>
      </c>
      <c r="S61" s="54">
        <v>2028</v>
      </c>
      <c r="T61" s="54">
        <v>2029</v>
      </c>
      <c r="U61" s="54">
        <v>2030</v>
      </c>
      <c r="V61" s="54">
        <v>2031</v>
      </c>
      <c r="W61" s="54">
        <v>2032</v>
      </c>
    </row>
    <row r="62" spans="1:50" x14ac:dyDescent="0.25">
      <c r="M62" s="57">
        <v>0.8</v>
      </c>
      <c r="N62" s="57">
        <v>0.8</v>
      </c>
      <c r="O62" s="57">
        <v>0.8</v>
      </c>
      <c r="P62" s="57">
        <v>0.8</v>
      </c>
      <c r="Q62" s="57">
        <v>0.8</v>
      </c>
      <c r="R62" s="57">
        <v>0.8</v>
      </c>
      <c r="S62" s="57">
        <v>0.8</v>
      </c>
      <c r="T62" s="57">
        <v>0.8</v>
      </c>
      <c r="U62" s="57">
        <v>0.8</v>
      </c>
      <c r="V62" s="57">
        <v>0.8</v>
      </c>
      <c r="W62" s="57">
        <v>0.8</v>
      </c>
    </row>
  </sheetData>
  <mergeCells count="14">
    <mergeCell ref="B52:C52"/>
    <mergeCell ref="M60:W60"/>
    <mergeCell ref="AA1:AD1"/>
    <mergeCell ref="AE1:AH1"/>
    <mergeCell ref="AI1:AL1"/>
    <mergeCell ref="AM1:AP1"/>
    <mergeCell ref="AQ1:AT1"/>
    <mergeCell ref="AU1:AX1"/>
    <mergeCell ref="A1:F1"/>
    <mergeCell ref="G1:J1"/>
    <mergeCell ref="K1:N1"/>
    <mergeCell ref="O1:R1"/>
    <mergeCell ref="S1:V1"/>
    <mergeCell ref="W1:Z1"/>
  </mergeCells>
  <conditionalFormatting sqref="D21:F50 D3:E20">
    <cfRule type="expression" dxfId="1453" priority="119" stopIfTrue="1">
      <formula>#REF!="DLN"</formula>
    </cfRule>
  </conditionalFormatting>
  <conditionalFormatting sqref="D3:E50">
    <cfRule type="expression" dxfId="1452" priority="118" stopIfTrue="1">
      <formula>#REF!="DLN"</formula>
    </cfRule>
  </conditionalFormatting>
  <conditionalFormatting sqref="L3:L50">
    <cfRule type="expression" dxfId="1451" priority="117" stopIfTrue="1">
      <formula>#REF!="DLN"</formula>
    </cfRule>
  </conditionalFormatting>
  <conditionalFormatting sqref="L3:L50">
    <cfRule type="expression" dxfId="1450" priority="116" stopIfTrue="1">
      <formula>#REF!="DLN"</formula>
    </cfRule>
  </conditionalFormatting>
  <conditionalFormatting sqref="T3:T50">
    <cfRule type="expression" dxfId="1449" priority="115" stopIfTrue="1">
      <formula>#REF!="DLN"</formula>
    </cfRule>
  </conditionalFormatting>
  <conditionalFormatting sqref="T3:T50">
    <cfRule type="expression" dxfId="1448" priority="114" stopIfTrue="1">
      <formula>#REF!="DLN"</formula>
    </cfRule>
  </conditionalFormatting>
  <conditionalFormatting sqref="X3:X50">
    <cfRule type="expression" dxfId="1447" priority="113" stopIfTrue="1">
      <formula>#REF!="DLN"</formula>
    </cfRule>
  </conditionalFormatting>
  <conditionalFormatting sqref="X3:X50">
    <cfRule type="expression" dxfId="1446" priority="112" stopIfTrue="1">
      <formula>#REF!="DLN"</formula>
    </cfRule>
  </conditionalFormatting>
  <conditionalFormatting sqref="G2">
    <cfRule type="expression" dxfId="1445" priority="111" stopIfTrue="1">
      <formula>#REF!="DLN"</formula>
    </cfRule>
  </conditionalFormatting>
  <conditionalFormatting sqref="G2">
    <cfRule type="expression" dxfId="1444" priority="110" stopIfTrue="1">
      <formula>#REF!="DLN"</formula>
    </cfRule>
  </conditionalFormatting>
  <conditionalFormatting sqref="K2">
    <cfRule type="expression" dxfId="1443" priority="109" stopIfTrue="1">
      <formula>#REF!="DLN"</formula>
    </cfRule>
  </conditionalFormatting>
  <conditionalFormatting sqref="K2">
    <cfRule type="expression" dxfId="1442" priority="108" stopIfTrue="1">
      <formula>#REF!="DLN"</formula>
    </cfRule>
  </conditionalFormatting>
  <conditionalFormatting sqref="O2">
    <cfRule type="expression" dxfId="1441" priority="107" stopIfTrue="1">
      <formula>#REF!="DLN"</formula>
    </cfRule>
  </conditionalFormatting>
  <conditionalFormatting sqref="O2">
    <cfRule type="expression" dxfId="1440" priority="106" stopIfTrue="1">
      <formula>#REF!="DLN"</formula>
    </cfRule>
  </conditionalFormatting>
  <conditionalFormatting sqref="S2">
    <cfRule type="expression" dxfId="1439" priority="105" stopIfTrue="1">
      <formula>#REF!="DLN"</formula>
    </cfRule>
  </conditionalFormatting>
  <conditionalFormatting sqref="S2">
    <cfRule type="expression" dxfId="1438" priority="104" stopIfTrue="1">
      <formula>#REF!="DLN"</formula>
    </cfRule>
  </conditionalFormatting>
  <conditionalFormatting sqref="W2">
    <cfRule type="expression" dxfId="1437" priority="103" stopIfTrue="1">
      <formula>#REF!="DLN"</formula>
    </cfRule>
  </conditionalFormatting>
  <conditionalFormatting sqref="W2">
    <cfRule type="expression" dxfId="1436" priority="102" stopIfTrue="1">
      <formula>#REF!="DLN"</formula>
    </cfRule>
  </conditionalFormatting>
  <conditionalFormatting sqref="AF3:AF50">
    <cfRule type="expression" dxfId="1435" priority="54" stopIfTrue="1">
      <formula>#REF!="DLN"</formula>
    </cfRule>
  </conditionalFormatting>
  <conditionalFormatting sqref="W3:W50">
    <cfRule type="expression" dxfId="1434" priority="101" stopIfTrue="1">
      <formula>#REF!="DLN"</formula>
    </cfRule>
  </conditionalFormatting>
  <conditionalFormatting sqref="W3:W50">
    <cfRule type="expression" dxfId="1433" priority="100" stopIfTrue="1">
      <formula>#REF!="DLN"</formula>
    </cfRule>
  </conditionalFormatting>
  <conditionalFormatting sqref="S3:S50">
    <cfRule type="expression" dxfId="1432" priority="99" stopIfTrue="1">
      <formula>#REF!="DLN"</formula>
    </cfRule>
  </conditionalFormatting>
  <conditionalFormatting sqref="S3:S50">
    <cfRule type="expression" dxfId="1431" priority="98" stopIfTrue="1">
      <formula>#REF!="DLN"</formula>
    </cfRule>
  </conditionalFormatting>
  <conditionalFormatting sqref="K3:K50">
    <cfRule type="expression" dxfId="1430" priority="97" stopIfTrue="1">
      <formula>#REF!="DLN"</formula>
    </cfRule>
  </conditionalFormatting>
  <conditionalFormatting sqref="K3:K50">
    <cfRule type="expression" dxfId="1429" priority="96" stopIfTrue="1">
      <formula>#REF!="DLN"</formula>
    </cfRule>
  </conditionalFormatting>
  <conditionalFormatting sqref="AF3:AF50">
    <cfRule type="expression" dxfId="1428" priority="55" stopIfTrue="1">
      <formula>#REF!="DLN"</formula>
    </cfRule>
  </conditionalFormatting>
  <conditionalFormatting sqref="J52">
    <cfRule type="cellIs" dxfId="1427" priority="92" stopIfTrue="1" operator="greaterThanOrEqual">
      <formula>0.801</formula>
    </cfRule>
    <cfRule type="cellIs" dxfId="1426" priority="93" stopIfTrue="1" operator="between">
      <formula>0.61</formula>
      <formula>0.8</formula>
    </cfRule>
    <cfRule type="cellIs" dxfId="1425" priority="94" stopIfTrue="1" operator="between">
      <formula>0</formula>
      <formula>0.6</formula>
    </cfRule>
  </conditionalFormatting>
  <conditionalFormatting sqref="J52">
    <cfRule type="expression" dxfId="1424" priority="95" stopIfTrue="1">
      <formula>#REF!="DLN"</formula>
    </cfRule>
  </conditionalFormatting>
  <conditionalFormatting sqref="I52">
    <cfRule type="cellIs" dxfId="1423" priority="88" stopIfTrue="1" operator="greaterThanOrEqual">
      <formula>0.801</formula>
    </cfRule>
    <cfRule type="cellIs" dxfId="1422" priority="89" stopIfTrue="1" operator="between">
      <formula>0.61</formula>
      <formula>0.8</formula>
    </cfRule>
    <cfRule type="cellIs" dxfId="1421" priority="90" stopIfTrue="1" operator="between">
      <formula>0</formula>
      <formula>0.6</formula>
    </cfRule>
  </conditionalFormatting>
  <conditionalFormatting sqref="I52">
    <cfRule type="expression" dxfId="1420" priority="91" stopIfTrue="1">
      <formula>#REF!="DLN"</formula>
    </cfRule>
  </conditionalFormatting>
  <conditionalFormatting sqref="M52:N52">
    <cfRule type="cellIs" dxfId="1419" priority="84" stopIfTrue="1" operator="greaterThanOrEqual">
      <formula>0.801</formula>
    </cfRule>
    <cfRule type="cellIs" dxfId="1418" priority="85" stopIfTrue="1" operator="between">
      <formula>0.61</formula>
      <formula>0.8</formula>
    </cfRule>
    <cfRule type="cellIs" dxfId="1417" priority="86" stopIfTrue="1" operator="between">
      <formula>0</formula>
      <formula>0.6</formula>
    </cfRule>
  </conditionalFormatting>
  <conditionalFormatting sqref="M52:N52">
    <cfRule type="expression" dxfId="1416" priority="87" stopIfTrue="1">
      <formula>#REF!="DLN"</formula>
    </cfRule>
  </conditionalFormatting>
  <conditionalFormatting sqref="Q52:R52">
    <cfRule type="cellIs" dxfId="1415" priority="80" stopIfTrue="1" operator="greaterThanOrEqual">
      <formula>0.801</formula>
    </cfRule>
    <cfRule type="cellIs" dxfId="1414" priority="81" stopIfTrue="1" operator="between">
      <formula>0.61</formula>
      <formula>0.8</formula>
    </cfRule>
    <cfRule type="cellIs" dxfId="1413" priority="82" stopIfTrue="1" operator="between">
      <formula>0</formula>
      <formula>0.6</formula>
    </cfRule>
  </conditionalFormatting>
  <conditionalFormatting sqref="Q52:R52">
    <cfRule type="expression" dxfId="1412" priority="83" stopIfTrue="1">
      <formula>#REF!="DLN"</formula>
    </cfRule>
  </conditionalFormatting>
  <conditionalFormatting sqref="U52:V52">
    <cfRule type="cellIs" dxfId="1411" priority="76" stopIfTrue="1" operator="greaterThanOrEqual">
      <formula>0.801</formula>
    </cfRule>
    <cfRule type="cellIs" dxfId="1410" priority="77" stopIfTrue="1" operator="between">
      <formula>0.61</formula>
      <formula>0.8</formula>
    </cfRule>
    <cfRule type="cellIs" dxfId="1409" priority="78" stopIfTrue="1" operator="between">
      <formula>0</formula>
      <formula>0.6</formula>
    </cfRule>
  </conditionalFormatting>
  <conditionalFormatting sqref="U52:V52">
    <cfRule type="expression" dxfId="1408" priority="79" stopIfTrue="1">
      <formula>#REF!="DLN"</formula>
    </cfRule>
  </conditionalFormatting>
  <conditionalFormatting sqref="Y52:Z52">
    <cfRule type="cellIs" dxfId="1407" priority="72" stopIfTrue="1" operator="greaterThanOrEqual">
      <formula>0.801</formula>
    </cfRule>
    <cfRule type="cellIs" dxfId="1406" priority="73" stopIfTrue="1" operator="between">
      <formula>0.61</formula>
      <formula>0.8</formula>
    </cfRule>
    <cfRule type="cellIs" dxfId="1405" priority="74" stopIfTrue="1" operator="between">
      <formula>0</formula>
      <formula>0.6</formula>
    </cfRule>
  </conditionalFormatting>
  <conditionalFormatting sqref="Y52:Z52">
    <cfRule type="expression" dxfId="1404" priority="75" stopIfTrue="1">
      <formula>#REF!="DLN"</formula>
    </cfRule>
  </conditionalFormatting>
  <conditionalFormatting sqref="AC52:AD52">
    <cfRule type="cellIs" dxfId="1403" priority="68" stopIfTrue="1" operator="greaterThanOrEqual">
      <formula>0.801</formula>
    </cfRule>
    <cfRule type="cellIs" dxfId="1402" priority="69" stopIfTrue="1" operator="between">
      <formula>0.61</formula>
      <formula>0.8</formula>
    </cfRule>
    <cfRule type="cellIs" dxfId="1401" priority="70" stopIfTrue="1" operator="between">
      <formula>0</formula>
      <formula>0.6</formula>
    </cfRule>
  </conditionalFormatting>
  <conditionalFormatting sqref="AC52:AD52">
    <cfRule type="expression" dxfId="1400" priority="71" stopIfTrue="1">
      <formula>#REF!="DLN"</formula>
    </cfRule>
  </conditionalFormatting>
  <conditionalFormatting sqref="G3:G50">
    <cfRule type="expression" dxfId="1399" priority="66" stopIfTrue="1">
      <formula>#REF!="DLN"</formula>
    </cfRule>
  </conditionalFormatting>
  <conditionalFormatting sqref="G3:G50">
    <cfRule type="expression" dxfId="1398" priority="67" stopIfTrue="1">
      <formula>#REF!="DLN"</formula>
    </cfRule>
  </conditionalFormatting>
  <conditionalFormatting sqref="P3:P50">
    <cfRule type="expression" dxfId="1397" priority="65" stopIfTrue="1">
      <formula>#REF!="DLN"</formula>
    </cfRule>
  </conditionalFormatting>
  <conditionalFormatting sqref="P3:P50">
    <cfRule type="expression" dxfId="1396" priority="64" stopIfTrue="1">
      <formula>#REF!="DLN"</formula>
    </cfRule>
  </conditionalFormatting>
  <conditionalFormatting sqref="O3:O50">
    <cfRule type="expression" dxfId="1395" priority="63" stopIfTrue="1">
      <formula>#REF!="DLN"</formula>
    </cfRule>
  </conditionalFormatting>
  <conditionalFormatting sqref="O3:O50">
    <cfRule type="expression" dxfId="1394" priority="62" stopIfTrue="1">
      <formula>#REF!="DLN"</formula>
    </cfRule>
  </conditionalFormatting>
  <conditionalFormatting sqref="H3:H50">
    <cfRule type="expression" dxfId="1393" priority="61" stopIfTrue="1">
      <formula>#REF!="DLN"</formula>
    </cfRule>
  </conditionalFormatting>
  <conditionalFormatting sqref="H3:H50">
    <cfRule type="expression" dxfId="1392" priority="60" stopIfTrue="1">
      <formula>#REF!="DLN"</formula>
    </cfRule>
  </conditionalFormatting>
  <conditionalFormatting sqref="A21:A50">
    <cfRule type="expression" dxfId="1389" priority="57" stopIfTrue="1">
      <formula>#REF!="DLN"</formula>
    </cfRule>
  </conditionalFormatting>
  <conditionalFormatting sqref="A21:A50">
    <cfRule type="expression" dxfId="1388" priority="56" stopIfTrue="1">
      <formula>#REF!="DLN"</formula>
    </cfRule>
  </conditionalFormatting>
  <conditionalFormatting sqref="AE2">
    <cfRule type="expression" dxfId="1387" priority="53" stopIfTrue="1">
      <formula>#REF!="DLN"</formula>
    </cfRule>
  </conditionalFormatting>
  <conditionalFormatting sqref="AE2">
    <cfRule type="expression" dxfId="1386" priority="52" stopIfTrue="1">
      <formula>#REF!="DLN"</formula>
    </cfRule>
  </conditionalFormatting>
  <conditionalFormatting sqref="AE3:AE50">
    <cfRule type="expression" dxfId="1385" priority="51" stopIfTrue="1">
      <formula>#REF!="DLN"</formula>
    </cfRule>
  </conditionalFormatting>
  <conditionalFormatting sqref="AE3:AE50">
    <cfRule type="expression" dxfId="1384" priority="50" stopIfTrue="1">
      <formula>#REF!="DLN"</formula>
    </cfRule>
  </conditionalFormatting>
  <conditionalFormatting sqref="AG52:AH52">
    <cfRule type="cellIs" dxfId="1383" priority="46" stopIfTrue="1" operator="greaterThanOrEqual">
      <formula>0.801</formula>
    </cfRule>
    <cfRule type="cellIs" dxfId="1382" priority="47" stopIfTrue="1" operator="between">
      <formula>0.61</formula>
      <formula>0.8</formula>
    </cfRule>
    <cfRule type="cellIs" dxfId="1381" priority="48" stopIfTrue="1" operator="between">
      <formula>0</formula>
      <formula>0.6</formula>
    </cfRule>
  </conditionalFormatting>
  <conditionalFormatting sqref="AG52:AH52">
    <cfRule type="expression" dxfId="1380" priority="49" stopIfTrue="1">
      <formula>#REF!="DLN"</formula>
    </cfRule>
  </conditionalFormatting>
  <conditionalFormatting sqref="AK52:AL52">
    <cfRule type="cellIs" dxfId="1379" priority="42" stopIfTrue="1" operator="greaterThanOrEqual">
      <formula>0.801</formula>
    </cfRule>
    <cfRule type="cellIs" dxfId="1378" priority="43" stopIfTrue="1" operator="between">
      <formula>0.61</formula>
      <formula>0.8</formula>
    </cfRule>
    <cfRule type="cellIs" dxfId="1377" priority="44" stopIfTrue="1" operator="between">
      <formula>0</formula>
      <formula>0.6</formula>
    </cfRule>
  </conditionalFormatting>
  <conditionalFormatting sqref="AK52:AL52">
    <cfRule type="expression" dxfId="1376" priority="45" stopIfTrue="1">
      <formula>#REF!="DLN"</formula>
    </cfRule>
  </conditionalFormatting>
  <conditionalFormatting sqref="AN3:AN50">
    <cfRule type="expression" dxfId="1375" priority="41" stopIfTrue="1">
      <formula>#REF!="DLN"</formula>
    </cfRule>
  </conditionalFormatting>
  <conditionalFormatting sqref="AN3:AN50">
    <cfRule type="expression" dxfId="1374" priority="40" stopIfTrue="1">
      <formula>#REF!="DLN"</formula>
    </cfRule>
  </conditionalFormatting>
  <conditionalFormatting sqref="AM2">
    <cfRule type="expression" dxfId="1373" priority="39" stopIfTrue="1">
      <formula>#REF!="DLN"</formula>
    </cfRule>
  </conditionalFormatting>
  <conditionalFormatting sqref="AM2">
    <cfRule type="expression" dxfId="1372" priority="38" stopIfTrue="1">
      <formula>#REF!="DLN"</formula>
    </cfRule>
  </conditionalFormatting>
  <conditionalFormatting sqref="AM3:AM50">
    <cfRule type="expression" dxfId="1371" priority="37" stopIfTrue="1">
      <formula>#REF!="DLN"</formula>
    </cfRule>
  </conditionalFormatting>
  <conditionalFormatting sqref="AM3:AM50">
    <cfRule type="expression" dxfId="1370" priority="36" stopIfTrue="1">
      <formula>#REF!="DLN"</formula>
    </cfRule>
  </conditionalFormatting>
  <conditionalFormatting sqref="AO52:AP52">
    <cfRule type="cellIs" dxfId="1369" priority="32" stopIfTrue="1" operator="greaterThanOrEqual">
      <formula>0.801</formula>
    </cfRule>
    <cfRule type="cellIs" dxfId="1368" priority="33" stopIfTrue="1" operator="between">
      <formula>0.61</formula>
      <formula>0.8</formula>
    </cfRule>
    <cfRule type="cellIs" dxfId="1367" priority="34" stopIfTrue="1" operator="between">
      <formula>0</formula>
      <formula>0.6</formula>
    </cfRule>
  </conditionalFormatting>
  <conditionalFormatting sqref="AO52:AP52">
    <cfRule type="expression" dxfId="1366" priority="35" stopIfTrue="1">
      <formula>#REF!="DLN"</formula>
    </cfRule>
  </conditionalFormatting>
  <conditionalFormatting sqref="AS52:AT52">
    <cfRule type="cellIs" dxfId="1365" priority="28" stopIfTrue="1" operator="greaterThanOrEqual">
      <formula>0.801</formula>
    </cfRule>
    <cfRule type="cellIs" dxfId="1364" priority="29" stopIfTrue="1" operator="between">
      <formula>0.61</formula>
      <formula>0.8</formula>
    </cfRule>
    <cfRule type="cellIs" dxfId="1363" priority="30" stopIfTrue="1" operator="between">
      <formula>0</formula>
      <formula>0.6</formula>
    </cfRule>
  </conditionalFormatting>
  <conditionalFormatting sqref="AS52:AT52">
    <cfRule type="expression" dxfId="1362" priority="31" stopIfTrue="1">
      <formula>#REF!="DLN"</formula>
    </cfRule>
  </conditionalFormatting>
  <conditionalFormatting sqref="AV3:AV50">
    <cfRule type="expression" dxfId="1361" priority="27" stopIfTrue="1">
      <formula>#REF!="DLN"</formula>
    </cfRule>
  </conditionalFormatting>
  <conditionalFormatting sqref="AV3:AV50">
    <cfRule type="expression" dxfId="1360" priority="26" stopIfTrue="1">
      <formula>#REF!="DLN"</formula>
    </cfRule>
  </conditionalFormatting>
  <conditionalFormatting sqref="AU2">
    <cfRule type="expression" dxfId="1359" priority="25" stopIfTrue="1">
      <formula>#REF!="DLN"</formula>
    </cfRule>
  </conditionalFormatting>
  <conditionalFormatting sqref="AU2">
    <cfRule type="expression" dxfId="1358" priority="24" stopIfTrue="1">
      <formula>#REF!="DLN"</formula>
    </cfRule>
  </conditionalFormatting>
  <conditionalFormatting sqref="AU3:AU50">
    <cfRule type="expression" dxfId="1357" priority="23" stopIfTrue="1">
      <formula>#REF!="DLN"</formula>
    </cfRule>
  </conditionalFormatting>
  <conditionalFormatting sqref="AU3:AU50">
    <cfRule type="expression" dxfId="1356" priority="22" stopIfTrue="1">
      <formula>#REF!="DLN"</formula>
    </cfRule>
  </conditionalFormatting>
  <conditionalFormatting sqref="AW52:AX52">
    <cfRule type="cellIs" dxfId="1355" priority="18" stopIfTrue="1" operator="greaterThanOrEqual">
      <formula>0.801</formula>
    </cfRule>
    <cfRule type="cellIs" dxfId="1354" priority="19" stopIfTrue="1" operator="between">
      <formula>0.61</formula>
      <formula>0.8</formula>
    </cfRule>
    <cfRule type="cellIs" dxfId="1353" priority="20" stopIfTrue="1" operator="between">
      <formula>0</formula>
      <formula>0.6</formula>
    </cfRule>
  </conditionalFormatting>
  <conditionalFormatting sqref="AW52:AX52">
    <cfRule type="expression" dxfId="1352" priority="21" stopIfTrue="1">
      <formula>#REF!="DLN"</formula>
    </cfRule>
  </conditionalFormatting>
  <conditionalFormatting sqref="A4">
    <cfRule type="expression" dxfId="1338" priority="11" stopIfTrue="1">
      <formula>#REF!="DLN"</formula>
    </cfRule>
  </conditionalFormatting>
  <conditionalFormatting sqref="F9">
    <cfRule type="expression" dxfId="1324" priority="4" stopIfTrue="1">
      <formula>#REF!="DLN"</formula>
    </cfRule>
  </conditionalFormatting>
  <conditionalFormatting sqref="F10:F20">
    <cfRule type="expression" dxfId="1323" priority="5" stopIfTrue="1">
      <formula>#REF!="DLN"</formula>
    </cfRule>
  </conditionalFormatting>
  <conditionalFormatting sqref="F3:F7">
    <cfRule type="expression" dxfId="1322" priority="3" stopIfTrue="1">
      <formula>#REF!="DLN"</formula>
    </cfRule>
  </conditionalFormatting>
  <conditionalFormatting sqref="F8">
    <cfRule type="expression" dxfId="1321" priority="1" stopIfTrue="1">
      <formula>#REF!="DLN"</formula>
    </cfRule>
  </conditionalFormatting>
  <conditionalFormatting sqref="F3:F7">
    <cfRule type="expression" dxfId="1320" priority="2" stopIfTrue="1">
      <formula>#REF!="DLN"</formula>
    </cfRule>
  </conditionalFormatting>
  <dataValidations count="1">
    <dataValidation type="list" allowBlank="1" showInputMessage="1" showErrorMessage="1" sqref="A3:A50" xr:uid="{F9345915-71DA-4EA0-AC05-149FDE295431}">
      <formula1>INDIRECT(B3)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0060D8-6C86-4226-8F4A-A0AD6F6C68BD}">
          <x14:formula1>
            <xm:f>'Customer and Platform List'!$B$2:$B$16</xm:f>
          </x14:formula1>
          <xm:sqref>B3:B50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EDBE1-5BF9-440B-8320-B1CF68C33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18</vt:i4>
      </vt:variant>
    </vt:vector>
  </HeadingPairs>
  <TitlesOfParts>
    <vt:vector size="42" baseType="lpstr">
      <vt:lpstr>Assumptions</vt:lpstr>
      <vt:lpstr>Parts List and Volumes</vt:lpstr>
      <vt:lpstr>Master Sheet</vt:lpstr>
      <vt:lpstr>Customer and Platform List</vt:lpstr>
      <vt:lpstr>CAD-026</vt:lpstr>
      <vt:lpstr>CAD-027</vt:lpstr>
      <vt:lpstr>CAD-037</vt:lpstr>
      <vt:lpstr>CAD-043</vt:lpstr>
      <vt:lpstr>CAD-046</vt:lpstr>
      <vt:lpstr>CAD-048</vt:lpstr>
      <vt:lpstr>CAD-049</vt:lpstr>
      <vt:lpstr>CAD-051</vt:lpstr>
      <vt:lpstr>CAD-054</vt:lpstr>
      <vt:lpstr>CAD-056</vt:lpstr>
      <vt:lpstr>CAD-059 (4HD)</vt:lpstr>
      <vt:lpstr>CAD-063 (4HD)</vt:lpstr>
      <vt:lpstr>CAD-067 (SEM)</vt:lpstr>
      <vt:lpstr>CAD-068 (4HD)</vt:lpstr>
      <vt:lpstr>CAD-069 (4HD)</vt:lpstr>
      <vt:lpstr>CAD-070 (4HW)</vt:lpstr>
      <vt:lpstr>CAD-071 (4HW)</vt:lpstr>
      <vt:lpstr>CAD-073 (SEW)</vt:lpstr>
      <vt:lpstr>CAD-074 (4HD)</vt:lpstr>
      <vt:lpstr>CAD-075 (2HD)</vt:lpstr>
      <vt:lpstr>_BR167</vt:lpstr>
      <vt:lpstr>_R1S</vt:lpstr>
      <vt:lpstr>_R1S_T</vt:lpstr>
      <vt:lpstr>_R1T</vt:lpstr>
      <vt:lpstr>_VN127</vt:lpstr>
      <vt:lpstr>EVAII</vt:lpstr>
      <vt:lpstr>F5X</vt:lpstr>
      <vt:lpstr>FourHeadAssumption</vt:lpstr>
      <vt:lpstr>G01_G02</vt:lpstr>
      <vt:lpstr>G05_G06</vt:lpstr>
      <vt:lpstr>G05_G06_G07</vt:lpstr>
      <vt:lpstr>G05_G06_G07_G09</vt:lpstr>
      <vt:lpstr>G07_G09</vt:lpstr>
      <vt:lpstr>RPV_500</vt:lpstr>
      <vt:lpstr>RPV_500_700_900</vt:lpstr>
      <vt:lpstr>RPV_700</vt:lpstr>
      <vt:lpstr>RPV_700_900</vt:lpstr>
      <vt:lpstr>SingleEndAssumption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Kleber, Joshua</dc:creator>
  <cp:lastModifiedBy>Brockmeyer, Aaron</cp:lastModifiedBy>
  <dcterms:created xsi:type="dcterms:W3CDTF">2021-12-02T17:04:16Z</dcterms:created>
  <dcterms:modified xsi:type="dcterms:W3CDTF">2022-02-16T20:37:41Z</dcterms:modified>
</cp:coreProperties>
</file>